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Project Master" sheetId="4" state="visible" r:id="rId4"/>
    <sheet xmlns:r="http://schemas.openxmlformats.org/officeDocument/2006/relationships" name="Task Tracker" sheetId="5" state="visible" r:id="rId5"/>
    <sheet xmlns:r="http://schemas.openxmlformats.org/officeDocument/2006/relationships" name="Milestone Tracker" sheetId="6" state="visible" r:id="rId6"/>
    <sheet xmlns:r="http://schemas.openxmlformats.org/officeDocument/2006/relationships" name="Issue Tracker" sheetId="7" state="visible" r:id="rId7"/>
    <sheet xmlns:r="http://schemas.openxmlformats.org/officeDocument/2006/relationships" name="Risk Register" sheetId="8" state="visible" r:id="rId8"/>
    <sheet xmlns:r="http://schemas.openxmlformats.org/officeDocument/2006/relationships" name="Resource Tracker" sheetId="9" state="visible" r:id="rId9"/>
    <sheet xmlns:r="http://schemas.openxmlformats.org/officeDocument/2006/relationships" name="Change Request Tracker" sheetId="10" state="visible" r:id="rId10"/>
    <sheet xmlns:r="http://schemas.openxmlformats.org/officeDocument/2006/relationships" name="UAT Testing Tracker" sheetId="11" state="visible" r:id="rId11"/>
    <sheet xmlns:r="http://schemas.openxmlformats.org/officeDocument/2006/relationships" name="Deployment Tracker" sheetId="12" state="visible" r:id="rId12"/>
  </sheets>
  <definedNames>
    <definedName name="ProjectIDs">'Lists'!$A$2:$A$5</definedName>
    <definedName name="ProjectIDsAll">'Lists'!$B$2:$B$6</definedName>
    <definedName name="ProjectManagers">'Lists'!$C$2:$C$5</definedName>
    <definedName name="ProjectManagersAll">'Lists'!$D$2:$D$6</definedName>
    <definedName name="Clients">'Lists'!$E$2:$E$5</definedName>
    <definedName name="ProjectStatus">'Lists'!$F$2:$F$7</definedName>
    <definedName name="ProjectStatusAll">'Lists'!$G$2:$G$8</definedName>
    <definedName name="TaskStatus">'Lists'!$H$2:$H$7</definedName>
    <definedName name="TaskStatusAll">'Lists'!$I$2:$I$8</definedName>
    <definedName name="MilestoneStatus">'Lists'!$J$2:$J$6</definedName>
    <definedName name="IssueStatus">'Lists'!$K$2:$K$6</definedName>
    <definedName name="Priority">'Lists'!$L$2:$L$5</definedName>
    <definedName name="PriorityAll">'Lists'!$M$2:$M$6</definedName>
    <definedName name="RiskLevel">'Lists'!$N$2:$N$5</definedName>
    <definedName name="RiskLevelAll">'Lists'!$O$2:$O$6</definedName>
    <definedName name="Severity">'Lists'!$P$2:$P$5</definedName>
    <definedName name="ApprovalStatus">'Lists'!$Q$2:$Q$5</definedName>
    <definedName name="TestResult">'Lists'!$R$2:$R$5</definedName>
    <definedName name="RetestStatus">'Lists'!$S$2:$S$5</definedName>
    <definedName name="DeploymentStatus">'Lists'!$T$2:$T$6</definedName>
    <definedName name="YesNo">'Lists'!$U$2:$U$3</definedName>
    <definedName name="Phase">'Lists'!$V$2:$V$10</definedName>
    <definedName name="PhaseAll">'Lists'!$W$2:$W$11</definedName>
    <definedName name="Resources">'Lists'!$X$2:$X$6</definedName>
    <definedName name="ResourcesAll">'Lists'!$Y$2:$Y$7</definedName>
    <definedName name="Owners">'Lists'!$Z$2:$Z$10</definedName>
    <definedName name="Testers">'Lists'!$AA$2:$AA$8</definedName>
    <definedName name="Deployers">'Lists'!$AB$2:$AB$3</definedName>
    <definedName name="Modules">'Lists'!$AC$2:$AC$8</definedName>
    <definedName name="Roles">'Lists'!$AD$2:$AD$6</definedName>
    <definedName name="Environment">'Lists'!$AE$2:$AE$7</definedName>
    <definedName name="ImpactProbability">'Lists'!$AF$2:$AF$6</definedName>
    <definedName name="_xlnm._FilterDatabase" localSheetId="3" hidden="1">'Project Master'!$A$3:$N$103</definedName>
    <definedName name="_xlnm._FilterDatabase" localSheetId="4" hidden="1">'Task Tracker'!$A$3:$N$303</definedName>
    <definedName name="_xlnm._FilterDatabase" localSheetId="5" hidden="1">'Milestone Tracker'!$A$3:$I$153</definedName>
    <definedName name="_xlnm._FilterDatabase" localSheetId="6" hidden="1">'Issue Tracker'!$A$3:$L$203</definedName>
    <definedName name="_xlnm._FilterDatabase" localSheetId="7" hidden="1">'Risk Register'!$A$3:$K$153</definedName>
    <definedName name="_xlnm._FilterDatabase" localSheetId="8" hidden="1">'Resource Tracker'!$A$3:$I$153</definedName>
    <definedName name="_xlnm._FilterDatabase" localSheetId="9" hidden="1">'Change Request Tracker'!$A$3:$K$153</definedName>
    <definedName name="_xlnm._FilterDatabase" localSheetId="10" hidden="1">'UAT Testing Tracker'!$A$3:$J$253</definedName>
    <definedName name="_xlnm._FilterDatabase" localSheetId="11" hidden="1">'Deployment Tracker'!$A$3:$I$103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-mmm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i val="1"/>
      <color rgb="00666666"/>
    </font>
    <font>
      <b val="1"/>
      <color rgb="00FFFFFF"/>
      <sz val="20"/>
    </font>
    <font>
      <b val="1"/>
      <color rgb="00FFFFFF"/>
      <sz val="10"/>
    </font>
    <font>
      <b val="1"/>
      <color rgb="00FFFFFF"/>
      <sz val="18"/>
    </font>
    <font>
      <b val="1"/>
      <color rgb="001F4E78"/>
    </font>
    <font>
      <b val="1"/>
      <color rgb="001F4E78"/>
      <sz val="12"/>
    </font>
    <font>
      <b val="1"/>
      <color rgb="00FFFFFF"/>
      <sz val="8"/>
    </font>
    <font/>
    <font>
      <b val="1"/>
      <color rgb="001F4E78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F8FBFD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/>
  </borders>
  <cellStyleXfs count="1">
    <xf numFmtId="0" fontId="0" fillId="0" borderId="0"/>
  </cellStyleXfs>
  <cellXfs count="50">
    <xf numFmtId="0" fontId="0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7" fillId="3" borderId="1" pivotButton="0" quotePrefix="0" xfId="0"/>
    <xf numFmtId="0" fontId="0" fillId="0" borderId="1" pivotButton="0" quotePrefix="0" xfId="0"/>
    <xf numFmtId="0" fontId="1" fillId="2" borderId="1" pivotButton="0" quotePrefix="0" xfId="0"/>
    <xf numFmtId="9" fontId="0" fillId="0" borderId="1" pivotButton="0" quotePrefix="0" xfId="0"/>
    <xf numFmtId="0" fontId="8" fillId="0" borderId="1" pivotButton="0" quotePrefix="0" xfId="0"/>
    <xf numFmtId="0" fontId="0" fillId="8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7" fillId="0" borderId="0" pivotButton="0" quotePrefix="0" xfId="0"/>
    <xf numFmtId="0" fontId="0" fillId="8" borderId="1" pivotButton="0" quotePrefix="0" xfId="0"/>
    <xf numFmtId="0" fontId="1" fillId="2" borderId="1" applyAlignment="1" pivotButton="0" quotePrefix="0" xfId="0">
      <alignment horizontal="center" wrapText="1"/>
    </xf>
    <xf numFmtId="165" fontId="9" fillId="2" borderId="1" applyAlignment="1" pivotButton="0" quotePrefix="0" xfId="0">
      <alignment horizontal="center" textRotation="45"/>
    </xf>
    <xf numFmtId="164" fontId="0" fillId="0" borderId="1" applyAlignment="1" pivotButton="0" quotePrefix="0" xfId="0">
      <alignment vertical="top" wrapText="1"/>
    </xf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0" pivotButton="0" quotePrefix="0" xfId="0"/>
    <xf numFmtId="0" fontId="10" fillId="0" borderId="10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dxfs count="5"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Dashboard'!$A$16:$A$20</f>
            </numRef>
          </cat>
          <val>
            <numRef>
              <f>'Project Dashboard'!$B$16:$B$20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Resource Workload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'Project Dashboard'!H15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Dashboard'!$G$16:$G$20</f>
            </numRef>
          </cat>
          <val>
            <numRef>
              <f>'Project Dashboard'!$H$16:$H$20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Tasks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Dashboard'!K15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Dashboard'!$J$16:$J$19</f>
            </numRef>
          </cat>
          <val>
            <numRef>
              <f>'Project Dashboard'!$K$16:$K$19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Risk Mix</a:t>
            </a:r>
          </a:p>
        </rich>
      </tx>
    </title>
    <plotArea>
      <doughnutChart>
        <varyColors val="1"/>
        <ser>
          <idx val="0"/>
          <order val="0"/>
          <tx>
            <strRef>
              <f>'Project 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Dashboard'!$D$16:$D$19</f>
            </numRef>
          </cat>
          <val>
            <numRef>
              <f>'Project Dashboard'!$E$16:$E$19</f>
            </numRef>
          </val>
        </ser>
        <dLbls>
          <showPercent val="1"/>
        </dLbls>
        <firstSliceAng val="0"/>
        <holeSize val="45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Filtered Task Gantt Bar Chart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'Gantt Chart'!BN5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'Gantt Chart'!$BM$6:$BM$25</f>
            </numRef>
          </cat>
          <val>
            <numRef>
              <f>'Gantt Chart'!$BN$6:$BN$25</f>
            </numRef>
          </val>
        </ser>
        <ser>
          <idx val="1"/>
          <order val="1"/>
          <tx>
            <strRef>
              <f>'Gantt Chart'!BO5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 Chart'!$BM$6:$BM$25</f>
            </numRef>
          </cat>
          <val>
            <numRef>
              <f>'Gantt Chart'!$BO$6:$BO$25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 from earliest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K3" authorId="0" shapeId="0">
      <text>
        <t>Completion % averages task completion for the same Project ID.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M3" authorId="0" shapeId="0">
      <text>
        <t>Delay Days compares due date with actual completion date or today.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G3" authorId="0" shapeId="0">
      <text>
        <t>Delay Days compares planned date with actual date or today.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K3" authorId="0" shapeId="0">
      <text>
        <t>Delay Days compares target resolution date with actual resolution date or today.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F3" authorId="0" shapeId="0">
      <text>
        <t>Risk Score = Impact x Probability.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24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jectMaster" displayName="ProjectMaster" ref="A3:N103" headerRowCount="1">
  <autoFilter ref="A3:N103"/>
  <tableColumns count="14">
    <tableColumn id="1" name="Project ID"/>
    <tableColumn id="2" name="Project Name"/>
    <tableColumn id="3" name="Client / Bank Name"/>
    <tableColumn id="4" name="Project Manager"/>
    <tableColumn id="5" name="Start Date"/>
    <tableColumn id="6" name="Planned End Date"/>
    <tableColumn id="7" name="Revised End Date"/>
    <tableColumn id="8" name="Actual End Date"/>
    <tableColumn id="9" name="Project Status"/>
    <tableColumn id="10" name="Priority"/>
    <tableColumn id="11" name="Completion %"/>
    <tableColumn id="12" name="Current Phase"/>
    <tableColumn id="13" name="Risk Level"/>
    <tableColumn id="14" name="Remark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skTracker" displayName="TaskTracker" ref="A3:N303" headerRowCount="1">
  <autoFilter ref="A3:N303"/>
  <tableColumns count="14">
    <tableColumn id="1" name="Task ID"/>
    <tableColumn id="2" name="Project ID"/>
    <tableColumn id="3" name="Module Name"/>
    <tableColumn id="4" name="Task Description"/>
    <tableColumn id="5" name="Assigned To"/>
    <tableColumn id="6" name="Start Date"/>
    <tableColumn id="7" name="Due Date"/>
    <tableColumn id="8" name="Actual Completion Date"/>
    <tableColumn id="9" name="Status"/>
    <tableColumn id="10" name="Priority"/>
    <tableColumn id="11" name="Dependency"/>
    <tableColumn id="12" name="Completion %"/>
    <tableColumn id="13" name="Delay Days"/>
    <tableColumn id="14" name="Remark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MilestoneTracker" displayName="MilestoneTracker" ref="A3:I153" headerRowCount="1">
  <autoFilter ref="A3:I153"/>
  <tableColumns count="9">
    <tableColumn id="1" name="Milestone ID"/>
    <tableColumn id="2" name="Project ID"/>
    <tableColumn id="3" name="Milestone Name"/>
    <tableColumn id="4" name="Planned Date"/>
    <tableColumn id="5" name="Actual Date"/>
    <tableColumn id="6" name="Status"/>
    <tableColumn id="7" name="Delay Days"/>
    <tableColumn id="8" name="Owner"/>
    <tableColumn id="9" name="Remark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IssueTracker" displayName="IssueTracker" ref="A3:L203" headerRowCount="1">
  <autoFilter ref="A3:L203"/>
  <tableColumns count="12">
    <tableColumn id="1" name="Issue ID"/>
    <tableColumn id="2" name="Project ID"/>
    <tableColumn id="3" name="Issue Description"/>
    <tableColumn id="4" name="Raised By"/>
    <tableColumn id="5" name="Raised Date"/>
    <tableColumn id="6" name="Assigned To"/>
    <tableColumn id="7" name="Severity"/>
    <tableColumn id="8" name="Status"/>
    <tableColumn id="9" name="Target Resolution Date"/>
    <tableColumn id="10" name="Actual Resolution Date"/>
    <tableColumn id="11" name="Delay Days"/>
    <tableColumn id="12" name="Remark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RiskRegister" displayName="RiskRegister" ref="A3:K153" headerRowCount="1">
  <autoFilter ref="A3:K153"/>
  <tableColumns count="11">
    <tableColumn id="1" name="Risk ID"/>
    <tableColumn id="2" name="Project ID"/>
    <tableColumn id="3" name="Risk Description"/>
    <tableColumn id="4" name="Impact"/>
    <tableColumn id="5" name="Probability"/>
    <tableColumn id="6" name="Risk Score"/>
    <tableColumn id="7" name="Risk Level"/>
    <tableColumn id="8" name="Mitigation Plan"/>
    <tableColumn id="9" name="Owner"/>
    <tableColumn id="10" name="Status"/>
    <tableColumn id="11" name="Remark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ResourceTracker" displayName="ResourceTracker" ref="A3:I153" headerRowCount="1">
  <autoFilter ref="A3:I153"/>
  <tableColumns count="9">
    <tableColumn id="1" name="Resource Name"/>
    <tableColumn id="2" name="Role"/>
    <tableColumn id="3" name="Project ID"/>
    <tableColumn id="4" name="Module"/>
    <tableColumn id="5" name="Allocation %"/>
    <tableColumn id="6" name="Start Date"/>
    <tableColumn id="7" name="End Date"/>
    <tableColumn id="8" name="Current Workload"/>
    <tableColumn id="9" name="Remark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ChangeRequestTracker" displayName="ChangeRequestTracker" ref="A3:K153" headerRowCount="1">
  <autoFilter ref="A3:K153"/>
  <tableColumns count="11">
    <tableColumn id="1" name="CR ID"/>
    <tableColumn id="2" name="Project ID"/>
    <tableColumn id="3" name="Change Description"/>
    <tableColumn id="4" name="Requested By"/>
    <tableColumn id="5" name="Requested Date"/>
    <tableColumn id="6" name="Impact Analysis"/>
    <tableColumn id="7" name="Effort Estimate"/>
    <tableColumn id="8" name="Approval Status"/>
    <tableColumn id="9" name="Target Date"/>
    <tableColumn id="10" name="Status"/>
    <tableColumn id="11" name="Remark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UATTestingTracker" displayName="UATTestingTracker" ref="A3:J253" headerRowCount="1">
  <autoFilter ref="A3:J253"/>
  <tableColumns count="10">
    <tableColumn id="1" name="Test Case ID"/>
    <tableColumn id="2" name="Project ID"/>
    <tableColumn id="3" name="Module"/>
    <tableColumn id="4" name="Test Scenario"/>
    <tableColumn id="5" name="Tester"/>
    <tableColumn id="6" name="Test Date"/>
    <tableColumn id="7" name="Result"/>
    <tableColumn id="8" name="Defect ID"/>
    <tableColumn id="9" name="Retest Status"/>
    <tableColumn id="10" name="Remarks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DeploymentTracker" displayName="DeploymentTracker" ref="A3:I103" headerRowCount="1">
  <autoFilter ref="A3:I103"/>
  <tableColumns count="9">
    <tableColumn id="1" name="Deployment ID"/>
    <tableColumn id="2" name="Project ID"/>
    <tableColumn id="3" name="Environment"/>
    <tableColumn id="4" name="Deployment Date"/>
    <tableColumn id="5" name="Version"/>
    <tableColumn id="6" name="Deployed By"/>
    <tableColumn id="7" name="Deployment Status"/>
    <tableColumn id="8" name="Rollback Required"/>
    <tableColumn id="9" name="Remark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4" customHeight="1">
      <c r="A1" s="30" t="inlineStr">
        <is>
          <t>Software Delivery Project Management Dashboard</t>
        </is>
      </c>
    </row>
    <row r="2">
      <c r="A2" s="2" t="inlineStr">
        <is>
          <t>Use the high-level filters below. All dashboard counts, summaries, and charts respond to these selections.</t>
        </is>
      </c>
      <c r="K2" t="inlineStr">
        <is>
          <t>Last refreshed</t>
        </is>
      </c>
      <c r="L2" s="31">
        <f>TODAY()</f>
        <v/>
      </c>
    </row>
    <row r="3">
      <c r="A3" s="32" t="inlineStr">
        <is>
          <t>Project ID</t>
        </is>
      </c>
      <c r="B3" s="48" t="inlineStr">
        <is>
          <t>All</t>
        </is>
      </c>
      <c r="C3" s="32" t="inlineStr">
        <is>
          <t>Project Manager</t>
        </is>
      </c>
      <c r="D3" s="48" t="inlineStr">
        <is>
          <t>All</t>
        </is>
      </c>
      <c r="E3" s="32" t="inlineStr">
        <is>
          <t>Project Status</t>
        </is>
      </c>
      <c r="F3" s="48" t="inlineStr">
        <is>
          <t>All</t>
        </is>
      </c>
      <c r="G3" s="32" t="inlineStr">
        <is>
          <t>Priority</t>
        </is>
      </c>
      <c r="H3" s="48" t="inlineStr">
        <is>
          <t>All</t>
        </is>
      </c>
      <c r="I3" s="32" t="inlineStr">
        <is>
          <t>Risk Level</t>
        </is>
      </c>
      <c r="J3" s="48" t="inlineStr">
        <is>
          <t>All</t>
        </is>
      </c>
      <c r="K3" s="32" t="inlineStr">
        <is>
          <t>Phase</t>
        </is>
      </c>
      <c r="L3" s="48" t="inlineStr">
        <is>
          <t>All</t>
        </is>
      </c>
    </row>
    <row r="5">
      <c r="A5" s="4" t="inlineStr">
        <is>
          <t>Total Projects</t>
        </is>
      </c>
      <c r="B5" s="37" t="n"/>
      <c r="C5" s="4" t="inlineStr">
        <is>
          <t>Active Projects</t>
        </is>
      </c>
      <c r="D5" s="37" t="n"/>
      <c r="E5" s="6" t="inlineStr">
        <is>
          <t>Completed Projects</t>
        </is>
      </c>
      <c r="F5" s="37" t="n"/>
      <c r="G5" s="8" t="inlineStr">
        <is>
          <t>Delayed Projects</t>
        </is>
      </c>
      <c r="H5" s="37" t="n"/>
      <c r="I5" s="6" t="inlineStr">
        <is>
          <t>Overall Completion</t>
        </is>
      </c>
      <c r="J5" s="37" t="n"/>
      <c r="K5" s="8" t="inlineStr">
        <is>
          <t>High-Risk Projects</t>
        </is>
      </c>
      <c r="L5" s="37" t="n"/>
    </row>
    <row r="6">
      <c r="A6" s="10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Phase]=$L$3))*(1))</f>
        <v/>
      </c>
      <c r="B6" s="38" t="n"/>
      <c r="C6" s="10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Status]="Active")))</f>
        <v/>
      </c>
      <c r="D6" s="38" t="n"/>
      <c r="E6" s="11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Status]="Completed")))</f>
        <v/>
      </c>
      <c r="F6" s="38" t="n"/>
      <c r="G6" s="12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Status]="Delayed")))</f>
        <v/>
      </c>
      <c r="H6" s="38" t="n"/>
      <c r="I6" s="13">
        <f>IFERROR(SUMPRODUCT((ProjectMaster[Project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Phase]=$L$3))*ProjectMaster[Completion %])/SUMPRODUCT((ProjectMaster[Project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Phase]=$L$3))),0)</f>
        <v/>
      </c>
      <c r="J6" s="38" t="n"/>
      <c r="K6" s="12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Phase]=$L$3))*(--((ProjectMaster[Risk Level]="High")+(ProjectMaster[Risk Level]="Critical")&gt;0)))</f>
        <v/>
      </c>
      <c r="L6" s="38" t="n"/>
    </row>
    <row r="7">
      <c r="A7" s="39" t="n"/>
      <c r="B7" s="40" t="n"/>
      <c r="C7" s="39" t="n"/>
      <c r="D7" s="40" t="n"/>
      <c r="E7" s="39" t="n"/>
      <c r="F7" s="40" t="n"/>
      <c r="G7" s="39" t="n"/>
      <c r="H7" s="40" t="n"/>
      <c r="I7" s="39" t="n"/>
      <c r="J7" s="40" t="n"/>
      <c r="K7" s="39" t="n"/>
      <c r="L7" s="40" t="n"/>
    </row>
    <row r="9">
      <c r="A9" s="14" t="inlineStr">
        <is>
          <t>Upcoming Milestones</t>
        </is>
      </c>
      <c r="B9" s="37" t="n"/>
      <c r="C9" s="14" t="inlineStr">
        <is>
          <t>Pending Tasks</t>
        </is>
      </c>
      <c r="D9" s="37" t="n"/>
      <c r="E9" s="8" t="inlineStr">
        <is>
          <t>Open Issues</t>
        </is>
      </c>
      <c r="F9" s="37" t="n"/>
      <c r="G9" s="8" t="inlineStr">
        <is>
          <t>Critical Risks</t>
        </is>
      </c>
      <c r="H9" s="37" t="n"/>
      <c r="I9" s="4" t="inlineStr">
        <is>
          <t>Avg Workload</t>
        </is>
      </c>
      <c r="J9" s="37" t="n"/>
      <c r="K9" s="8" t="inlineStr">
        <is>
          <t>Overallocated</t>
        </is>
      </c>
      <c r="L9" s="37" t="n"/>
    </row>
    <row r="10">
      <c r="A10" s="16">
        <f>SUMPRODUCT((MilestoneTracker[Milestone ID]&lt;&gt;"")*IF($B$3="All",1,--(MilestoneTracker[Project ID]=$B$3))*--(MilestoneTracker[Planned Date]&gt;=TODAY())*--(MilestoneTracker[Planned Date]&lt;=TODAY()+30)*--(MilestoneTracker[Status]&lt;&gt;"Completed"))</f>
        <v/>
      </c>
      <c r="B10" s="38" t="n"/>
      <c r="C10" s="16">
        <f>SUMPRODUCT((TaskTracker[Task ID]&lt;&gt;"")*IF($B$3="All",1,--(TaskTracker[Project ID]=$B$3))*IF($H$3="All",1,--(TaskTracker[Priority]=$H$3))*(--(TaskTracker[Status]&lt;&gt;"Completed")))</f>
        <v/>
      </c>
      <c r="D10" s="38" t="n"/>
      <c r="E10" s="12">
        <f>SUMPRODUCT((IssueTracker[Issue ID]&lt;&gt;"")*IF($B$3="All",1,--(IssueTracker[Project ID]=$B$3))*--(IssueTracker[Status]&lt;&gt;"Closed"))</f>
        <v/>
      </c>
      <c r="F10" s="38" t="n"/>
      <c r="G10" s="12">
        <f>SUMPRODUCT((RiskRegister[Risk ID]&lt;&gt;"")*IF($B$3="All",1,--(RiskRegister[Project ID]=$B$3))*--(RiskRegister[Risk Level]="Critical"))</f>
        <v/>
      </c>
      <c r="H10" s="38" t="n"/>
      <c r="I10" s="17">
        <f>IFERROR(AVERAGEIFS(ResourceTracker[Current Workload],ResourceTracker[Project ID],IF($B$3="All","*",$B$3)),0)</f>
        <v/>
      </c>
      <c r="J10" s="38" t="n"/>
      <c r="K10" s="12">
        <f>SUMPRODUCT((ResourceTracker[Resource Name]&lt;&gt;"")*IF($B$3="All",1,--(ResourceTracker[Project ID]=$B$3))*--(ResourceTracker[Current Workload]&gt;100%))</f>
        <v/>
      </c>
      <c r="L10" s="38" t="n"/>
    </row>
    <row r="11">
      <c r="A11" s="39" t="n"/>
      <c r="B11" s="40" t="n"/>
      <c r="C11" s="39" t="n"/>
      <c r="D11" s="40" t="n"/>
      <c r="E11" s="39" t="n"/>
      <c r="F11" s="40" t="n"/>
      <c r="G11" s="39" t="n"/>
      <c r="H11" s="40" t="n"/>
      <c r="I11" s="39" t="n"/>
      <c r="J11" s="40" t="n"/>
      <c r="K11" s="39" t="n"/>
      <c r="L11" s="40" t="n"/>
    </row>
    <row r="14">
      <c r="A14" s="18" t="inlineStr">
        <is>
          <t>Project Status Summary</t>
        </is>
      </c>
      <c r="B14" s="37" t="n"/>
      <c r="D14" s="18" t="inlineStr">
        <is>
          <t>Risk Summary</t>
        </is>
      </c>
      <c r="E14" s="37" t="n"/>
      <c r="G14" s="18" t="inlineStr">
        <is>
          <t>Resource Workload Summary</t>
        </is>
      </c>
      <c r="H14" s="37" t="n"/>
      <c r="J14" s="18" t="inlineStr">
        <is>
          <t>Task Priority Summary</t>
        </is>
      </c>
      <c r="K14" s="37" t="n"/>
    </row>
    <row r="15">
      <c r="A15" s="20" t="inlineStr">
        <is>
          <t>Status</t>
        </is>
      </c>
      <c r="B15" s="20" t="inlineStr">
        <is>
          <t>Count</t>
        </is>
      </c>
      <c r="D15" s="20" t="inlineStr">
        <is>
          <t>Risk Level</t>
        </is>
      </c>
      <c r="E15" s="20" t="inlineStr">
        <is>
          <t>Count</t>
        </is>
      </c>
      <c r="G15" s="20" t="inlineStr">
        <is>
          <t>Resource</t>
        </is>
      </c>
      <c r="H15" s="20" t="inlineStr">
        <is>
          <t>Workload</t>
        </is>
      </c>
      <c r="J15" s="20" t="inlineStr">
        <is>
          <t>Priority</t>
        </is>
      </c>
      <c r="K15" s="20" t="inlineStr">
        <is>
          <t>Open Tasks</t>
        </is>
      </c>
    </row>
    <row r="16">
      <c r="A16" s="19" t="inlineStr">
        <is>
          <t>Active</t>
        </is>
      </c>
      <c r="B16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Status]=A16)))</f>
        <v/>
      </c>
      <c r="D16" s="19" t="inlineStr">
        <is>
          <t>Low</t>
        </is>
      </c>
      <c r="E16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Phase]=$L$3))*(--(ProjectMaster[Risk Level]=D16)))</f>
        <v/>
      </c>
      <c r="G16" s="19">
        <f>IFERROR(INDEX(UNIQUE(FILTER(ResourceTracker[Resource Name],(ResourceTracker[Resource Name]&lt;&gt;"")*IF($B$3="All",1,--(ResourceTracker[Project ID]=$B$3)))),ROWS($G$16:G16)),"")</f>
        <v/>
      </c>
      <c r="H16" s="21">
        <f>IF(G16="","",SUMIFS(ResourceTracker[Allocation %],ResourceTracker[Resource Name],G16,ResourceTracker[Project ID],IF($B$3="All","*",$B$3)))</f>
        <v/>
      </c>
      <c r="J16" s="19" t="inlineStr">
        <is>
          <t>Critical</t>
        </is>
      </c>
      <c r="K16" s="19">
        <f>SUMPRODUCT((TaskTracker[Task ID]&lt;&gt;"")*IF($B$3="All",1,--(TaskTracker[Project ID]=$B$3))*IF($H$3="All",1,--(TaskTracker[Priority]=$H$3))*(--(TaskTracker[Priority]=J16)*--(TaskTracker[Status]&lt;&gt;"Completed")))</f>
        <v/>
      </c>
    </row>
    <row r="17">
      <c r="A17" s="19" t="inlineStr">
        <is>
          <t>Completed</t>
        </is>
      </c>
      <c r="B17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Status]=A17)))</f>
        <v/>
      </c>
      <c r="D17" s="19" t="inlineStr">
        <is>
          <t>Medium</t>
        </is>
      </c>
      <c r="E17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Phase]=$L$3))*(--(ProjectMaster[Risk Level]=D17)))</f>
        <v/>
      </c>
      <c r="G17" s="19">
        <f>IFERROR(INDEX(UNIQUE(FILTER(ResourceTracker[Resource Name],(ResourceTracker[Resource Name]&lt;&gt;"")*IF($B$3="All",1,--(ResourceTracker[Project ID]=$B$3)))),ROWS($G$16:G17)),"")</f>
        <v/>
      </c>
      <c r="H17" s="21">
        <f>IF(G17="","",SUMIFS(ResourceTracker[Allocation %],ResourceTracker[Resource Name],G17,ResourceTracker[Project ID],IF($B$3="All","*",$B$3)))</f>
        <v/>
      </c>
      <c r="J17" s="19" t="inlineStr">
        <is>
          <t>High</t>
        </is>
      </c>
      <c r="K17" s="19">
        <f>SUMPRODUCT((TaskTracker[Task ID]&lt;&gt;"")*IF($B$3="All",1,--(TaskTracker[Project ID]=$B$3))*IF($H$3="All",1,--(TaskTracker[Priority]=$H$3))*(--(TaskTracker[Priority]=J17)*--(TaskTracker[Status]&lt;&gt;"Completed")))</f>
        <v/>
      </c>
    </row>
    <row r="18">
      <c r="A18" s="19" t="inlineStr">
        <is>
          <t>Delayed</t>
        </is>
      </c>
      <c r="B18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Status]=A18)))</f>
        <v/>
      </c>
      <c r="D18" s="19" t="inlineStr">
        <is>
          <t>High</t>
        </is>
      </c>
      <c r="E18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Phase]=$L$3))*(--(ProjectMaster[Risk Level]=D18)))</f>
        <v/>
      </c>
      <c r="G18" s="19">
        <f>IFERROR(INDEX(UNIQUE(FILTER(ResourceTracker[Resource Name],(ResourceTracker[Resource Name]&lt;&gt;"")*IF($B$3="All",1,--(ResourceTracker[Project ID]=$B$3)))),ROWS($G$16:G18)),"")</f>
        <v/>
      </c>
      <c r="H18" s="21">
        <f>IF(G18="","",SUMIFS(ResourceTracker[Allocation %],ResourceTracker[Resource Name],G18,ResourceTracker[Project ID],IF($B$3="All","*",$B$3)))</f>
        <v/>
      </c>
      <c r="J18" s="19" t="inlineStr">
        <is>
          <t>Medium</t>
        </is>
      </c>
      <c r="K18" s="19">
        <f>SUMPRODUCT((TaskTracker[Task ID]&lt;&gt;"")*IF($B$3="All",1,--(TaskTracker[Project ID]=$B$3))*IF($H$3="All",1,--(TaskTracker[Priority]=$H$3))*(--(TaskTracker[Priority]=J18)*--(TaskTracker[Status]&lt;&gt;"Completed")))</f>
        <v/>
      </c>
    </row>
    <row r="19">
      <c r="A19" s="19" t="inlineStr">
        <is>
          <t>On Hold</t>
        </is>
      </c>
      <c r="B19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Status]=A19)))</f>
        <v/>
      </c>
      <c r="D19" s="19" t="inlineStr">
        <is>
          <t>Critical</t>
        </is>
      </c>
      <c r="E19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Phase]=$L$3))*(--(ProjectMaster[Risk Level]=D19)))</f>
        <v/>
      </c>
      <c r="G19" s="19">
        <f>IFERROR(INDEX(UNIQUE(FILTER(ResourceTracker[Resource Name],(ResourceTracker[Resource Name]&lt;&gt;"")*IF($B$3="All",1,--(ResourceTracker[Project ID]=$B$3)))),ROWS($G$16:G19)),"")</f>
        <v/>
      </c>
      <c r="H19" s="21">
        <f>IF(G19="","",SUMIFS(ResourceTracker[Allocation %],ResourceTracker[Resource Name],G19,ResourceTracker[Project ID],IF($B$3="All","*",$B$3)))</f>
        <v/>
      </c>
      <c r="J19" s="19" t="inlineStr">
        <is>
          <t>Low</t>
        </is>
      </c>
      <c r="K19" s="19">
        <f>SUMPRODUCT((TaskTracker[Task ID]&lt;&gt;"")*IF($B$3="All",1,--(TaskTracker[Project ID]=$B$3))*IF($H$3="All",1,--(TaskTracker[Priority]=$H$3))*(--(TaskTracker[Priority]=J19)*--(TaskTracker[Status]&lt;&gt;"Completed")))</f>
        <v/>
      </c>
    </row>
    <row r="20">
      <c r="A20" s="19" t="inlineStr">
        <is>
          <t>Not Started</t>
        </is>
      </c>
      <c r="B20" s="19">
        <f>SUMPRODUCT((ProjectMaster[Project ID]&lt;&gt;"")*IF($B$3="All",1,--(ProjectMaster[Project ID]=$B$3))*IF($D$3="All",1,--(ProjectMaster[Project Manager]=$D$3))*IF($F$3="All",1,--(ProjectMaster[Project Status]=$F$3))*IF($H$3="All",1,--(ProjectMaster[Priority]=$H$3))*IF($J$3="All",1,--(ProjectMaster[Risk Level]=$J$3))*IF($L$3="All",1,--(ProjectMaster[Current Phase]=$L$3))*(--(ProjectMaster[Project Status]=A20)))</f>
        <v/>
      </c>
      <c r="G20" s="19">
        <f>IFERROR(INDEX(UNIQUE(FILTER(ResourceTracker[Resource Name],(ResourceTracker[Resource Name]&lt;&gt;"")*IF($B$3="All",1,--(ResourceTracker[Project ID]=$B$3)))),ROWS($G$16:G20)),"")</f>
        <v/>
      </c>
      <c r="H20" s="21">
        <f>IF(G20="","",SUMIFS(ResourceTracker[Allocation %],ResourceTracker[Resource Name],G20,ResourceTracker[Project ID],IF($B$3="All","*",$B$3)))</f>
        <v/>
      </c>
    </row>
    <row r="40">
      <c r="A40" s="22" t="inlineStr">
        <is>
          <t>Daily Tracking Notes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23" t="inlineStr">
        <is>
          <t>Filters at the top are intended for high-level management review. Tracker sheets still retain their own table filters for detailed daily tracking.</t>
        </is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38" t="n"/>
    </row>
    <row r="42">
      <c r="A42" s="42" t="n"/>
      <c r="L42" s="43" t="n"/>
    </row>
    <row r="43">
      <c r="A43" s="39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0" t="n"/>
    </row>
  </sheetData>
  <mergeCells count="30">
    <mergeCell ref="E6:F7"/>
    <mergeCell ref="G6:H7"/>
    <mergeCell ref="J14:K14"/>
    <mergeCell ref="A41:L43"/>
    <mergeCell ref="C5:D5"/>
    <mergeCell ref="K9:L9"/>
    <mergeCell ref="E5:F5"/>
    <mergeCell ref="K5:L5"/>
    <mergeCell ref="I10:J11"/>
    <mergeCell ref="A10:B11"/>
    <mergeCell ref="K10:L11"/>
    <mergeCell ref="C9:D9"/>
    <mergeCell ref="E9:F9"/>
    <mergeCell ref="C6:D7"/>
    <mergeCell ref="I6:J7"/>
    <mergeCell ref="K6:L7"/>
    <mergeCell ref="A5:B5"/>
    <mergeCell ref="G5:H5"/>
    <mergeCell ref="I5:J5"/>
    <mergeCell ref="A14:B14"/>
    <mergeCell ref="G14:H14"/>
    <mergeCell ref="C10:D11"/>
    <mergeCell ref="E10:F11"/>
    <mergeCell ref="A1:L1"/>
    <mergeCell ref="G10:H11"/>
    <mergeCell ref="A6:B7"/>
    <mergeCell ref="D14:E14"/>
    <mergeCell ref="A9:B9"/>
    <mergeCell ref="G9:H9"/>
    <mergeCell ref="I9:J9"/>
  </mergeCells>
  <dataValidations count="6">
    <dataValidation sqref="B3" showDropDown="0" showInputMessage="0" showErrorMessage="1" allowBlank="0" errorTitle="Invalid selection" error="Select a value from the dropdown list." promptTitle="Dropdown" prompt="Choose from the list." type="list">
      <formula1>='Lists'!$B$2:$B$6</formula1>
    </dataValidation>
    <dataValidation sqref="D3" showDropDown="0" showInputMessage="0" showErrorMessage="1" allowBlank="0" errorTitle="Invalid selection" error="Select a value from the dropdown list." promptTitle="Dropdown" prompt="Choose from the list." type="list">
      <formula1>='Lists'!$D$2:$D$6</formula1>
    </dataValidation>
    <dataValidation sqref="F3" showDropDown="0" showInputMessage="0" showErrorMessage="1" allowBlank="0" errorTitle="Invalid selection" error="Select a value from the dropdown list." promptTitle="Dropdown" prompt="Choose from the list." type="list">
      <formula1>='Lists'!$G$2:$G$8</formula1>
    </dataValidation>
    <dataValidation sqref="H3" showDropDown="0" showInputMessage="0" showErrorMessage="1" allowBlank="0" errorTitle="Invalid selection" error="Select a value from the dropdown list." promptTitle="Dropdown" prompt="Choose from the list." type="list">
      <formula1>='Lists'!$M$2:$M$6</formula1>
    </dataValidation>
    <dataValidation sqref="J3" showDropDown="0" showInputMessage="0" showErrorMessage="1" allowBlank="0" errorTitle="Invalid selection" error="Select a value from the dropdown list." promptTitle="Dropdown" prompt="Choose from the list." type="list">
      <formula1>='Lists'!$O$2:$O$6</formula1>
    </dataValidation>
    <dataValidation sqref="L3" showDropDown="0" showInputMessage="0" showErrorMessage="1" allowBlank="0" errorTitle="Invalid selection" error="Select a value from the dropdown list." promptTitle="Dropdown" prompt="Choose from the list." type="list">
      <formula1>='Lists'!$W$2:$W$11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05"/>
  <sheetViews>
    <sheetView showGridLines="0" workbookViewId="0">
      <pane xSplit="10" ySplit="5" topLeftCell="K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4" customWidth="1" min="4" max="4"/>
    <col width="18" customWidth="1" min="5" max="5"/>
    <col width="13" customWidth="1" min="6" max="6"/>
    <col width="13" customWidth="1" min="7" max="7"/>
    <col width="14" customWidth="1" min="8" max="8"/>
    <col width="12" customWidth="1" min="9" max="9"/>
    <col width="11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hidden="1" width="13" customWidth="1" min="65" max="65"/>
    <col hidden="1" width="13" customWidth="1" min="66" max="66"/>
    <col hidden="1" width="13" customWidth="1" min="67" max="67"/>
  </cols>
  <sheetData>
    <row r="1" ht="34" customHeight="1">
      <c r="A1" s="1" t="inlineStr">
        <is>
          <t>Task Gantt Chart</t>
        </is>
      </c>
    </row>
    <row r="2">
      <c r="A2" s="32" t="inlineStr">
        <is>
          <t>Project ID</t>
        </is>
      </c>
      <c r="B2" s="48" t="inlineStr">
        <is>
          <t>All</t>
        </is>
      </c>
      <c r="D2" s="32" t="inlineStr">
        <is>
          <t>Task Status</t>
        </is>
      </c>
      <c r="E2" s="48" t="inlineStr">
        <is>
          <t>All</t>
        </is>
      </c>
      <c r="G2" s="32" t="inlineStr">
        <is>
          <t>Assigned To</t>
        </is>
      </c>
      <c r="H2" s="48" t="inlineStr">
        <is>
          <t>All</t>
        </is>
      </c>
    </row>
    <row r="3">
      <c r="A3" s="2" t="inlineStr">
        <is>
          <t>Use the selectors above to filter the task timeline. The weekly Gantt grid and bar chart read from Task Tracker.</t>
        </is>
      </c>
    </row>
    <row r="5">
      <c r="A5" s="34" t="inlineStr">
        <is>
          <t>Task ID</t>
        </is>
      </c>
      <c r="B5" s="34" t="inlineStr">
        <is>
          <t>Project ID</t>
        </is>
      </c>
      <c r="C5" s="34" t="inlineStr">
        <is>
          <t>Module</t>
        </is>
      </c>
      <c r="D5" s="34" t="inlineStr">
        <is>
          <t>Task Description</t>
        </is>
      </c>
      <c r="E5" s="34" t="inlineStr">
        <is>
          <t>Assigned To</t>
        </is>
      </c>
      <c r="F5" s="34" t="inlineStr">
        <is>
          <t>Start Date</t>
        </is>
      </c>
      <c r="G5" s="34" t="inlineStr">
        <is>
          <t>Due Date</t>
        </is>
      </c>
      <c r="H5" s="34" t="inlineStr">
        <is>
          <t>Status</t>
        </is>
      </c>
      <c r="I5" s="34" t="inlineStr">
        <is>
          <t>Completion %</t>
        </is>
      </c>
      <c r="J5" s="34" t="inlineStr">
        <is>
          <t>Delay Days</t>
        </is>
      </c>
      <c r="K5" s="35">
        <f>TODAY()-WEEKDAY(TODAY(),2)-28</f>
        <v/>
      </c>
      <c r="L5" s="35">
        <f>K5+7</f>
        <v/>
      </c>
      <c r="M5" s="35">
        <f>L5+7</f>
        <v/>
      </c>
      <c r="N5" s="35">
        <f>M5+7</f>
        <v/>
      </c>
      <c r="O5" s="35">
        <f>N5+7</f>
        <v/>
      </c>
      <c r="P5" s="35">
        <f>O5+7</f>
        <v/>
      </c>
      <c r="Q5" s="35">
        <f>P5+7</f>
        <v/>
      </c>
      <c r="R5" s="35">
        <f>Q5+7</f>
        <v/>
      </c>
      <c r="S5" s="35">
        <f>R5+7</f>
        <v/>
      </c>
      <c r="T5" s="35">
        <f>S5+7</f>
        <v/>
      </c>
      <c r="U5" s="35">
        <f>T5+7</f>
        <v/>
      </c>
      <c r="V5" s="35">
        <f>U5+7</f>
        <v/>
      </c>
      <c r="W5" s="35">
        <f>V5+7</f>
        <v/>
      </c>
      <c r="X5" s="35">
        <f>W5+7</f>
        <v/>
      </c>
      <c r="Y5" s="35">
        <f>X5+7</f>
        <v/>
      </c>
      <c r="Z5" s="35">
        <f>Y5+7</f>
        <v/>
      </c>
      <c r="AA5" s="35">
        <f>Z5+7</f>
        <v/>
      </c>
      <c r="AB5" s="35">
        <f>AA5+7</f>
        <v/>
      </c>
      <c r="AC5" s="35">
        <f>AB5+7</f>
        <v/>
      </c>
      <c r="AD5" s="35">
        <f>AC5+7</f>
        <v/>
      </c>
      <c r="AE5" s="35">
        <f>AD5+7</f>
        <v/>
      </c>
      <c r="AF5" s="35">
        <f>AE5+7</f>
        <v/>
      </c>
      <c r="AG5" s="35">
        <f>AF5+7</f>
        <v/>
      </c>
      <c r="AH5" s="35">
        <f>AG5+7</f>
        <v/>
      </c>
      <c r="AI5" s="35">
        <f>AH5+7</f>
        <v/>
      </c>
      <c r="AJ5" s="35">
        <f>AI5+7</f>
        <v/>
      </c>
      <c r="AK5" s="35">
        <f>AJ5+7</f>
        <v/>
      </c>
      <c r="AL5" s="35">
        <f>AK5+7</f>
        <v/>
      </c>
      <c r="AM5" s="35">
        <f>AL5+7</f>
        <v/>
      </c>
      <c r="AN5" s="35">
        <f>AM5+7</f>
        <v/>
      </c>
      <c r="AO5" s="35">
        <f>AN5+7</f>
        <v/>
      </c>
      <c r="AP5" s="35">
        <f>AO5+7</f>
        <v/>
      </c>
      <c r="AQ5" s="35">
        <f>AP5+7</f>
        <v/>
      </c>
      <c r="AR5" s="35">
        <f>AQ5+7</f>
        <v/>
      </c>
      <c r="AS5" s="35">
        <f>AR5+7</f>
        <v/>
      </c>
      <c r="AT5" s="35">
        <f>AS5+7</f>
        <v/>
      </c>
      <c r="AU5" s="35">
        <f>AT5+7</f>
        <v/>
      </c>
      <c r="AV5" s="35">
        <f>AU5+7</f>
        <v/>
      </c>
      <c r="AW5" s="35">
        <f>AV5+7</f>
        <v/>
      </c>
      <c r="AX5" s="35">
        <f>AW5+7</f>
        <v/>
      </c>
      <c r="AY5" s="35">
        <f>AX5+7</f>
        <v/>
      </c>
      <c r="AZ5" s="35">
        <f>AY5+7</f>
        <v/>
      </c>
      <c r="BA5" s="35">
        <f>AZ5+7</f>
        <v/>
      </c>
      <c r="BB5" s="35">
        <f>BA5+7</f>
        <v/>
      </c>
      <c r="BC5" s="35">
        <f>BB5+7</f>
        <v/>
      </c>
      <c r="BD5" s="35">
        <f>BC5+7</f>
        <v/>
      </c>
      <c r="BE5" s="35">
        <f>BD5+7</f>
        <v/>
      </c>
      <c r="BF5" s="35">
        <f>BE5+7</f>
        <v/>
      </c>
      <c r="BG5" s="35">
        <f>BF5+7</f>
        <v/>
      </c>
      <c r="BH5" s="35">
        <f>BG5+7</f>
        <v/>
      </c>
      <c r="BI5" s="35">
        <f>BH5+7</f>
        <v/>
      </c>
      <c r="BJ5" s="35">
        <f>BI5+7</f>
        <v/>
      </c>
      <c r="BM5" s="24" t="inlineStr">
        <is>
          <t>Task</t>
        </is>
      </c>
      <c r="BN5" s="24" t="inlineStr">
        <is>
          <t>Start Offset</t>
        </is>
      </c>
      <c r="BO5" s="24" t="inlineStr">
        <is>
          <t>Duration</t>
        </is>
      </c>
    </row>
    <row r="6">
      <c r="A6" s="27">
        <f>FILTER(CHOOSE({1,2,3,4,5,6,7,8,9,10},TaskTracker[Task ID],TaskTracker[Project ID],TaskTracker[Module Name],TaskTracker[Task Description],TaskTracker[Assigned To],TaskTracker[Start Date],TaskTracker[Due Date],TaskTracker[Status],TaskTracker[Completion %],TaskTracker[Delay Days]),(TaskTracker[Task ID]&lt;&gt;"")*IF($B$2="All",1,--(TaskTracker[Project ID]=$B$2))*IF($E$2="All",1,--(TaskTracker[Status]=$E$2))*IF($H$2="All",1,--(TaskTracker[Assigned To]=$H$2)),"No matching tasks")</f>
        <v/>
      </c>
      <c r="B6" s="27" t="n"/>
      <c r="C6" s="27" t="n"/>
      <c r="D6" s="27" t="n"/>
      <c r="E6" s="27" t="n"/>
      <c r="F6" s="36" t="n"/>
      <c r="G6" s="36" t="n"/>
      <c r="H6" s="27" t="n"/>
      <c r="I6" s="29" t="n"/>
      <c r="J6" s="27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M6">
        <f>IF($A6="","",$A6&amp;" - "&amp;$D6)</f>
        <v/>
      </c>
      <c r="BN6">
        <f>IF($F6="","",$F6-MIN($F$6:$F$105))</f>
        <v/>
      </c>
      <c r="BO6">
        <f>IF(OR($F6="",$G6=""),"",$G6-$F6+1)</f>
        <v/>
      </c>
    </row>
    <row r="7">
      <c r="A7" s="27" t="n"/>
      <c r="B7" s="27" t="n"/>
      <c r="C7" s="27" t="n"/>
      <c r="D7" s="27" t="n"/>
      <c r="E7" s="27" t="n"/>
      <c r="F7" s="36" t="n"/>
      <c r="G7" s="36" t="n"/>
      <c r="H7" s="27" t="n"/>
      <c r="I7" s="29" t="n"/>
      <c r="J7" s="27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M7">
        <f>IF($A7="","",$A7&amp;" - "&amp;$D7)</f>
        <v/>
      </c>
      <c r="BN7">
        <f>IF($F7="","",$F7-MIN($F$6:$F$105))</f>
        <v/>
      </c>
      <c r="BO7">
        <f>IF(OR($F7="",$G7=""),"",$G7-$F7+1)</f>
        <v/>
      </c>
    </row>
    <row r="8">
      <c r="A8" s="27" t="n"/>
      <c r="B8" s="27" t="n"/>
      <c r="C8" s="27" t="n"/>
      <c r="D8" s="27" t="n"/>
      <c r="E8" s="27" t="n"/>
      <c r="F8" s="36" t="n"/>
      <c r="G8" s="36" t="n"/>
      <c r="H8" s="27" t="n"/>
      <c r="I8" s="29" t="n"/>
      <c r="J8" s="27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M8">
        <f>IF($A8="","",$A8&amp;" - "&amp;$D8)</f>
        <v/>
      </c>
      <c r="BN8">
        <f>IF($F8="","",$F8-MIN($F$6:$F$105))</f>
        <v/>
      </c>
      <c r="BO8">
        <f>IF(OR($F8="",$G8=""),"",$G8-$F8+1)</f>
        <v/>
      </c>
    </row>
    <row r="9">
      <c r="A9" s="27" t="n"/>
      <c r="B9" s="27" t="n"/>
      <c r="C9" s="27" t="n"/>
      <c r="D9" s="27" t="n"/>
      <c r="E9" s="27" t="n"/>
      <c r="F9" s="36" t="n"/>
      <c r="G9" s="36" t="n"/>
      <c r="H9" s="27" t="n"/>
      <c r="I9" s="29" t="n"/>
      <c r="J9" s="27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M9">
        <f>IF($A9="","",$A9&amp;" - "&amp;$D9)</f>
        <v/>
      </c>
      <c r="BN9">
        <f>IF($F9="","",$F9-MIN($F$6:$F$105))</f>
        <v/>
      </c>
      <c r="BO9">
        <f>IF(OR($F9="",$G9=""),"",$G9-$F9+1)</f>
        <v/>
      </c>
    </row>
    <row r="10">
      <c r="A10" s="27" t="n"/>
      <c r="B10" s="27" t="n"/>
      <c r="C10" s="27" t="n"/>
      <c r="D10" s="27" t="n"/>
      <c r="E10" s="27" t="n"/>
      <c r="F10" s="36" t="n"/>
      <c r="G10" s="36" t="n"/>
      <c r="H10" s="27" t="n"/>
      <c r="I10" s="29" t="n"/>
      <c r="J10" s="27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M10">
        <f>IF($A10="","",$A10&amp;" - "&amp;$D10)</f>
        <v/>
      </c>
      <c r="BN10">
        <f>IF($F10="","",$F10-MIN($F$6:$F$105))</f>
        <v/>
      </c>
      <c r="BO10">
        <f>IF(OR($F10="",$G10=""),"",$G10-$F10+1)</f>
        <v/>
      </c>
    </row>
    <row r="11">
      <c r="A11" s="27" t="n"/>
      <c r="B11" s="27" t="n"/>
      <c r="C11" s="27" t="n"/>
      <c r="D11" s="27" t="n"/>
      <c r="E11" s="27" t="n"/>
      <c r="F11" s="36" t="n"/>
      <c r="G11" s="36" t="n"/>
      <c r="H11" s="27" t="n"/>
      <c r="I11" s="29" t="n"/>
      <c r="J11" s="27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M11">
        <f>IF($A11="","",$A11&amp;" - "&amp;$D11)</f>
        <v/>
      </c>
      <c r="BN11">
        <f>IF($F11="","",$F11-MIN($F$6:$F$105))</f>
        <v/>
      </c>
      <c r="BO11">
        <f>IF(OR($F11="",$G11=""),"",$G11-$F11+1)</f>
        <v/>
      </c>
    </row>
    <row r="12">
      <c r="A12" s="27" t="n"/>
      <c r="B12" s="27" t="n"/>
      <c r="C12" s="27" t="n"/>
      <c r="D12" s="27" t="n"/>
      <c r="E12" s="27" t="n"/>
      <c r="F12" s="36" t="n"/>
      <c r="G12" s="36" t="n"/>
      <c r="H12" s="27" t="n"/>
      <c r="I12" s="29" t="n"/>
      <c r="J12" s="27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M12">
        <f>IF($A12="","",$A12&amp;" - "&amp;$D12)</f>
        <v/>
      </c>
      <c r="BN12">
        <f>IF($F12="","",$F12-MIN($F$6:$F$105))</f>
        <v/>
      </c>
      <c r="BO12">
        <f>IF(OR($F12="",$G12=""),"",$G12-$F12+1)</f>
        <v/>
      </c>
    </row>
    <row r="13">
      <c r="A13" s="27" t="n"/>
      <c r="B13" s="27" t="n"/>
      <c r="C13" s="27" t="n"/>
      <c r="D13" s="27" t="n"/>
      <c r="E13" s="27" t="n"/>
      <c r="F13" s="36" t="n"/>
      <c r="G13" s="36" t="n"/>
      <c r="H13" s="27" t="n"/>
      <c r="I13" s="29" t="n"/>
      <c r="J13" s="27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M13">
        <f>IF($A13="","",$A13&amp;" - "&amp;$D13)</f>
        <v/>
      </c>
      <c r="BN13">
        <f>IF($F13="","",$F13-MIN($F$6:$F$105))</f>
        <v/>
      </c>
      <c r="BO13">
        <f>IF(OR($F13="",$G13=""),"",$G13-$F13+1)</f>
        <v/>
      </c>
    </row>
    <row r="14">
      <c r="A14" s="27" t="n"/>
      <c r="B14" s="27" t="n"/>
      <c r="C14" s="27" t="n"/>
      <c r="D14" s="27" t="n"/>
      <c r="E14" s="27" t="n"/>
      <c r="F14" s="36" t="n"/>
      <c r="G14" s="36" t="n"/>
      <c r="H14" s="27" t="n"/>
      <c r="I14" s="29" t="n"/>
      <c r="J14" s="27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M14">
        <f>IF($A14="","",$A14&amp;" - "&amp;$D14)</f>
        <v/>
      </c>
      <c r="BN14">
        <f>IF($F14="","",$F14-MIN($F$6:$F$105))</f>
        <v/>
      </c>
      <c r="BO14">
        <f>IF(OR($F14="",$G14=""),"",$G14-$F14+1)</f>
        <v/>
      </c>
    </row>
    <row r="15">
      <c r="A15" s="27" t="n"/>
      <c r="B15" s="27" t="n"/>
      <c r="C15" s="27" t="n"/>
      <c r="D15" s="27" t="n"/>
      <c r="E15" s="27" t="n"/>
      <c r="F15" s="36" t="n"/>
      <c r="G15" s="36" t="n"/>
      <c r="H15" s="27" t="n"/>
      <c r="I15" s="29" t="n"/>
      <c r="J15" s="27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M15">
        <f>IF($A15="","",$A15&amp;" - "&amp;$D15)</f>
        <v/>
      </c>
      <c r="BN15">
        <f>IF($F15="","",$F15-MIN($F$6:$F$105))</f>
        <v/>
      </c>
      <c r="BO15">
        <f>IF(OR($F15="",$G15=""),"",$G15-$F15+1)</f>
        <v/>
      </c>
    </row>
    <row r="16">
      <c r="A16" s="27" t="n"/>
      <c r="B16" s="27" t="n"/>
      <c r="C16" s="27" t="n"/>
      <c r="D16" s="27" t="n"/>
      <c r="E16" s="27" t="n"/>
      <c r="F16" s="36" t="n"/>
      <c r="G16" s="36" t="n"/>
      <c r="H16" s="27" t="n"/>
      <c r="I16" s="29" t="n"/>
      <c r="J16" s="27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M16">
        <f>IF($A16="","",$A16&amp;" - "&amp;$D16)</f>
        <v/>
      </c>
      <c r="BN16">
        <f>IF($F16="","",$F16-MIN($F$6:$F$105))</f>
        <v/>
      </c>
      <c r="BO16">
        <f>IF(OR($F16="",$G16=""),"",$G16-$F16+1)</f>
        <v/>
      </c>
    </row>
    <row r="17">
      <c r="A17" s="27" t="n"/>
      <c r="B17" s="27" t="n"/>
      <c r="C17" s="27" t="n"/>
      <c r="D17" s="27" t="n"/>
      <c r="E17" s="27" t="n"/>
      <c r="F17" s="36" t="n"/>
      <c r="G17" s="36" t="n"/>
      <c r="H17" s="27" t="n"/>
      <c r="I17" s="29" t="n"/>
      <c r="J17" s="27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M17">
        <f>IF($A17="","",$A17&amp;" - "&amp;$D17)</f>
        <v/>
      </c>
      <c r="BN17">
        <f>IF($F17="","",$F17-MIN($F$6:$F$105))</f>
        <v/>
      </c>
      <c r="BO17">
        <f>IF(OR($F17="",$G17=""),"",$G17-$F17+1)</f>
        <v/>
      </c>
    </row>
    <row r="18">
      <c r="A18" s="27" t="n"/>
      <c r="B18" s="27" t="n"/>
      <c r="C18" s="27" t="n"/>
      <c r="D18" s="27" t="n"/>
      <c r="E18" s="27" t="n"/>
      <c r="F18" s="36" t="n"/>
      <c r="G18" s="36" t="n"/>
      <c r="H18" s="27" t="n"/>
      <c r="I18" s="29" t="n"/>
      <c r="J18" s="27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M18">
        <f>IF($A18="","",$A18&amp;" - "&amp;$D18)</f>
        <v/>
      </c>
      <c r="BN18">
        <f>IF($F18="","",$F18-MIN($F$6:$F$105))</f>
        <v/>
      </c>
      <c r="BO18">
        <f>IF(OR($F18="",$G18=""),"",$G18-$F18+1)</f>
        <v/>
      </c>
    </row>
    <row r="19">
      <c r="A19" s="27" t="n"/>
      <c r="B19" s="27" t="n"/>
      <c r="C19" s="27" t="n"/>
      <c r="D19" s="27" t="n"/>
      <c r="E19" s="27" t="n"/>
      <c r="F19" s="36" t="n"/>
      <c r="G19" s="36" t="n"/>
      <c r="H19" s="27" t="n"/>
      <c r="I19" s="29" t="n"/>
      <c r="J19" s="27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M19">
        <f>IF($A19="","",$A19&amp;" - "&amp;$D19)</f>
        <v/>
      </c>
      <c r="BN19">
        <f>IF($F19="","",$F19-MIN($F$6:$F$105))</f>
        <v/>
      </c>
      <c r="BO19">
        <f>IF(OR($F19="",$G19=""),"",$G19-$F19+1)</f>
        <v/>
      </c>
    </row>
    <row r="20">
      <c r="A20" s="27" t="n"/>
      <c r="B20" s="27" t="n"/>
      <c r="C20" s="27" t="n"/>
      <c r="D20" s="27" t="n"/>
      <c r="E20" s="27" t="n"/>
      <c r="F20" s="36" t="n"/>
      <c r="G20" s="36" t="n"/>
      <c r="H20" s="27" t="n"/>
      <c r="I20" s="29" t="n"/>
      <c r="J20" s="27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M20">
        <f>IF($A20="","",$A20&amp;" - "&amp;$D20)</f>
        <v/>
      </c>
      <c r="BN20">
        <f>IF($F20="","",$F20-MIN($F$6:$F$105))</f>
        <v/>
      </c>
      <c r="BO20">
        <f>IF(OR($F20="",$G20=""),"",$G20-$F20+1)</f>
        <v/>
      </c>
    </row>
    <row r="21">
      <c r="A21" s="27" t="n"/>
      <c r="B21" s="27" t="n"/>
      <c r="C21" s="27" t="n"/>
      <c r="D21" s="27" t="n"/>
      <c r="E21" s="27" t="n"/>
      <c r="F21" s="36" t="n"/>
      <c r="G21" s="36" t="n"/>
      <c r="H21" s="27" t="n"/>
      <c r="I21" s="29" t="n"/>
      <c r="J21" s="27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M21">
        <f>IF($A21="","",$A21&amp;" - "&amp;$D21)</f>
        <v/>
      </c>
      <c r="BN21">
        <f>IF($F21="","",$F21-MIN($F$6:$F$105))</f>
        <v/>
      </c>
      <c r="BO21">
        <f>IF(OR($F21="",$G21=""),"",$G21-$F21+1)</f>
        <v/>
      </c>
    </row>
    <row r="22">
      <c r="A22" s="27" t="n"/>
      <c r="B22" s="27" t="n"/>
      <c r="C22" s="27" t="n"/>
      <c r="D22" s="27" t="n"/>
      <c r="E22" s="27" t="n"/>
      <c r="F22" s="36" t="n"/>
      <c r="G22" s="36" t="n"/>
      <c r="H22" s="27" t="n"/>
      <c r="I22" s="29" t="n"/>
      <c r="J22" s="27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M22">
        <f>IF($A22="","",$A22&amp;" - "&amp;$D22)</f>
        <v/>
      </c>
      <c r="BN22">
        <f>IF($F22="","",$F22-MIN($F$6:$F$105))</f>
        <v/>
      </c>
      <c r="BO22">
        <f>IF(OR($F22="",$G22=""),"",$G22-$F22+1)</f>
        <v/>
      </c>
    </row>
    <row r="23">
      <c r="A23" s="27" t="n"/>
      <c r="B23" s="27" t="n"/>
      <c r="C23" s="27" t="n"/>
      <c r="D23" s="27" t="n"/>
      <c r="E23" s="27" t="n"/>
      <c r="F23" s="36" t="n"/>
      <c r="G23" s="36" t="n"/>
      <c r="H23" s="27" t="n"/>
      <c r="I23" s="29" t="n"/>
      <c r="J23" s="27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M23">
        <f>IF($A23="","",$A23&amp;" - "&amp;$D23)</f>
        <v/>
      </c>
      <c r="BN23">
        <f>IF($F23="","",$F23-MIN($F$6:$F$105))</f>
        <v/>
      </c>
      <c r="BO23">
        <f>IF(OR($F23="",$G23=""),"",$G23-$F23+1)</f>
        <v/>
      </c>
    </row>
    <row r="24">
      <c r="A24" s="27" t="n"/>
      <c r="B24" s="27" t="n"/>
      <c r="C24" s="27" t="n"/>
      <c r="D24" s="27" t="n"/>
      <c r="E24" s="27" t="n"/>
      <c r="F24" s="36" t="n"/>
      <c r="G24" s="36" t="n"/>
      <c r="H24" s="27" t="n"/>
      <c r="I24" s="29" t="n"/>
      <c r="J24" s="27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M24">
        <f>IF($A24="","",$A24&amp;" - "&amp;$D24)</f>
        <v/>
      </c>
      <c r="BN24">
        <f>IF($F24="","",$F24-MIN($F$6:$F$105))</f>
        <v/>
      </c>
      <c r="BO24">
        <f>IF(OR($F24="",$G24=""),"",$G24-$F24+1)</f>
        <v/>
      </c>
    </row>
    <row r="25">
      <c r="A25" s="27" t="n"/>
      <c r="B25" s="27" t="n"/>
      <c r="C25" s="27" t="n"/>
      <c r="D25" s="27" t="n"/>
      <c r="E25" s="27" t="n"/>
      <c r="F25" s="36" t="n"/>
      <c r="G25" s="36" t="n"/>
      <c r="H25" s="27" t="n"/>
      <c r="I25" s="29" t="n"/>
      <c r="J25" s="27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M25">
        <f>IF($A25="","",$A25&amp;" - "&amp;$D25)</f>
        <v/>
      </c>
      <c r="BN25">
        <f>IF($F25="","",$F25-MIN($F$6:$F$105))</f>
        <v/>
      </c>
      <c r="BO25">
        <f>IF(OR($F25="",$G25=""),"",$G25-$F25+1)</f>
        <v/>
      </c>
    </row>
    <row r="26">
      <c r="A26" s="27" t="n"/>
      <c r="B26" s="27" t="n"/>
      <c r="C26" s="27" t="n"/>
      <c r="D26" s="27" t="n"/>
      <c r="E26" s="27" t="n"/>
      <c r="F26" s="36" t="n"/>
      <c r="G26" s="36" t="n"/>
      <c r="H26" s="27" t="n"/>
      <c r="I26" s="29" t="n"/>
      <c r="J26" s="27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</row>
    <row r="27">
      <c r="A27" s="27" t="n"/>
      <c r="B27" s="27" t="n"/>
      <c r="C27" s="27" t="n"/>
      <c r="D27" s="27" t="n"/>
      <c r="E27" s="27" t="n"/>
      <c r="F27" s="36" t="n"/>
      <c r="G27" s="36" t="n"/>
      <c r="H27" s="27" t="n"/>
      <c r="I27" s="29" t="n"/>
      <c r="J27" s="27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</row>
    <row r="28">
      <c r="A28" s="27" t="n"/>
      <c r="B28" s="27" t="n"/>
      <c r="C28" s="27" t="n"/>
      <c r="D28" s="27" t="n"/>
      <c r="E28" s="27" t="n"/>
      <c r="F28" s="36" t="n"/>
      <c r="G28" s="36" t="n"/>
      <c r="H28" s="27" t="n"/>
      <c r="I28" s="29" t="n"/>
      <c r="J28" s="27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</row>
    <row r="29">
      <c r="A29" s="27" t="n"/>
      <c r="B29" s="27" t="n"/>
      <c r="C29" s="27" t="n"/>
      <c r="D29" s="27" t="n"/>
      <c r="E29" s="27" t="n"/>
      <c r="F29" s="36" t="n"/>
      <c r="G29" s="36" t="n"/>
      <c r="H29" s="27" t="n"/>
      <c r="I29" s="29" t="n"/>
      <c r="J29" s="27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</row>
    <row r="30">
      <c r="A30" s="27" t="n"/>
      <c r="B30" s="27" t="n"/>
      <c r="C30" s="27" t="n"/>
      <c r="D30" s="27" t="n"/>
      <c r="E30" s="27" t="n"/>
      <c r="F30" s="36" t="n"/>
      <c r="G30" s="36" t="n"/>
      <c r="H30" s="27" t="n"/>
      <c r="I30" s="29" t="n"/>
      <c r="J30" s="27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</row>
    <row r="31">
      <c r="A31" s="27" t="n"/>
      <c r="B31" s="27" t="n"/>
      <c r="C31" s="27" t="n"/>
      <c r="D31" s="27" t="n"/>
      <c r="E31" s="27" t="n"/>
      <c r="F31" s="36" t="n"/>
      <c r="G31" s="36" t="n"/>
      <c r="H31" s="27" t="n"/>
      <c r="I31" s="29" t="n"/>
      <c r="J31" s="27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</row>
    <row r="32">
      <c r="A32" s="27" t="n"/>
      <c r="B32" s="27" t="n"/>
      <c r="C32" s="27" t="n"/>
      <c r="D32" s="27" t="n"/>
      <c r="E32" s="27" t="n"/>
      <c r="F32" s="36" t="n"/>
      <c r="G32" s="36" t="n"/>
      <c r="H32" s="27" t="n"/>
      <c r="I32" s="29" t="n"/>
      <c r="J32" s="27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</row>
    <row r="33">
      <c r="A33" s="27" t="n"/>
      <c r="B33" s="27" t="n"/>
      <c r="C33" s="27" t="n"/>
      <c r="D33" s="27" t="n"/>
      <c r="E33" s="27" t="n"/>
      <c r="F33" s="36" t="n"/>
      <c r="G33" s="36" t="n"/>
      <c r="H33" s="27" t="n"/>
      <c r="I33" s="29" t="n"/>
      <c r="J33" s="27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</row>
    <row r="34">
      <c r="A34" s="27" t="n"/>
      <c r="B34" s="27" t="n"/>
      <c r="C34" s="27" t="n"/>
      <c r="D34" s="27" t="n"/>
      <c r="E34" s="27" t="n"/>
      <c r="F34" s="36" t="n"/>
      <c r="G34" s="36" t="n"/>
      <c r="H34" s="27" t="n"/>
      <c r="I34" s="29" t="n"/>
      <c r="J34" s="27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</row>
    <row r="35">
      <c r="A35" s="27" t="n"/>
      <c r="B35" s="27" t="n"/>
      <c r="C35" s="27" t="n"/>
      <c r="D35" s="27" t="n"/>
      <c r="E35" s="27" t="n"/>
      <c r="F35" s="36" t="n"/>
      <c r="G35" s="36" t="n"/>
      <c r="H35" s="27" t="n"/>
      <c r="I35" s="29" t="n"/>
      <c r="J35" s="27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</row>
    <row r="36">
      <c r="A36" s="27" t="n"/>
      <c r="B36" s="27" t="n"/>
      <c r="C36" s="27" t="n"/>
      <c r="D36" s="27" t="n"/>
      <c r="E36" s="27" t="n"/>
      <c r="F36" s="36" t="n"/>
      <c r="G36" s="36" t="n"/>
      <c r="H36" s="27" t="n"/>
      <c r="I36" s="29" t="n"/>
      <c r="J36" s="27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</row>
    <row r="37">
      <c r="A37" s="27" t="n"/>
      <c r="B37" s="27" t="n"/>
      <c r="C37" s="27" t="n"/>
      <c r="D37" s="27" t="n"/>
      <c r="E37" s="27" t="n"/>
      <c r="F37" s="36" t="n"/>
      <c r="G37" s="36" t="n"/>
      <c r="H37" s="27" t="n"/>
      <c r="I37" s="29" t="n"/>
      <c r="J37" s="27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</row>
    <row r="38">
      <c r="A38" s="27" t="n"/>
      <c r="B38" s="27" t="n"/>
      <c r="C38" s="27" t="n"/>
      <c r="D38" s="27" t="n"/>
      <c r="E38" s="27" t="n"/>
      <c r="F38" s="36" t="n"/>
      <c r="G38" s="36" t="n"/>
      <c r="H38" s="27" t="n"/>
      <c r="I38" s="29" t="n"/>
      <c r="J38" s="27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</row>
    <row r="39">
      <c r="A39" s="27" t="n"/>
      <c r="B39" s="27" t="n"/>
      <c r="C39" s="27" t="n"/>
      <c r="D39" s="27" t="n"/>
      <c r="E39" s="27" t="n"/>
      <c r="F39" s="36" t="n"/>
      <c r="G39" s="36" t="n"/>
      <c r="H39" s="27" t="n"/>
      <c r="I39" s="29" t="n"/>
      <c r="J39" s="27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</row>
    <row r="40">
      <c r="A40" s="27" t="n"/>
      <c r="B40" s="27" t="n"/>
      <c r="C40" s="27" t="n"/>
      <c r="D40" s="27" t="n"/>
      <c r="E40" s="27" t="n"/>
      <c r="F40" s="36" t="n"/>
      <c r="G40" s="36" t="n"/>
      <c r="H40" s="27" t="n"/>
      <c r="I40" s="29" t="n"/>
      <c r="J40" s="27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</row>
    <row r="41">
      <c r="A41" s="27" t="n"/>
      <c r="B41" s="27" t="n"/>
      <c r="C41" s="27" t="n"/>
      <c r="D41" s="27" t="n"/>
      <c r="E41" s="27" t="n"/>
      <c r="F41" s="36" t="n"/>
      <c r="G41" s="36" t="n"/>
      <c r="H41" s="27" t="n"/>
      <c r="I41" s="29" t="n"/>
      <c r="J41" s="27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</row>
    <row r="42">
      <c r="A42" s="27" t="n"/>
      <c r="B42" s="27" t="n"/>
      <c r="C42" s="27" t="n"/>
      <c r="D42" s="27" t="n"/>
      <c r="E42" s="27" t="n"/>
      <c r="F42" s="36" t="n"/>
      <c r="G42" s="36" t="n"/>
      <c r="H42" s="27" t="n"/>
      <c r="I42" s="29" t="n"/>
      <c r="J42" s="27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</row>
    <row r="43">
      <c r="A43" s="27" t="n"/>
      <c r="B43" s="27" t="n"/>
      <c r="C43" s="27" t="n"/>
      <c r="D43" s="27" t="n"/>
      <c r="E43" s="27" t="n"/>
      <c r="F43" s="36" t="n"/>
      <c r="G43" s="36" t="n"/>
      <c r="H43" s="27" t="n"/>
      <c r="I43" s="29" t="n"/>
      <c r="J43" s="27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</row>
    <row r="44">
      <c r="A44" s="27" t="n"/>
      <c r="B44" s="27" t="n"/>
      <c r="C44" s="27" t="n"/>
      <c r="D44" s="27" t="n"/>
      <c r="E44" s="27" t="n"/>
      <c r="F44" s="36" t="n"/>
      <c r="G44" s="36" t="n"/>
      <c r="H44" s="27" t="n"/>
      <c r="I44" s="29" t="n"/>
      <c r="J44" s="27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</row>
    <row r="45">
      <c r="A45" s="27" t="n"/>
      <c r="B45" s="27" t="n"/>
      <c r="C45" s="27" t="n"/>
      <c r="D45" s="27" t="n"/>
      <c r="E45" s="27" t="n"/>
      <c r="F45" s="36" t="n"/>
      <c r="G45" s="36" t="n"/>
      <c r="H45" s="27" t="n"/>
      <c r="I45" s="29" t="n"/>
      <c r="J45" s="27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</row>
    <row r="46">
      <c r="A46" s="27" t="n"/>
      <c r="B46" s="27" t="n"/>
      <c r="C46" s="27" t="n"/>
      <c r="D46" s="27" t="n"/>
      <c r="E46" s="27" t="n"/>
      <c r="F46" s="36" t="n"/>
      <c r="G46" s="36" t="n"/>
      <c r="H46" s="27" t="n"/>
      <c r="I46" s="29" t="n"/>
      <c r="J46" s="27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</row>
    <row r="47">
      <c r="A47" s="27" t="n"/>
      <c r="B47" s="27" t="n"/>
      <c r="C47" s="27" t="n"/>
      <c r="D47" s="27" t="n"/>
      <c r="E47" s="27" t="n"/>
      <c r="F47" s="36" t="n"/>
      <c r="G47" s="36" t="n"/>
      <c r="H47" s="27" t="n"/>
      <c r="I47" s="29" t="n"/>
      <c r="J47" s="27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</row>
    <row r="48">
      <c r="A48" s="27" t="n"/>
      <c r="B48" s="27" t="n"/>
      <c r="C48" s="27" t="n"/>
      <c r="D48" s="27" t="n"/>
      <c r="E48" s="27" t="n"/>
      <c r="F48" s="36" t="n"/>
      <c r="G48" s="36" t="n"/>
      <c r="H48" s="27" t="n"/>
      <c r="I48" s="29" t="n"/>
      <c r="J48" s="27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</row>
    <row r="49">
      <c r="A49" s="27" t="n"/>
      <c r="B49" s="27" t="n"/>
      <c r="C49" s="27" t="n"/>
      <c r="D49" s="27" t="n"/>
      <c r="E49" s="27" t="n"/>
      <c r="F49" s="36" t="n"/>
      <c r="G49" s="36" t="n"/>
      <c r="H49" s="27" t="n"/>
      <c r="I49" s="29" t="n"/>
      <c r="J49" s="27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9" t="n"/>
      <c r="BJ49" s="19" t="n"/>
    </row>
    <row r="50">
      <c r="A50" s="27" t="n"/>
      <c r="B50" s="27" t="n"/>
      <c r="C50" s="27" t="n"/>
      <c r="D50" s="27" t="n"/>
      <c r="E50" s="27" t="n"/>
      <c r="F50" s="36" t="n"/>
      <c r="G50" s="36" t="n"/>
      <c r="H50" s="27" t="n"/>
      <c r="I50" s="29" t="n"/>
      <c r="J50" s="27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</row>
    <row r="51">
      <c r="A51" s="27" t="n"/>
      <c r="B51" s="27" t="n"/>
      <c r="C51" s="27" t="n"/>
      <c r="D51" s="27" t="n"/>
      <c r="E51" s="27" t="n"/>
      <c r="F51" s="36" t="n"/>
      <c r="G51" s="36" t="n"/>
      <c r="H51" s="27" t="n"/>
      <c r="I51" s="29" t="n"/>
      <c r="J51" s="27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</row>
    <row r="52">
      <c r="A52" s="27" t="n"/>
      <c r="B52" s="27" t="n"/>
      <c r="C52" s="27" t="n"/>
      <c r="D52" s="27" t="n"/>
      <c r="E52" s="27" t="n"/>
      <c r="F52" s="36" t="n"/>
      <c r="G52" s="36" t="n"/>
      <c r="H52" s="27" t="n"/>
      <c r="I52" s="29" t="n"/>
      <c r="J52" s="27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</row>
    <row r="53">
      <c r="A53" s="27" t="n"/>
      <c r="B53" s="27" t="n"/>
      <c r="C53" s="27" t="n"/>
      <c r="D53" s="27" t="n"/>
      <c r="E53" s="27" t="n"/>
      <c r="F53" s="36" t="n"/>
      <c r="G53" s="36" t="n"/>
      <c r="H53" s="27" t="n"/>
      <c r="I53" s="29" t="n"/>
      <c r="J53" s="27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</row>
    <row r="54">
      <c r="A54" s="27" t="n"/>
      <c r="B54" s="27" t="n"/>
      <c r="C54" s="27" t="n"/>
      <c r="D54" s="27" t="n"/>
      <c r="E54" s="27" t="n"/>
      <c r="F54" s="36" t="n"/>
      <c r="G54" s="36" t="n"/>
      <c r="H54" s="27" t="n"/>
      <c r="I54" s="29" t="n"/>
      <c r="J54" s="27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</row>
    <row r="55">
      <c r="A55" s="27" t="n"/>
      <c r="B55" s="27" t="n"/>
      <c r="C55" s="27" t="n"/>
      <c r="D55" s="27" t="n"/>
      <c r="E55" s="27" t="n"/>
      <c r="F55" s="36" t="n"/>
      <c r="G55" s="36" t="n"/>
      <c r="H55" s="27" t="n"/>
      <c r="I55" s="29" t="n"/>
      <c r="J55" s="27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9" t="n"/>
      <c r="BJ55" s="19" t="n"/>
    </row>
    <row r="56">
      <c r="A56" s="27" t="n"/>
      <c r="B56" s="27" t="n"/>
      <c r="C56" s="27" t="n"/>
      <c r="D56" s="27" t="n"/>
      <c r="E56" s="27" t="n"/>
      <c r="F56" s="36" t="n"/>
      <c r="G56" s="36" t="n"/>
      <c r="H56" s="27" t="n"/>
      <c r="I56" s="29" t="n"/>
      <c r="J56" s="27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</row>
    <row r="57">
      <c r="A57" s="27" t="n"/>
      <c r="B57" s="27" t="n"/>
      <c r="C57" s="27" t="n"/>
      <c r="D57" s="27" t="n"/>
      <c r="E57" s="27" t="n"/>
      <c r="F57" s="36" t="n"/>
      <c r="G57" s="36" t="n"/>
      <c r="H57" s="27" t="n"/>
      <c r="I57" s="29" t="n"/>
      <c r="J57" s="27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</row>
    <row r="58">
      <c r="A58" s="27" t="n"/>
      <c r="B58" s="27" t="n"/>
      <c r="C58" s="27" t="n"/>
      <c r="D58" s="27" t="n"/>
      <c r="E58" s="27" t="n"/>
      <c r="F58" s="36" t="n"/>
      <c r="G58" s="36" t="n"/>
      <c r="H58" s="27" t="n"/>
      <c r="I58" s="29" t="n"/>
      <c r="J58" s="27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</row>
    <row r="59">
      <c r="A59" s="27" t="n"/>
      <c r="B59" s="27" t="n"/>
      <c r="C59" s="27" t="n"/>
      <c r="D59" s="27" t="n"/>
      <c r="E59" s="27" t="n"/>
      <c r="F59" s="36" t="n"/>
      <c r="G59" s="36" t="n"/>
      <c r="H59" s="27" t="n"/>
      <c r="I59" s="29" t="n"/>
      <c r="J59" s="27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9" t="n"/>
      <c r="BJ59" s="19" t="n"/>
    </row>
    <row r="60">
      <c r="A60" s="27" t="n"/>
      <c r="B60" s="27" t="n"/>
      <c r="C60" s="27" t="n"/>
      <c r="D60" s="27" t="n"/>
      <c r="E60" s="27" t="n"/>
      <c r="F60" s="36" t="n"/>
      <c r="G60" s="36" t="n"/>
      <c r="H60" s="27" t="n"/>
      <c r="I60" s="29" t="n"/>
      <c r="J60" s="27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</row>
    <row r="61">
      <c r="A61" s="27" t="n"/>
      <c r="B61" s="27" t="n"/>
      <c r="C61" s="27" t="n"/>
      <c r="D61" s="27" t="n"/>
      <c r="E61" s="27" t="n"/>
      <c r="F61" s="36" t="n"/>
      <c r="G61" s="36" t="n"/>
      <c r="H61" s="27" t="n"/>
      <c r="I61" s="29" t="n"/>
      <c r="J61" s="27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</row>
    <row r="62">
      <c r="A62" s="27" t="n"/>
      <c r="B62" s="27" t="n"/>
      <c r="C62" s="27" t="n"/>
      <c r="D62" s="27" t="n"/>
      <c r="E62" s="27" t="n"/>
      <c r="F62" s="36" t="n"/>
      <c r="G62" s="36" t="n"/>
      <c r="H62" s="27" t="n"/>
      <c r="I62" s="29" t="n"/>
      <c r="J62" s="27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</row>
    <row r="63">
      <c r="A63" s="27" t="n"/>
      <c r="B63" s="27" t="n"/>
      <c r="C63" s="27" t="n"/>
      <c r="D63" s="27" t="n"/>
      <c r="E63" s="27" t="n"/>
      <c r="F63" s="36" t="n"/>
      <c r="G63" s="36" t="n"/>
      <c r="H63" s="27" t="n"/>
      <c r="I63" s="29" t="n"/>
      <c r="J63" s="27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</row>
    <row r="64">
      <c r="A64" s="27" t="n"/>
      <c r="B64" s="27" t="n"/>
      <c r="C64" s="27" t="n"/>
      <c r="D64" s="27" t="n"/>
      <c r="E64" s="27" t="n"/>
      <c r="F64" s="36" t="n"/>
      <c r="G64" s="36" t="n"/>
      <c r="H64" s="27" t="n"/>
      <c r="I64" s="29" t="n"/>
      <c r="J64" s="27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</row>
    <row r="65">
      <c r="A65" s="27" t="n"/>
      <c r="B65" s="27" t="n"/>
      <c r="C65" s="27" t="n"/>
      <c r="D65" s="27" t="n"/>
      <c r="E65" s="27" t="n"/>
      <c r="F65" s="36" t="n"/>
      <c r="G65" s="36" t="n"/>
      <c r="H65" s="27" t="n"/>
      <c r="I65" s="29" t="n"/>
      <c r="J65" s="27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</row>
    <row r="66">
      <c r="A66" s="27" t="n"/>
      <c r="B66" s="27" t="n"/>
      <c r="C66" s="27" t="n"/>
      <c r="D66" s="27" t="n"/>
      <c r="E66" s="27" t="n"/>
      <c r="F66" s="36" t="n"/>
      <c r="G66" s="36" t="n"/>
      <c r="H66" s="27" t="n"/>
      <c r="I66" s="29" t="n"/>
      <c r="J66" s="27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</row>
    <row r="67">
      <c r="A67" s="27" t="n"/>
      <c r="B67" s="27" t="n"/>
      <c r="C67" s="27" t="n"/>
      <c r="D67" s="27" t="n"/>
      <c r="E67" s="27" t="n"/>
      <c r="F67" s="36" t="n"/>
      <c r="G67" s="36" t="n"/>
      <c r="H67" s="27" t="n"/>
      <c r="I67" s="29" t="n"/>
      <c r="J67" s="27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</row>
    <row r="68">
      <c r="A68" s="27" t="n"/>
      <c r="B68" s="27" t="n"/>
      <c r="C68" s="27" t="n"/>
      <c r="D68" s="27" t="n"/>
      <c r="E68" s="27" t="n"/>
      <c r="F68" s="36" t="n"/>
      <c r="G68" s="36" t="n"/>
      <c r="H68" s="27" t="n"/>
      <c r="I68" s="29" t="n"/>
      <c r="J68" s="27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</row>
    <row r="69">
      <c r="A69" s="27" t="n"/>
      <c r="B69" s="27" t="n"/>
      <c r="C69" s="27" t="n"/>
      <c r="D69" s="27" t="n"/>
      <c r="E69" s="27" t="n"/>
      <c r="F69" s="36" t="n"/>
      <c r="G69" s="36" t="n"/>
      <c r="H69" s="27" t="n"/>
      <c r="I69" s="29" t="n"/>
      <c r="J69" s="27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19" t="n"/>
      <c r="BI69" s="19" t="n"/>
      <c r="BJ69" s="19" t="n"/>
    </row>
    <row r="70">
      <c r="A70" s="27" t="n"/>
      <c r="B70" s="27" t="n"/>
      <c r="C70" s="27" t="n"/>
      <c r="D70" s="27" t="n"/>
      <c r="E70" s="27" t="n"/>
      <c r="F70" s="36" t="n"/>
      <c r="G70" s="36" t="n"/>
      <c r="H70" s="27" t="n"/>
      <c r="I70" s="29" t="n"/>
      <c r="J70" s="27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</row>
    <row r="71">
      <c r="A71" s="27" t="n"/>
      <c r="B71" s="27" t="n"/>
      <c r="C71" s="27" t="n"/>
      <c r="D71" s="27" t="n"/>
      <c r="E71" s="27" t="n"/>
      <c r="F71" s="36" t="n"/>
      <c r="G71" s="36" t="n"/>
      <c r="H71" s="27" t="n"/>
      <c r="I71" s="29" t="n"/>
      <c r="J71" s="27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9" t="n"/>
      <c r="BJ71" s="19" t="n"/>
    </row>
    <row r="72">
      <c r="A72" s="27" t="n"/>
      <c r="B72" s="27" t="n"/>
      <c r="C72" s="27" t="n"/>
      <c r="D72" s="27" t="n"/>
      <c r="E72" s="27" t="n"/>
      <c r="F72" s="36" t="n"/>
      <c r="G72" s="36" t="n"/>
      <c r="H72" s="27" t="n"/>
      <c r="I72" s="29" t="n"/>
      <c r="J72" s="27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</row>
    <row r="73">
      <c r="A73" s="27" t="n"/>
      <c r="B73" s="27" t="n"/>
      <c r="C73" s="27" t="n"/>
      <c r="D73" s="27" t="n"/>
      <c r="E73" s="27" t="n"/>
      <c r="F73" s="36" t="n"/>
      <c r="G73" s="36" t="n"/>
      <c r="H73" s="27" t="n"/>
      <c r="I73" s="29" t="n"/>
      <c r="J73" s="27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</row>
    <row r="74">
      <c r="A74" s="27" t="n"/>
      <c r="B74" s="27" t="n"/>
      <c r="C74" s="27" t="n"/>
      <c r="D74" s="27" t="n"/>
      <c r="E74" s="27" t="n"/>
      <c r="F74" s="36" t="n"/>
      <c r="G74" s="36" t="n"/>
      <c r="H74" s="27" t="n"/>
      <c r="I74" s="29" t="n"/>
      <c r="J74" s="27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19" t="n"/>
      <c r="BA74" s="19" t="n"/>
      <c r="BB74" s="19" t="n"/>
      <c r="BC74" s="19" t="n"/>
      <c r="BD74" s="19" t="n"/>
      <c r="BE74" s="19" t="n"/>
      <c r="BF74" s="19" t="n"/>
      <c r="BG74" s="19" t="n"/>
      <c r="BH74" s="19" t="n"/>
      <c r="BI74" s="19" t="n"/>
      <c r="BJ74" s="19" t="n"/>
    </row>
    <row r="75">
      <c r="A75" s="27" t="n"/>
      <c r="B75" s="27" t="n"/>
      <c r="C75" s="27" t="n"/>
      <c r="D75" s="27" t="n"/>
      <c r="E75" s="27" t="n"/>
      <c r="F75" s="36" t="n"/>
      <c r="G75" s="36" t="n"/>
      <c r="H75" s="27" t="n"/>
      <c r="I75" s="29" t="n"/>
      <c r="J75" s="27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9" t="n"/>
      <c r="BJ75" s="19" t="n"/>
    </row>
    <row r="76">
      <c r="A76" s="27" t="n"/>
      <c r="B76" s="27" t="n"/>
      <c r="C76" s="27" t="n"/>
      <c r="D76" s="27" t="n"/>
      <c r="E76" s="27" t="n"/>
      <c r="F76" s="36" t="n"/>
      <c r="G76" s="36" t="n"/>
      <c r="H76" s="27" t="n"/>
      <c r="I76" s="29" t="n"/>
      <c r="J76" s="27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</row>
    <row r="77">
      <c r="A77" s="27" t="n"/>
      <c r="B77" s="27" t="n"/>
      <c r="C77" s="27" t="n"/>
      <c r="D77" s="27" t="n"/>
      <c r="E77" s="27" t="n"/>
      <c r="F77" s="36" t="n"/>
      <c r="G77" s="36" t="n"/>
      <c r="H77" s="27" t="n"/>
      <c r="I77" s="29" t="n"/>
      <c r="J77" s="27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19" t="n"/>
      <c r="BA77" s="19" t="n"/>
      <c r="BB77" s="19" t="n"/>
      <c r="BC77" s="19" t="n"/>
      <c r="BD77" s="19" t="n"/>
      <c r="BE77" s="19" t="n"/>
      <c r="BF77" s="19" t="n"/>
      <c r="BG77" s="19" t="n"/>
      <c r="BH77" s="19" t="n"/>
      <c r="BI77" s="19" t="n"/>
      <c r="BJ77" s="19" t="n"/>
    </row>
    <row r="78">
      <c r="A78" s="27" t="n"/>
      <c r="B78" s="27" t="n"/>
      <c r="C78" s="27" t="n"/>
      <c r="D78" s="27" t="n"/>
      <c r="E78" s="27" t="n"/>
      <c r="F78" s="36" t="n"/>
      <c r="G78" s="36" t="n"/>
      <c r="H78" s="27" t="n"/>
      <c r="I78" s="29" t="n"/>
      <c r="J78" s="27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</row>
    <row r="79">
      <c r="A79" s="27" t="n"/>
      <c r="B79" s="27" t="n"/>
      <c r="C79" s="27" t="n"/>
      <c r="D79" s="27" t="n"/>
      <c r="E79" s="27" t="n"/>
      <c r="F79" s="36" t="n"/>
      <c r="G79" s="36" t="n"/>
      <c r="H79" s="27" t="n"/>
      <c r="I79" s="29" t="n"/>
      <c r="J79" s="27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19" t="n"/>
      <c r="BA79" s="19" t="n"/>
      <c r="BB79" s="19" t="n"/>
      <c r="BC79" s="19" t="n"/>
      <c r="BD79" s="19" t="n"/>
      <c r="BE79" s="19" t="n"/>
      <c r="BF79" s="19" t="n"/>
      <c r="BG79" s="19" t="n"/>
      <c r="BH79" s="19" t="n"/>
      <c r="BI79" s="19" t="n"/>
      <c r="BJ79" s="19" t="n"/>
    </row>
    <row r="80">
      <c r="A80" s="27" t="n"/>
      <c r="B80" s="27" t="n"/>
      <c r="C80" s="27" t="n"/>
      <c r="D80" s="27" t="n"/>
      <c r="E80" s="27" t="n"/>
      <c r="F80" s="36" t="n"/>
      <c r="G80" s="36" t="n"/>
      <c r="H80" s="27" t="n"/>
      <c r="I80" s="29" t="n"/>
      <c r="J80" s="27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n"/>
      <c r="BH80" s="19" t="n"/>
      <c r="BI80" s="19" t="n"/>
      <c r="BJ80" s="19" t="n"/>
    </row>
    <row r="81">
      <c r="A81" s="27" t="n"/>
      <c r="B81" s="27" t="n"/>
      <c r="C81" s="27" t="n"/>
      <c r="D81" s="27" t="n"/>
      <c r="E81" s="27" t="n"/>
      <c r="F81" s="36" t="n"/>
      <c r="G81" s="36" t="n"/>
      <c r="H81" s="27" t="n"/>
      <c r="I81" s="29" t="n"/>
      <c r="J81" s="27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9" t="n"/>
      <c r="BJ81" s="19" t="n"/>
    </row>
    <row r="82">
      <c r="A82" s="27" t="n"/>
      <c r="B82" s="27" t="n"/>
      <c r="C82" s="27" t="n"/>
      <c r="D82" s="27" t="n"/>
      <c r="E82" s="27" t="n"/>
      <c r="F82" s="36" t="n"/>
      <c r="G82" s="36" t="n"/>
      <c r="H82" s="27" t="n"/>
      <c r="I82" s="29" t="n"/>
      <c r="J82" s="27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</row>
    <row r="83">
      <c r="A83" s="27" t="n"/>
      <c r="B83" s="27" t="n"/>
      <c r="C83" s="27" t="n"/>
      <c r="D83" s="27" t="n"/>
      <c r="E83" s="27" t="n"/>
      <c r="F83" s="36" t="n"/>
      <c r="G83" s="36" t="n"/>
      <c r="H83" s="27" t="n"/>
      <c r="I83" s="29" t="n"/>
      <c r="J83" s="27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9" t="n"/>
      <c r="BJ83" s="19" t="n"/>
    </row>
    <row r="84">
      <c r="A84" s="27" t="n"/>
      <c r="B84" s="27" t="n"/>
      <c r="C84" s="27" t="n"/>
      <c r="D84" s="27" t="n"/>
      <c r="E84" s="27" t="n"/>
      <c r="F84" s="36" t="n"/>
      <c r="G84" s="36" t="n"/>
      <c r="H84" s="27" t="n"/>
      <c r="I84" s="29" t="n"/>
      <c r="J84" s="27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</row>
    <row r="85">
      <c r="A85" s="27" t="n"/>
      <c r="B85" s="27" t="n"/>
      <c r="C85" s="27" t="n"/>
      <c r="D85" s="27" t="n"/>
      <c r="E85" s="27" t="n"/>
      <c r="F85" s="36" t="n"/>
      <c r="G85" s="36" t="n"/>
      <c r="H85" s="27" t="n"/>
      <c r="I85" s="29" t="n"/>
      <c r="J85" s="27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19" t="n"/>
      <c r="BA85" s="19" t="n"/>
      <c r="BB85" s="19" t="n"/>
      <c r="BC85" s="19" t="n"/>
      <c r="BD85" s="19" t="n"/>
      <c r="BE85" s="19" t="n"/>
      <c r="BF85" s="19" t="n"/>
      <c r="BG85" s="19" t="n"/>
      <c r="BH85" s="19" t="n"/>
      <c r="BI85" s="19" t="n"/>
      <c r="BJ85" s="19" t="n"/>
    </row>
    <row r="86">
      <c r="A86" s="27" t="n"/>
      <c r="B86" s="27" t="n"/>
      <c r="C86" s="27" t="n"/>
      <c r="D86" s="27" t="n"/>
      <c r="E86" s="27" t="n"/>
      <c r="F86" s="36" t="n"/>
      <c r="G86" s="36" t="n"/>
      <c r="H86" s="27" t="n"/>
      <c r="I86" s="29" t="n"/>
      <c r="J86" s="27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19" t="n"/>
      <c r="BA86" s="19" t="n"/>
      <c r="BB86" s="19" t="n"/>
      <c r="BC86" s="19" t="n"/>
      <c r="BD86" s="19" t="n"/>
      <c r="BE86" s="19" t="n"/>
      <c r="BF86" s="19" t="n"/>
      <c r="BG86" s="19" t="n"/>
      <c r="BH86" s="19" t="n"/>
      <c r="BI86" s="19" t="n"/>
      <c r="BJ86" s="19" t="n"/>
    </row>
    <row r="87">
      <c r="A87" s="27" t="n"/>
      <c r="B87" s="27" t="n"/>
      <c r="C87" s="27" t="n"/>
      <c r="D87" s="27" t="n"/>
      <c r="E87" s="27" t="n"/>
      <c r="F87" s="36" t="n"/>
      <c r="G87" s="36" t="n"/>
      <c r="H87" s="27" t="n"/>
      <c r="I87" s="29" t="n"/>
      <c r="J87" s="27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n"/>
      <c r="BF87" s="19" t="n"/>
      <c r="BG87" s="19" t="n"/>
      <c r="BH87" s="19" t="n"/>
      <c r="BI87" s="19" t="n"/>
      <c r="BJ87" s="19" t="n"/>
    </row>
    <row r="88">
      <c r="A88" s="27" t="n"/>
      <c r="B88" s="27" t="n"/>
      <c r="C88" s="27" t="n"/>
      <c r="D88" s="27" t="n"/>
      <c r="E88" s="27" t="n"/>
      <c r="F88" s="36" t="n"/>
      <c r="G88" s="36" t="n"/>
      <c r="H88" s="27" t="n"/>
      <c r="I88" s="29" t="n"/>
      <c r="J88" s="27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</row>
    <row r="89">
      <c r="A89" s="27" t="n"/>
      <c r="B89" s="27" t="n"/>
      <c r="C89" s="27" t="n"/>
      <c r="D89" s="27" t="n"/>
      <c r="E89" s="27" t="n"/>
      <c r="F89" s="36" t="n"/>
      <c r="G89" s="36" t="n"/>
      <c r="H89" s="27" t="n"/>
      <c r="I89" s="29" t="n"/>
      <c r="J89" s="27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9" t="n"/>
      <c r="BJ89" s="19" t="n"/>
    </row>
    <row r="90">
      <c r="A90" s="27" t="n"/>
      <c r="B90" s="27" t="n"/>
      <c r="C90" s="27" t="n"/>
      <c r="D90" s="27" t="n"/>
      <c r="E90" s="27" t="n"/>
      <c r="F90" s="36" t="n"/>
      <c r="G90" s="36" t="n"/>
      <c r="H90" s="27" t="n"/>
      <c r="I90" s="29" t="n"/>
      <c r="J90" s="27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</row>
    <row r="91">
      <c r="A91" s="27" t="n"/>
      <c r="B91" s="27" t="n"/>
      <c r="C91" s="27" t="n"/>
      <c r="D91" s="27" t="n"/>
      <c r="E91" s="27" t="n"/>
      <c r="F91" s="36" t="n"/>
      <c r="G91" s="36" t="n"/>
      <c r="H91" s="27" t="n"/>
      <c r="I91" s="29" t="n"/>
      <c r="J91" s="27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19" t="n"/>
      <c r="BA91" s="19" t="n"/>
      <c r="BB91" s="19" t="n"/>
      <c r="BC91" s="19" t="n"/>
      <c r="BD91" s="19" t="n"/>
      <c r="BE91" s="19" t="n"/>
      <c r="BF91" s="19" t="n"/>
      <c r="BG91" s="19" t="n"/>
      <c r="BH91" s="19" t="n"/>
      <c r="BI91" s="19" t="n"/>
      <c r="BJ91" s="19" t="n"/>
    </row>
    <row r="92">
      <c r="A92" s="27" t="n"/>
      <c r="B92" s="27" t="n"/>
      <c r="C92" s="27" t="n"/>
      <c r="D92" s="27" t="n"/>
      <c r="E92" s="27" t="n"/>
      <c r="F92" s="36" t="n"/>
      <c r="G92" s="36" t="n"/>
      <c r="H92" s="27" t="n"/>
      <c r="I92" s="29" t="n"/>
      <c r="J92" s="27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19" t="n"/>
      <c r="BA92" s="19" t="n"/>
      <c r="BB92" s="19" t="n"/>
      <c r="BC92" s="19" t="n"/>
      <c r="BD92" s="19" t="n"/>
      <c r="BE92" s="19" t="n"/>
      <c r="BF92" s="19" t="n"/>
      <c r="BG92" s="19" t="n"/>
      <c r="BH92" s="19" t="n"/>
      <c r="BI92" s="19" t="n"/>
      <c r="BJ92" s="19" t="n"/>
    </row>
    <row r="93">
      <c r="A93" s="27" t="n"/>
      <c r="B93" s="27" t="n"/>
      <c r="C93" s="27" t="n"/>
      <c r="D93" s="27" t="n"/>
      <c r="E93" s="27" t="n"/>
      <c r="F93" s="36" t="n"/>
      <c r="G93" s="36" t="n"/>
      <c r="H93" s="27" t="n"/>
      <c r="I93" s="29" t="n"/>
      <c r="J93" s="27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9" t="n"/>
      <c r="BJ93" s="19" t="n"/>
    </row>
    <row r="94">
      <c r="A94" s="27" t="n"/>
      <c r="B94" s="27" t="n"/>
      <c r="C94" s="27" t="n"/>
      <c r="D94" s="27" t="n"/>
      <c r="E94" s="27" t="n"/>
      <c r="F94" s="36" t="n"/>
      <c r="G94" s="36" t="n"/>
      <c r="H94" s="27" t="n"/>
      <c r="I94" s="29" t="n"/>
      <c r="J94" s="27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19" t="n"/>
      <c r="BA94" s="19" t="n"/>
      <c r="BB94" s="19" t="n"/>
      <c r="BC94" s="19" t="n"/>
      <c r="BD94" s="19" t="n"/>
      <c r="BE94" s="19" t="n"/>
      <c r="BF94" s="19" t="n"/>
      <c r="BG94" s="19" t="n"/>
      <c r="BH94" s="19" t="n"/>
      <c r="BI94" s="19" t="n"/>
      <c r="BJ94" s="19" t="n"/>
    </row>
    <row r="95">
      <c r="A95" s="27" t="n"/>
      <c r="B95" s="27" t="n"/>
      <c r="C95" s="27" t="n"/>
      <c r="D95" s="27" t="n"/>
      <c r="E95" s="27" t="n"/>
      <c r="F95" s="36" t="n"/>
      <c r="G95" s="36" t="n"/>
      <c r="H95" s="27" t="n"/>
      <c r="I95" s="29" t="n"/>
      <c r="J95" s="27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19" t="n"/>
      <c r="BA95" s="19" t="n"/>
      <c r="BB95" s="19" t="n"/>
      <c r="BC95" s="19" t="n"/>
      <c r="BD95" s="19" t="n"/>
      <c r="BE95" s="19" t="n"/>
      <c r="BF95" s="19" t="n"/>
      <c r="BG95" s="19" t="n"/>
      <c r="BH95" s="19" t="n"/>
      <c r="BI95" s="19" t="n"/>
      <c r="BJ95" s="19" t="n"/>
    </row>
    <row r="96">
      <c r="A96" s="27" t="n"/>
      <c r="B96" s="27" t="n"/>
      <c r="C96" s="27" t="n"/>
      <c r="D96" s="27" t="n"/>
      <c r="E96" s="27" t="n"/>
      <c r="F96" s="36" t="n"/>
      <c r="G96" s="36" t="n"/>
      <c r="H96" s="27" t="n"/>
      <c r="I96" s="29" t="n"/>
      <c r="J96" s="27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</row>
    <row r="97">
      <c r="A97" s="27" t="n"/>
      <c r="B97" s="27" t="n"/>
      <c r="C97" s="27" t="n"/>
      <c r="D97" s="27" t="n"/>
      <c r="E97" s="27" t="n"/>
      <c r="F97" s="36" t="n"/>
      <c r="G97" s="36" t="n"/>
      <c r="H97" s="27" t="n"/>
      <c r="I97" s="29" t="n"/>
      <c r="J97" s="27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9" t="n"/>
      <c r="BJ97" s="19" t="n"/>
    </row>
    <row r="98">
      <c r="A98" s="27" t="n"/>
      <c r="B98" s="27" t="n"/>
      <c r="C98" s="27" t="n"/>
      <c r="D98" s="27" t="n"/>
      <c r="E98" s="27" t="n"/>
      <c r="F98" s="36" t="n"/>
      <c r="G98" s="36" t="n"/>
      <c r="H98" s="27" t="n"/>
      <c r="I98" s="29" t="n"/>
      <c r="J98" s="27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19" t="n"/>
      <c r="BA98" s="19" t="n"/>
      <c r="BB98" s="19" t="n"/>
      <c r="BC98" s="19" t="n"/>
      <c r="BD98" s="19" t="n"/>
      <c r="BE98" s="19" t="n"/>
      <c r="BF98" s="19" t="n"/>
      <c r="BG98" s="19" t="n"/>
      <c r="BH98" s="19" t="n"/>
      <c r="BI98" s="19" t="n"/>
      <c r="BJ98" s="19" t="n"/>
    </row>
    <row r="99">
      <c r="A99" s="27" t="n"/>
      <c r="B99" s="27" t="n"/>
      <c r="C99" s="27" t="n"/>
      <c r="D99" s="27" t="n"/>
      <c r="E99" s="27" t="n"/>
      <c r="F99" s="36" t="n"/>
      <c r="G99" s="36" t="n"/>
      <c r="H99" s="27" t="n"/>
      <c r="I99" s="29" t="n"/>
      <c r="J99" s="27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19" t="n"/>
      <c r="BA99" s="19" t="n"/>
      <c r="BB99" s="19" t="n"/>
      <c r="BC99" s="19" t="n"/>
      <c r="BD99" s="19" t="n"/>
      <c r="BE99" s="19" t="n"/>
      <c r="BF99" s="19" t="n"/>
      <c r="BG99" s="19" t="n"/>
      <c r="BH99" s="19" t="n"/>
      <c r="BI99" s="19" t="n"/>
      <c r="BJ99" s="19" t="n"/>
    </row>
    <row r="100">
      <c r="A100" s="27" t="n"/>
      <c r="B100" s="27" t="n"/>
      <c r="C100" s="27" t="n"/>
      <c r="D100" s="27" t="n"/>
      <c r="E100" s="27" t="n"/>
      <c r="F100" s="36" t="n"/>
      <c r="G100" s="36" t="n"/>
      <c r="H100" s="27" t="n"/>
      <c r="I100" s="29" t="n"/>
      <c r="J100" s="27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19" t="n"/>
      <c r="BA100" s="19" t="n"/>
      <c r="BB100" s="19" t="n"/>
      <c r="BC100" s="19" t="n"/>
      <c r="BD100" s="19" t="n"/>
      <c r="BE100" s="19" t="n"/>
      <c r="BF100" s="19" t="n"/>
      <c r="BG100" s="19" t="n"/>
      <c r="BH100" s="19" t="n"/>
      <c r="BI100" s="19" t="n"/>
      <c r="BJ100" s="19" t="n"/>
    </row>
    <row r="101">
      <c r="A101" s="27" t="n"/>
      <c r="B101" s="27" t="n"/>
      <c r="C101" s="27" t="n"/>
      <c r="D101" s="27" t="n"/>
      <c r="E101" s="27" t="n"/>
      <c r="F101" s="36" t="n"/>
      <c r="G101" s="36" t="n"/>
      <c r="H101" s="27" t="n"/>
      <c r="I101" s="29" t="n"/>
      <c r="J101" s="27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19" t="n"/>
      <c r="BA101" s="19" t="n"/>
      <c r="BB101" s="19" t="n"/>
      <c r="BC101" s="19" t="n"/>
      <c r="BD101" s="19" t="n"/>
      <c r="BE101" s="19" t="n"/>
      <c r="BF101" s="19" t="n"/>
      <c r="BG101" s="19" t="n"/>
      <c r="BH101" s="19" t="n"/>
      <c r="BI101" s="19" t="n"/>
      <c r="BJ101" s="19" t="n"/>
    </row>
    <row r="102">
      <c r="A102" s="27" t="n"/>
      <c r="B102" s="27" t="n"/>
      <c r="C102" s="27" t="n"/>
      <c r="D102" s="27" t="n"/>
      <c r="E102" s="27" t="n"/>
      <c r="F102" s="36" t="n"/>
      <c r="G102" s="36" t="n"/>
      <c r="H102" s="27" t="n"/>
      <c r="I102" s="29" t="n"/>
      <c r="J102" s="27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19" t="n"/>
      <c r="BA102" s="19" t="n"/>
      <c r="BB102" s="19" t="n"/>
      <c r="BC102" s="19" t="n"/>
      <c r="BD102" s="19" t="n"/>
      <c r="BE102" s="19" t="n"/>
      <c r="BF102" s="19" t="n"/>
      <c r="BG102" s="19" t="n"/>
      <c r="BH102" s="19" t="n"/>
      <c r="BI102" s="19" t="n"/>
      <c r="BJ102" s="19" t="n"/>
    </row>
    <row r="103">
      <c r="A103" s="27" t="n"/>
      <c r="B103" s="27" t="n"/>
      <c r="C103" s="27" t="n"/>
      <c r="D103" s="27" t="n"/>
      <c r="E103" s="27" t="n"/>
      <c r="F103" s="36" t="n"/>
      <c r="G103" s="36" t="n"/>
      <c r="H103" s="27" t="n"/>
      <c r="I103" s="29" t="n"/>
      <c r="J103" s="27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19" t="n"/>
      <c r="BA103" s="19" t="n"/>
      <c r="BB103" s="19" t="n"/>
      <c r="BC103" s="19" t="n"/>
      <c r="BD103" s="19" t="n"/>
      <c r="BE103" s="19" t="n"/>
      <c r="BF103" s="19" t="n"/>
      <c r="BG103" s="19" t="n"/>
      <c r="BH103" s="19" t="n"/>
      <c r="BI103" s="19" t="n"/>
      <c r="BJ103" s="19" t="n"/>
    </row>
    <row r="104">
      <c r="A104" s="27" t="n"/>
      <c r="B104" s="27" t="n"/>
      <c r="C104" s="27" t="n"/>
      <c r="D104" s="27" t="n"/>
      <c r="E104" s="27" t="n"/>
      <c r="F104" s="36" t="n"/>
      <c r="G104" s="36" t="n"/>
      <c r="H104" s="27" t="n"/>
      <c r="I104" s="29" t="n"/>
      <c r="J104" s="27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19" t="n"/>
      <c r="BA104" s="19" t="n"/>
      <c r="BB104" s="19" t="n"/>
      <c r="BC104" s="19" t="n"/>
      <c r="BD104" s="19" t="n"/>
      <c r="BE104" s="19" t="n"/>
      <c r="BF104" s="19" t="n"/>
      <c r="BG104" s="19" t="n"/>
      <c r="BH104" s="19" t="n"/>
      <c r="BI104" s="19" t="n"/>
      <c r="BJ104" s="19" t="n"/>
    </row>
    <row r="105">
      <c r="A105" s="27" t="n"/>
      <c r="B105" s="27" t="n"/>
      <c r="C105" s="27" t="n"/>
      <c r="D105" s="27" t="n"/>
      <c r="E105" s="27" t="n"/>
      <c r="F105" s="36" t="n"/>
      <c r="G105" s="36" t="n"/>
      <c r="H105" s="27" t="n"/>
      <c r="I105" s="29" t="n"/>
      <c r="J105" s="27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19" t="n"/>
      <c r="BC105" s="19" t="n"/>
      <c r="BD105" s="19" t="n"/>
      <c r="BE105" s="19" t="n"/>
      <c r="BF105" s="19" t="n"/>
      <c r="BG105" s="19" t="n"/>
      <c r="BH105" s="19" t="n"/>
      <c r="BI105" s="19" t="n"/>
      <c r="BJ105" s="19" t="n"/>
    </row>
  </sheetData>
  <mergeCells count="1">
    <mergeCell ref="A1:Z1"/>
  </mergeCells>
  <conditionalFormatting sqref="K6:BJ105">
    <cfRule type="expression" priority="1" dxfId="4">
      <formula>AND($F6&lt;&gt;"",K$5&gt;=$F6,K$5&lt;=$G6)</formula>
    </cfRule>
    <cfRule type="expression" priority="2" dxfId="1">
      <formula>AND($F6&lt;&gt;"",$I6&lt;&gt;"",K$5&gt;=$F6,K$5&lt;=$F6+($G6-$F6)*$I6)</formula>
    </cfRule>
    <cfRule type="expression" priority="3" dxfId="2">
      <formula>AND($J6&gt;0,K$5&gt;$G6,K$5&lt;=TODAY())</formula>
    </cfRule>
  </conditionalFormatting>
  <conditionalFormatting sqref="A6:J105">
    <cfRule type="expression" priority="4" dxfId="1">
      <formula>$H6="Completed"</formula>
    </cfRule>
    <cfRule type="expression" priority="5" dxfId="2">
      <formula>OR($H6="Delayed",$H6="Blocked")</formula>
    </cfRule>
  </conditionalFormatting>
  <dataValidations count="3">
    <dataValidation sqref="B2" showDropDown="0" showInputMessage="0" showErrorMessage="1" allowBlank="0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0" errorTitle="Invalid selection" error="Select a value from the dropdown list." promptTitle="Dropdown" prompt="Choose from the list." type="list">
      <formula1>='Lists'!$I$2:$I$8</formula1>
    </dataValidation>
    <dataValidation sqref="H2" showDropDown="0" showInputMessage="0" showErrorMessage="1" allowBlank="0" errorTitle="Invalid selection" error="Select a value from the dropdown list." promptTitle="Dropdown" prompt="Choose from the list." type="list">
      <formula1>='Lists'!$Y$2:$Y$7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0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7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9" customWidth="1" min="32" max="32"/>
  </cols>
  <sheetData>
    <row r="1">
      <c r="A1" s="45" t="inlineStr">
        <is>
          <t>ProjectIDs</t>
        </is>
      </c>
      <c r="B1" s="45" t="inlineStr">
        <is>
          <t>ProjectIDsAll</t>
        </is>
      </c>
      <c r="C1" s="45" t="inlineStr">
        <is>
          <t>ProjectManagers</t>
        </is>
      </c>
      <c r="D1" s="45" t="inlineStr">
        <is>
          <t>ProjectManagersAll</t>
        </is>
      </c>
      <c r="E1" s="45" t="inlineStr">
        <is>
          <t>Clients</t>
        </is>
      </c>
      <c r="F1" s="45" t="inlineStr">
        <is>
          <t>ProjectStatus</t>
        </is>
      </c>
      <c r="G1" s="45" t="inlineStr">
        <is>
          <t>ProjectStatusAll</t>
        </is>
      </c>
      <c r="H1" s="45" t="inlineStr">
        <is>
          <t>TaskStatus</t>
        </is>
      </c>
      <c r="I1" s="45" t="inlineStr">
        <is>
          <t>TaskStatusAll</t>
        </is>
      </c>
      <c r="J1" s="45" t="inlineStr">
        <is>
          <t>MilestoneStatus</t>
        </is>
      </c>
      <c r="K1" s="45" t="inlineStr">
        <is>
          <t>IssueStatus</t>
        </is>
      </c>
      <c r="L1" s="45" t="inlineStr">
        <is>
          <t>Priority</t>
        </is>
      </c>
      <c r="M1" s="45" t="inlineStr">
        <is>
          <t>PriorityAll</t>
        </is>
      </c>
      <c r="N1" s="45" t="inlineStr">
        <is>
          <t>RiskLevel</t>
        </is>
      </c>
      <c r="O1" s="45" t="inlineStr">
        <is>
          <t>RiskLevelAll</t>
        </is>
      </c>
      <c r="P1" s="45" t="inlineStr">
        <is>
          <t>Severity</t>
        </is>
      </c>
      <c r="Q1" s="45" t="inlineStr">
        <is>
          <t>ApprovalStatus</t>
        </is>
      </c>
      <c r="R1" s="45" t="inlineStr">
        <is>
          <t>TestResult</t>
        </is>
      </c>
      <c r="S1" s="45" t="inlineStr">
        <is>
          <t>RetestStatus</t>
        </is>
      </c>
      <c r="T1" s="45" t="inlineStr">
        <is>
          <t>DeploymentStatus</t>
        </is>
      </c>
      <c r="U1" s="45" t="inlineStr">
        <is>
          <t>YesNo</t>
        </is>
      </c>
      <c r="V1" s="45" t="inlineStr">
        <is>
          <t>Phase</t>
        </is>
      </c>
      <c r="W1" s="45" t="inlineStr">
        <is>
          <t>PhaseAll</t>
        </is>
      </c>
      <c r="X1" s="45" t="inlineStr">
        <is>
          <t>Resources</t>
        </is>
      </c>
      <c r="Y1" s="45" t="inlineStr">
        <is>
          <t>ResourcesAll</t>
        </is>
      </c>
      <c r="Z1" s="45" t="inlineStr">
        <is>
          <t>Owners</t>
        </is>
      </c>
      <c r="AA1" s="45" t="inlineStr">
        <is>
          <t>Testers</t>
        </is>
      </c>
      <c r="AB1" s="45" t="inlineStr">
        <is>
          <t>Deployers</t>
        </is>
      </c>
      <c r="AC1" s="45" t="inlineStr">
        <is>
          <t>Modules</t>
        </is>
      </c>
      <c r="AD1" s="45" t="inlineStr">
        <is>
          <t>Roles</t>
        </is>
      </c>
      <c r="AE1" s="45" t="inlineStr">
        <is>
          <t>Environment</t>
        </is>
      </c>
      <c r="AF1" s="45" t="inlineStr">
        <is>
          <t>ImpactProbability</t>
        </is>
      </c>
    </row>
    <row r="2">
      <c r="A2" s="46" t="inlineStr">
        <is>
          <t>PRJ-001</t>
        </is>
      </c>
      <c r="B2" s="46" t="inlineStr">
        <is>
          <t>All</t>
        </is>
      </c>
      <c r="C2" s="46" t="inlineStr">
        <is>
          <t>Ananya Rao</t>
        </is>
      </c>
      <c r="D2" s="46" t="inlineStr">
        <is>
          <t>All</t>
        </is>
      </c>
      <c r="E2" s="46" t="inlineStr">
        <is>
          <t>Apex Bank</t>
        </is>
      </c>
      <c r="F2" s="46" t="inlineStr">
        <is>
          <t>Not Started</t>
        </is>
      </c>
      <c r="G2" s="46" t="inlineStr">
        <is>
          <t>All</t>
        </is>
      </c>
      <c r="H2" s="46" t="inlineStr">
        <is>
          <t>Not Started</t>
        </is>
      </c>
      <c r="I2" s="46" t="inlineStr">
        <is>
          <t>All</t>
        </is>
      </c>
      <c r="J2" s="46" t="inlineStr">
        <is>
          <t>Not Started</t>
        </is>
      </c>
      <c r="K2" s="46" t="inlineStr">
        <is>
          <t>Open</t>
        </is>
      </c>
      <c r="L2" s="46" t="inlineStr">
        <is>
          <t>Low</t>
        </is>
      </c>
      <c r="M2" s="46" t="inlineStr">
        <is>
          <t>All</t>
        </is>
      </c>
      <c r="N2" s="46" t="inlineStr">
        <is>
          <t>Low</t>
        </is>
      </c>
      <c r="O2" s="46" t="inlineStr">
        <is>
          <t>All</t>
        </is>
      </c>
      <c r="P2" s="46" t="inlineStr">
        <is>
          <t>Low</t>
        </is>
      </c>
      <c r="Q2" s="46" t="inlineStr">
        <is>
          <t>Pending</t>
        </is>
      </c>
      <c r="R2" s="46" t="inlineStr">
        <is>
          <t>Not Run</t>
        </is>
      </c>
      <c r="S2" s="46" t="inlineStr">
        <is>
          <t>Pending</t>
        </is>
      </c>
      <c r="T2" s="46" t="inlineStr">
        <is>
          <t>Planned</t>
        </is>
      </c>
      <c r="U2" s="46" t="inlineStr">
        <is>
          <t>Yes</t>
        </is>
      </c>
      <c r="V2" s="46" t="inlineStr">
        <is>
          <t>Initiation</t>
        </is>
      </c>
      <c r="W2" s="46" t="inlineStr">
        <is>
          <t>All</t>
        </is>
      </c>
      <c r="X2" s="46" t="inlineStr">
        <is>
          <t>Priya Nair</t>
        </is>
      </c>
      <c r="Y2" s="46" t="inlineStr">
        <is>
          <t>All</t>
        </is>
      </c>
      <c r="Z2" s="46" t="inlineStr">
        <is>
          <t>Ananya Rao</t>
        </is>
      </c>
      <c r="AA2" s="46" t="inlineStr">
        <is>
          <t>QA Analyst 1</t>
        </is>
      </c>
      <c r="AB2" s="46" t="inlineStr">
        <is>
          <t>Release Manager</t>
        </is>
      </c>
      <c r="AC2" s="46" t="inlineStr">
        <is>
          <t>Login</t>
        </is>
      </c>
      <c r="AD2" s="46" t="inlineStr">
        <is>
          <t>Frontend Engineer</t>
        </is>
      </c>
      <c r="AE2" s="46" t="inlineStr">
        <is>
          <t>Development</t>
        </is>
      </c>
      <c r="AF2" s="46" t="n">
        <v>1</v>
      </c>
    </row>
    <row r="3">
      <c r="A3" s="46" t="inlineStr">
        <is>
          <t>PRJ-002</t>
        </is>
      </c>
      <c r="B3" s="46" t="inlineStr">
        <is>
          <t>PRJ-001</t>
        </is>
      </c>
      <c r="C3" s="46" t="inlineStr">
        <is>
          <t>Rohit Menon</t>
        </is>
      </c>
      <c r="D3" s="46" t="inlineStr">
        <is>
          <t>Ananya Rao</t>
        </is>
      </c>
      <c r="E3" s="46" t="inlineStr">
        <is>
          <t>Crescent Finance</t>
        </is>
      </c>
      <c r="F3" s="46" t="inlineStr">
        <is>
          <t>Active</t>
        </is>
      </c>
      <c r="G3" s="46" t="inlineStr">
        <is>
          <t>Not Started</t>
        </is>
      </c>
      <c r="H3" s="46" t="inlineStr">
        <is>
          <t>In Progress</t>
        </is>
      </c>
      <c r="I3" s="46" t="inlineStr">
        <is>
          <t>Not Started</t>
        </is>
      </c>
      <c r="J3" s="46" t="inlineStr">
        <is>
          <t>In Progress</t>
        </is>
      </c>
      <c r="K3" s="46" t="inlineStr">
        <is>
          <t>In Progress</t>
        </is>
      </c>
      <c r="L3" s="46" t="inlineStr">
        <is>
          <t>Medium</t>
        </is>
      </c>
      <c r="M3" s="46" t="inlineStr">
        <is>
          <t>Low</t>
        </is>
      </c>
      <c r="N3" s="46" t="inlineStr">
        <is>
          <t>Medium</t>
        </is>
      </c>
      <c r="O3" s="46" t="inlineStr">
        <is>
          <t>Low</t>
        </is>
      </c>
      <c r="P3" s="46" t="inlineStr">
        <is>
          <t>Medium</t>
        </is>
      </c>
      <c r="Q3" s="46" t="inlineStr">
        <is>
          <t>Approved</t>
        </is>
      </c>
      <c r="R3" s="46" t="inlineStr">
        <is>
          <t>Pass</t>
        </is>
      </c>
      <c r="S3" s="46" t="inlineStr">
        <is>
          <t>Pass</t>
        </is>
      </c>
      <c r="T3" s="46" t="inlineStr">
        <is>
          <t>Successful</t>
        </is>
      </c>
      <c r="U3" s="46" t="inlineStr">
        <is>
          <t>No</t>
        </is>
      </c>
      <c r="V3" s="46" t="inlineStr">
        <is>
          <t>Requirements</t>
        </is>
      </c>
      <c r="W3" s="46" t="inlineStr">
        <is>
          <t>Initiation</t>
        </is>
      </c>
      <c r="X3" s="46" t="inlineStr">
        <is>
          <t>Arjun Patel</t>
        </is>
      </c>
      <c r="Y3" s="46" t="inlineStr">
        <is>
          <t>Priya Nair</t>
        </is>
      </c>
      <c r="Z3" s="46" t="inlineStr">
        <is>
          <t>Rohit Menon</t>
        </is>
      </c>
      <c r="AA3" s="46" t="inlineStr">
        <is>
          <t>QA Analyst 2</t>
        </is>
      </c>
      <c r="AB3" s="46" t="inlineStr">
        <is>
          <t>DevOps</t>
        </is>
      </c>
      <c r="AC3" s="46" t="inlineStr">
        <is>
          <t>Payments</t>
        </is>
      </c>
      <c r="AD3" s="46" t="inlineStr">
        <is>
          <t>Backend Engineer</t>
        </is>
      </c>
      <c r="AE3" s="46" t="inlineStr">
        <is>
          <t>SIT</t>
        </is>
      </c>
      <c r="AF3" s="46" t="n">
        <v>2</v>
      </c>
    </row>
    <row r="4">
      <c r="A4" s="46" t="inlineStr">
        <is>
          <t>PRJ-003</t>
        </is>
      </c>
      <c r="B4" s="46" t="inlineStr">
        <is>
          <t>PRJ-002</t>
        </is>
      </c>
      <c r="C4" s="46" t="inlineStr">
        <is>
          <t>Meera Iyer</t>
        </is>
      </c>
      <c r="D4" s="46" t="inlineStr">
        <is>
          <t>Rohit Menon</t>
        </is>
      </c>
      <c r="E4" s="46" t="inlineStr">
        <is>
          <t>Northstar Bank</t>
        </is>
      </c>
      <c r="F4" s="46" t="inlineStr">
        <is>
          <t>On Hold</t>
        </is>
      </c>
      <c r="G4" s="46" t="inlineStr">
        <is>
          <t>Active</t>
        </is>
      </c>
      <c r="H4" s="46" t="inlineStr">
        <is>
          <t>Blocked</t>
        </is>
      </c>
      <c r="I4" s="46" t="inlineStr">
        <is>
          <t>In Progress</t>
        </is>
      </c>
      <c r="J4" s="46" t="inlineStr">
        <is>
          <t>Completed</t>
        </is>
      </c>
      <c r="K4" s="46" t="inlineStr">
        <is>
          <t>Resolved</t>
        </is>
      </c>
      <c r="L4" s="46" t="inlineStr">
        <is>
          <t>High</t>
        </is>
      </c>
      <c r="M4" s="46" t="inlineStr">
        <is>
          <t>Medium</t>
        </is>
      </c>
      <c r="N4" s="46" t="inlineStr">
        <is>
          <t>High</t>
        </is>
      </c>
      <c r="O4" s="46" t="inlineStr">
        <is>
          <t>Medium</t>
        </is>
      </c>
      <c r="P4" s="46" t="inlineStr">
        <is>
          <t>High</t>
        </is>
      </c>
      <c r="Q4" s="46" t="inlineStr">
        <is>
          <t>Rejected</t>
        </is>
      </c>
      <c r="R4" s="46" t="inlineStr">
        <is>
          <t>Fail</t>
        </is>
      </c>
      <c r="S4" s="46" t="inlineStr">
        <is>
          <t>Fail</t>
        </is>
      </c>
      <c r="T4" s="46" t="inlineStr">
        <is>
          <t>Failed</t>
        </is>
      </c>
      <c r="U4" s="46" t="n"/>
      <c r="V4" s="46" t="inlineStr">
        <is>
          <t>Design</t>
        </is>
      </c>
      <c r="W4" s="46" t="inlineStr">
        <is>
          <t>Requirements</t>
        </is>
      </c>
      <c r="X4" s="46" t="inlineStr">
        <is>
          <t>Leena Das</t>
        </is>
      </c>
      <c r="Y4" s="46" t="inlineStr">
        <is>
          <t>Arjun Patel</t>
        </is>
      </c>
      <c r="Z4" s="46" t="inlineStr">
        <is>
          <t>Meera Iyer</t>
        </is>
      </c>
      <c r="AA4" s="46" t="inlineStr">
        <is>
          <t>Priya Nair</t>
        </is>
      </c>
      <c r="AB4" s="46" t="n"/>
      <c r="AC4" s="46" t="inlineStr">
        <is>
          <t>Workflow</t>
        </is>
      </c>
      <c r="AD4" s="46" t="inlineStr">
        <is>
          <t>Business Analyst</t>
        </is>
      </c>
      <c r="AE4" s="46" t="inlineStr">
        <is>
          <t>UAT</t>
        </is>
      </c>
      <c r="AF4" s="46" t="n">
        <v>3</v>
      </c>
    </row>
    <row r="5">
      <c r="A5" s="46" t="inlineStr">
        <is>
          <t>PRJ-004</t>
        </is>
      </c>
      <c r="B5" s="46" t="inlineStr">
        <is>
          <t>PRJ-003</t>
        </is>
      </c>
      <c r="C5" s="46" t="inlineStr">
        <is>
          <t>Vikram Shah</t>
        </is>
      </c>
      <c r="D5" s="46" t="inlineStr">
        <is>
          <t>Meera Iyer</t>
        </is>
      </c>
      <c r="E5" s="46" t="inlineStr">
        <is>
          <t>Horizon Credit Union</t>
        </is>
      </c>
      <c r="F5" s="46" t="inlineStr">
        <is>
          <t>Completed</t>
        </is>
      </c>
      <c r="G5" s="46" t="inlineStr">
        <is>
          <t>On Hold</t>
        </is>
      </c>
      <c r="H5" s="46" t="inlineStr">
        <is>
          <t>Completed</t>
        </is>
      </c>
      <c r="I5" s="46" t="inlineStr">
        <is>
          <t>Blocked</t>
        </is>
      </c>
      <c r="J5" s="46" t="inlineStr">
        <is>
          <t>Delayed</t>
        </is>
      </c>
      <c r="K5" s="46" t="inlineStr">
        <is>
          <t>Closed</t>
        </is>
      </c>
      <c r="L5" s="46" t="inlineStr">
        <is>
          <t>Critical</t>
        </is>
      </c>
      <c r="M5" s="46" t="inlineStr">
        <is>
          <t>High</t>
        </is>
      </c>
      <c r="N5" s="46" t="inlineStr">
        <is>
          <t>Critical</t>
        </is>
      </c>
      <c r="O5" s="46" t="inlineStr">
        <is>
          <t>High</t>
        </is>
      </c>
      <c r="P5" s="46" t="inlineStr">
        <is>
          <t>Critical</t>
        </is>
      </c>
      <c r="Q5" s="46" t="inlineStr">
        <is>
          <t>Deferred</t>
        </is>
      </c>
      <c r="R5" s="46" t="inlineStr">
        <is>
          <t>Blocked</t>
        </is>
      </c>
      <c r="S5" s="46" t="inlineStr">
        <is>
          <t>Not Required</t>
        </is>
      </c>
      <c r="T5" s="46" t="inlineStr">
        <is>
          <t>Rolled Back</t>
        </is>
      </c>
      <c r="U5" s="46" t="n"/>
      <c r="V5" s="46" t="inlineStr">
        <is>
          <t>Development</t>
        </is>
      </c>
      <c r="W5" s="46" t="inlineStr">
        <is>
          <t>Design</t>
        </is>
      </c>
      <c r="X5" s="46" t="inlineStr">
        <is>
          <t>Imran Ali</t>
        </is>
      </c>
      <c r="Y5" s="46" t="inlineStr">
        <is>
          <t>Leena Das</t>
        </is>
      </c>
      <c r="Z5" s="46" t="inlineStr">
        <is>
          <t>Vikram Shah</t>
        </is>
      </c>
      <c r="AA5" s="46" t="inlineStr">
        <is>
          <t>Arjun Patel</t>
        </is>
      </c>
      <c r="AB5" s="46" t="n"/>
      <c r="AC5" s="46" t="inlineStr">
        <is>
          <t>Onboarding</t>
        </is>
      </c>
      <c r="AD5" s="46" t="inlineStr">
        <is>
          <t>Integration Engineer</t>
        </is>
      </c>
      <c r="AE5" s="46" t="inlineStr">
        <is>
          <t>Pre-Production</t>
        </is>
      </c>
      <c r="AF5" s="46" t="n">
        <v>4</v>
      </c>
    </row>
    <row r="6">
      <c r="A6" s="46" t="n"/>
      <c r="B6" s="46" t="inlineStr">
        <is>
          <t>PRJ-004</t>
        </is>
      </c>
      <c r="C6" s="46" t="n"/>
      <c r="D6" s="46" t="inlineStr">
        <is>
          <t>Vikram Shah</t>
        </is>
      </c>
      <c r="E6" s="46" t="n"/>
      <c r="F6" s="46" t="inlineStr">
        <is>
          <t>Delayed</t>
        </is>
      </c>
      <c r="G6" s="46" t="inlineStr">
        <is>
          <t>Completed</t>
        </is>
      </c>
      <c r="H6" s="46" t="inlineStr">
        <is>
          <t>Delayed</t>
        </is>
      </c>
      <c r="I6" s="46" t="inlineStr">
        <is>
          <t>Completed</t>
        </is>
      </c>
      <c r="J6" s="46" t="inlineStr">
        <is>
          <t>At Risk</t>
        </is>
      </c>
      <c r="K6" s="46" t="inlineStr">
        <is>
          <t>Reopened</t>
        </is>
      </c>
      <c r="L6" s="46" t="n"/>
      <c r="M6" s="46" t="inlineStr">
        <is>
          <t>Critical</t>
        </is>
      </c>
      <c r="N6" s="46" t="n"/>
      <c r="O6" s="46" t="inlineStr">
        <is>
          <t>Critical</t>
        </is>
      </c>
      <c r="P6" s="46" t="n"/>
      <c r="Q6" s="46" t="n"/>
      <c r="R6" s="46" t="n"/>
      <c r="S6" s="46" t="n"/>
      <c r="T6" s="46" t="inlineStr">
        <is>
          <t>Completed</t>
        </is>
      </c>
      <c r="U6" s="46" t="n"/>
      <c r="V6" s="46" t="inlineStr">
        <is>
          <t>Testing</t>
        </is>
      </c>
      <c r="W6" s="46" t="inlineStr">
        <is>
          <t>Development</t>
        </is>
      </c>
      <c r="X6" s="46" t="inlineStr">
        <is>
          <t>Nikhil Verma</t>
        </is>
      </c>
      <c r="Y6" s="46" t="inlineStr">
        <is>
          <t>Imran Ali</t>
        </is>
      </c>
      <c r="Z6" s="46" t="inlineStr">
        <is>
          <t>Priya Nair</t>
        </is>
      </c>
      <c r="AA6" s="46" t="inlineStr">
        <is>
          <t>Leena Das</t>
        </is>
      </c>
      <c r="AB6" s="46" t="n"/>
      <c r="AC6" s="46" t="inlineStr">
        <is>
          <t>Integration</t>
        </is>
      </c>
      <c r="AD6" s="46" t="inlineStr">
        <is>
          <t>ML Engineer</t>
        </is>
      </c>
      <c r="AE6" s="46" t="inlineStr">
        <is>
          <t>Production</t>
        </is>
      </c>
      <c r="AF6" s="46" t="n">
        <v>5</v>
      </c>
    </row>
    <row r="7">
      <c r="A7" s="46" t="n"/>
      <c r="B7" s="46" t="n"/>
      <c r="C7" s="46" t="n"/>
      <c r="D7" s="46" t="n"/>
      <c r="E7" s="46" t="n"/>
      <c r="F7" s="46" t="inlineStr">
        <is>
          <t>Cancelled</t>
        </is>
      </c>
      <c r="G7" s="46" t="inlineStr">
        <is>
          <t>Delayed</t>
        </is>
      </c>
      <c r="H7" s="46" t="inlineStr">
        <is>
          <t>Deferred</t>
        </is>
      </c>
      <c r="I7" s="46" t="inlineStr">
        <is>
          <t>Delayed</t>
        </is>
      </c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inlineStr">
        <is>
          <t>UAT</t>
        </is>
      </c>
      <c r="W7" s="46" t="inlineStr">
        <is>
          <t>Testing</t>
        </is>
      </c>
      <c r="X7" s="46" t="n"/>
      <c r="Y7" s="46" t="inlineStr">
        <is>
          <t>Nikhil Verma</t>
        </is>
      </c>
      <c r="Z7" s="46" t="inlineStr">
        <is>
          <t>Arjun Patel</t>
        </is>
      </c>
      <c r="AA7" s="46" t="inlineStr">
        <is>
          <t>Imran Ali</t>
        </is>
      </c>
      <c r="AB7" s="46" t="n"/>
      <c r="AC7" s="46" t="inlineStr">
        <is>
          <t>KYC</t>
        </is>
      </c>
      <c r="AD7" s="46" t="n"/>
      <c r="AE7" s="46" t="inlineStr">
        <is>
          <t>DR</t>
        </is>
      </c>
      <c r="AF7" s="46" t="n"/>
    </row>
    <row r="8">
      <c r="A8" s="46" t="n"/>
      <c r="B8" s="46" t="n"/>
      <c r="C8" s="46" t="n"/>
      <c r="D8" s="46" t="n"/>
      <c r="E8" s="46" t="n"/>
      <c r="F8" s="46" t="n"/>
      <c r="G8" s="46" t="inlineStr">
        <is>
          <t>Cancelled</t>
        </is>
      </c>
      <c r="H8" s="46" t="n"/>
      <c r="I8" s="46" t="inlineStr">
        <is>
          <t>Deferred</t>
        </is>
      </c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inlineStr">
        <is>
          <t>Deployment</t>
        </is>
      </c>
      <c r="W8" s="46" t="inlineStr">
        <is>
          <t>UAT</t>
        </is>
      </c>
      <c r="X8" s="46" t="n"/>
      <c r="Y8" s="46" t="n"/>
      <c r="Z8" s="46" t="inlineStr">
        <is>
          <t>Leena Das</t>
        </is>
      </c>
      <c r="AA8" s="46" t="inlineStr">
        <is>
          <t>Nikhil Verma</t>
        </is>
      </c>
      <c r="AB8" s="46" t="n"/>
      <c r="AC8" s="46" t="inlineStr">
        <is>
          <t>Reports</t>
        </is>
      </c>
      <c r="AD8" s="46" t="n"/>
      <c r="AE8" s="46" t="n"/>
      <c r="AF8" s="46" t="n"/>
    </row>
    <row r="9">
      <c r="A9" s="46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inlineStr">
        <is>
          <t>Hypercare</t>
        </is>
      </c>
      <c r="W9" s="46" t="inlineStr">
        <is>
          <t>Deployment</t>
        </is>
      </c>
      <c r="X9" s="46" t="n"/>
      <c r="Y9" s="46" t="n"/>
      <c r="Z9" s="46" t="inlineStr">
        <is>
          <t>Imran Ali</t>
        </is>
      </c>
      <c r="AA9" s="46" t="n"/>
      <c r="AB9" s="46" t="n"/>
      <c r="AC9" s="46" t="n"/>
      <c r="AD9" s="46" t="n"/>
      <c r="AE9" s="46" t="n"/>
      <c r="AF9" s="46" t="n"/>
    </row>
    <row r="10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inlineStr">
        <is>
          <t>Closed</t>
        </is>
      </c>
      <c r="W10" s="46" t="inlineStr">
        <is>
          <t>Hypercare</t>
        </is>
      </c>
      <c r="X10" s="46" t="n"/>
      <c r="Y10" s="46" t="n"/>
      <c r="Z10" s="46" t="inlineStr">
        <is>
          <t>Nikhil Verma</t>
        </is>
      </c>
      <c r="AA10" s="46" t="n"/>
      <c r="AB10" s="46" t="n"/>
      <c r="AC10" s="46" t="n"/>
      <c r="AD10" s="46" t="n"/>
      <c r="AE10" s="46" t="n"/>
      <c r="AF10" s="46" t="n"/>
    </row>
    <row r="11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inlineStr">
        <is>
          <t>Closed</t>
        </is>
      </c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</row>
    <row r="12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</row>
    <row r="13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</row>
    <row r="14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</row>
    <row r="15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</row>
    <row r="30">
      <c r="A30" s="2" t="inlineStr">
        <is>
          <t>Dropdown source lists. Add new values under the matching column to extend dropdown options.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25" t="inlineStr">
        <is>
          <t>Project Master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Client / Bank Name</t>
        </is>
      </c>
      <c r="E2" s="48" t="inlineStr"/>
      <c r="F2" s="49" t="inlineStr">
        <is>
          <t>Project Manager</t>
        </is>
      </c>
      <c r="G2" s="48" t="inlineStr"/>
      <c r="H2" s="49" t="inlineStr">
        <is>
          <t>Project Status</t>
        </is>
      </c>
      <c r="I2" s="48" t="inlineStr"/>
      <c r="J2" s="49" t="inlineStr">
        <is>
          <t>Priority</t>
        </is>
      </c>
      <c r="K2" s="48" t="inlineStr"/>
    </row>
    <row r="3">
      <c r="A3" s="47" t="inlineStr">
        <is>
          <t>Project ID</t>
        </is>
      </c>
      <c r="B3" s="26" t="inlineStr">
        <is>
          <t>Project Name</t>
        </is>
      </c>
      <c r="C3" s="47" t="inlineStr">
        <is>
          <t>Client / Bank Name</t>
        </is>
      </c>
      <c r="D3" s="47" t="inlineStr">
        <is>
          <t>Project Manager</t>
        </is>
      </c>
      <c r="E3" s="26" t="inlineStr">
        <is>
          <t>Start Date</t>
        </is>
      </c>
      <c r="F3" s="26" t="inlineStr">
        <is>
          <t>Planned End Date</t>
        </is>
      </c>
      <c r="G3" s="26" t="inlineStr">
        <is>
          <t>Revised End Date</t>
        </is>
      </c>
      <c r="H3" s="26" t="inlineStr">
        <is>
          <t>Actual End Date</t>
        </is>
      </c>
      <c r="I3" s="47" t="inlineStr">
        <is>
          <t>Project Status</t>
        </is>
      </c>
      <c r="J3" s="47" t="inlineStr">
        <is>
          <t>Priority</t>
        </is>
      </c>
      <c r="K3" s="26" t="inlineStr">
        <is>
          <t>Completion %</t>
        </is>
      </c>
      <c r="L3" s="47" t="inlineStr">
        <is>
          <t>Current Phase</t>
        </is>
      </c>
      <c r="M3" s="47" t="inlineStr">
        <is>
          <t>Risk Level</t>
        </is>
      </c>
      <c r="N3" s="26" t="inlineStr">
        <is>
          <t>Remarks</t>
        </is>
      </c>
    </row>
    <row r="4">
      <c r="A4" s="27" t="inlineStr">
        <is>
          <t>PRJ-001</t>
        </is>
      </c>
      <c r="B4" s="27" t="inlineStr">
        <is>
          <t>Mobile Banking Revamp</t>
        </is>
      </c>
      <c r="C4" s="27" t="inlineStr">
        <is>
          <t>Apex Bank</t>
        </is>
      </c>
      <c r="D4" s="27" t="inlineStr">
        <is>
          <t>Ananya Rao</t>
        </is>
      </c>
      <c r="E4" s="36" t="n">
        <v>46028</v>
      </c>
      <c r="F4" s="36" t="n">
        <v>46201</v>
      </c>
      <c r="G4" s="36" t="n">
        <v>46215</v>
      </c>
      <c r="H4" s="36" t="inlineStr"/>
      <c r="I4" s="27" t="inlineStr">
        <is>
          <t>Active</t>
        </is>
      </c>
      <c r="J4" s="27" t="inlineStr">
        <is>
          <t>High</t>
        </is>
      </c>
      <c r="K4" s="29">
        <f>IF(A4="","",IFERROR(AVERAGEIF(TaskTracker[Project ID],A4,TaskTracker[Completion %]),0))</f>
        <v/>
      </c>
      <c r="L4" s="27" t="inlineStr">
        <is>
          <t>UAT</t>
        </is>
      </c>
      <c r="M4" s="27" t="inlineStr">
        <is>
          <t>High</t>
        </is>
      </c>
      <c r="N4" s="27" t="inlineStr">
        <is>
          <t>UAT defects under triage</t>
        </is>
      </c>
    </row>
    <row r="5">
      <c r="A5" s="27" t="inlineStr">
        <is>
          <t>PRJ-002</t>
        </is>
      </c>
      <c r="B5" s="27" t="inlineStr">
        <is>
          <t>Loan Origination Workflow</t>
        </is>
      </c>
      <c r="C5" s="27" t="inlineStr">
        <is>
          <t>Crescent Finance</t>
        </is>
      </c>
      <c r="D5" s="27" t="inlineStr">
        <is>
          <t>Rohit Menon</t>
        </is>
      </c>
      <c r="E5" s="36" t="n">
        <v>46056</v>
      </c>
      <c r="F5" s="36" t="n">
        <v>46249</v>
      </c>
      <c r="G5" s="36" t="inlineStr"/>
      <c r="H5" s="36" t="inlineStr"/>
      <c r="I5" s="27" t="inlineStr">
        <is>
          <t>Active</t>
        </is>
      </c>
      <c r="J5" s="27" t="inlineStr">
        <is>
          <t>Critical</t>
        </is>
      </c>
      <c r="K5" s="29">
        <f>IF(A5="","",IFERROR(AVERAGEIF(TaskTracker[Project ID],A5,TaskTracker[Completion %]),0))</f>
        <v/>
      </c>
      <c r="L5" s="27" t="inlineStr">
        <is>
          <t>Development</t>
        </is>
      </c>
      <c r="M5" s="27" t="inlineStr">
        <is>
          <t>Critical</t>
        </is>
      </c>
      <c r="N5" s="27" t="inlineStr">
        <is>
          <t>Integration dependency with CBS</t>
        </is>
      </c>
    </row>
    <row r="6">
      <c r="A6" s="27" t="inlineStr">
        <is>
          <t>PRJ-003</t>
        </is>
      </c>
      <c r="B6" s="27" t="inlineStr">
        <is>
          <t>Regulatory Reporting Portal</t>
        </is>
      </c>
      <c r="C6" s="27" t="inlineStr">
        <is>
          <t>Northstar Bank</t>
        </is>
      </c>
      <c r="D6" s="27" t="inlineStr">
        <is>
          <t>Meera Iyer</t>
        </is>
      </c>
      <c r="E6" s="36" t="n">
        <v>45971</v>
      </c>
      <c r="F6" s="36" t="n">
        <v>46142</v>
      </c>
      <c r="G6" s="36" t="n">
        <v>46150</v>
      </c>
      <c r="H6" s="36" t="n">
        <v>46148</v>
      </c>
      <c r="I6" s="27" t="inlineStr">
        <is>
          <t>Completed</t>
        </is>
      </c>
      <c r="J6" s="27" t="inlineStr">
        <is>
          <t>High</t>
        </is>
      </c>
      <c r="K6" s="29">
        <f>IF(A6="","",IFERROR(AVERAGEIF(TaskTracker[Project ID],A6,TaskTracker[Completion %]),0))</f>
        <v/>
      </c>
      <c r="L6" s="27" t="inlineStr">
        <is>
          <t>Closed</t>
        </is>
      </c>
      <c r="M6" s="27" t="inlineStr">
        <is>
          <t>Medium</t>
        </is>
      </c>
      <c r="N6" s="27" t="inlineStr">
        <is>
          <t>Delivered</t>
        </is>
      </c>
    </row>
    <row r="7">
      <c r="A7" s="27" t="inlineStr">
        <is>
          <t>PRJ-004</t>
        </is>
      </c>
      <c r="B7" s="27" t="inlineStr">
        <is>
          <t>Customer Onboarding App</t>
        </is>
      </c>
      <c r="C7" s="27" t="inlineStr">
        <is>
          <t>Horizon Credit Union</t>
        </is>
      </c>
      <c r="D7" s="27" t="inlineStr">
        <is>
          <t>Vikram Shah</t>
        </is>
      </c>
      <c r="E7" s="36" t="n">
        <v>46098</v>
      </c>
      <c r="F7" s="36" t="n">
        <v>46234</v>
      </c>
      <c r="G7" s="36" t="n">
        <v>46255</v>
      </c>
      <c r="H7" s="36" t="inlineStr"/>
      <c r="I7" s="27" t="inlineStr">
        <is>
          <t>Delayed</t>
        </is>
      </c>
      <c r="J7" s="27" t="inlineStr">
        <is>
          <t>High</t>
        </is>
      </c>
      <c r="K7" s="29">
        <f>IF(A7="","",IFERROR(AVERAGEIF(TaskTracker[Project ID],A7,TaskTracker[Completion %]),0))</f>
        <v/>
      </c>
      <c r="L7" s="27" t="inlineStr">
        <is>
          <t>Testing</t>
        </is>
      </c>
      <c r="M7" s="27" t="inlineStr">
        <is>
          <t>High</t>
        </is>
      </c>
      <c r="N7" s="27" t="inlineStr">
        <is>
          <t>API performance issue open</t>
        </is>
      </c>
    </row>
    <row r="8">
      <c r="A8" s="27" t="inlineStr"/>
      <c r="B8" s="27" t="inlineStr"/>
      <c r="C8" s="27" t="inlineStr"/>
      <c r="D8" s="27" t="inlineStr"/>
      <c r="E8" s="36" t="inlineStr"/>
      <c r="F8" s="36" t="inlineStr"/>
      <c r="G8" s="36" t="inlineStr"/>
      <c r="H8" s="36" t="inlineStr"/>
      <c r="I8" s="27" t="inlineStr"/>
      <c r="J8" s="27" t="inlineStr"/>
      <c r="K8" s="29">
        <f>IF(A8="","",IFERROR(AVERAGEIF(TaskTracker[Project ID],A8,TaskTracker[Completion %]),0))</f>
        <v/>
      </c>
      <c r="L8" s="27" t="inlineStr"/>
      <c r="M8" s="27" t="inlineStr"/>
      <c r="N8" s="27" t="inlineStr"/>
    </row>
    <row r="9">
      <c r="A9" s="27" t="inlineStr"/>
      <c r="B9" s="27" t="inlineStr"/>
      <c r="C9" s="27" t="inlineStr"/>
      <c r="D9" s="27" t="inlineStr"/>
      <c r="E9" s="36" t="inlineStr"/>
      <c r="F9" s="36" t="inlineStr"/>
      <c r="G9" s="36" t="inlineStr"/>
      <c r="H9" s="36" t="inlineStr"/>
      <c r="I9" s="27" t="inlineStr"/>
      <c r="J9" s="27" t="inlineStr"/>
      <c r="K9" s="29">
        <f>IF(A9="","",IFERROR(AVERAGEIF(TaskTracker[Project ID],A9,TaskTracker[Completion %]),0))</f>
        <v/>
      </c>
      <c r="L9" s="27" t="inlineStr"/>
      <c r="M9" s="27" t="inlineStr"/>
      <c r="N9" s="27" t="inlineStr"/>
    </row>
    <row r="10">
      <c r="A10" s="27" t="inlineStr"/>
      <c r="B10" s="27" t="inlineStr"/>
      <c r="C10" s="27" t="inlineStr"/>
      <c r="D10" s="27" t="inlineStr"/>
      <c r="E10" s="36" t="inlineStr"/>
      <c r="F10" s="36" t="inlineStr"/>
      <c r="G10" s="36" t="inlineStr"/>
      <c r="H10" s="36" t="inlineStr"/>
      <c r="I10" s="27" t="inlineStr"/>
      <c r="J10" s="27" t="inlineStr"/>
      <c r="K10" s="29">
        <f>IF(A10="","",IFERROR(AVERAGEIF(TaskTracker[Project ID],A10,TaskTracker[Completion %]),0))</f>
        <v/>
      </c>
      <c r="L10" s="27" t="inlineStr"/>
      <c r="M10" s="27" t="inlineStr"/>
      <c r="N10" s="27" t="inlineStr"/>
    </row>
    <row r="11">
      <c r="A11" s="27" t="inlineStr"/>
      <c r="B11" s="27" t="inlineStr"/>
      <c r="C11" s="27" t="inlineStr"/>
      <c r="D11" s="27" t="inlineStr"/>
      <c r="E11" s="36" t="inlineStr"/>
      <c r="F11" s="36" t="inlineStr"/>
      <c r="G11" s="36" t="inlineStr"/>
      <c r="H11" s="36" t="inlineStr"/>
      <c r="I11" s="27" t="inlineStr"/>
      <c r="J11" s="27" t="inlineStr"/>
      <c r="K11" s="29">
        <f>IF(A11="","",IFERROR(AVERAGEIF(TaskTracker[Project ID],A11,TaskTracker[Completion %]),0))</f>
        <v/>
      </c>
      <c r="L11" s="27" t="inlineStr"/>
      <c r="M11" s="27" t="inlineStr"/>
      <c r="N11" s="27" t="inlineStr"/>
    </row>
    <row r="12">
      <c r="A12" s="27" t="inlineStr"/>
      <c r="B12" s="27" t="inlineStr"/>
      <c r="C12" s="27" t="inlineStr"/>
      <c r="D12" s="27" t="inlineStr"/>
      <c r="E12" s="36" t="inlineStr"/>
      <c r="F12" s="36" t="inlineStr"/>
      <c r="G12" s="36" t="inlineStr"/>
      <c r="H12" s="36" t="inlineStr"/>
      <c r="I12" s="27" t="inlineStr"/>
      <c r="J12" s="27" t="inlineStr"/>
      <c r="K12" s="29">
        <f>IF(A12="","",IFERROR(AVERAGEIF(TaskTracker[Project ID],A12,TaskTracker[Completion %]),0))</f>
        <v/>
      </c>
      <c r="L12" s="27" t="inlineStr"/>
      <c r="M12" s="27" t="inlineStr"/>
      <c r="N12" s="27" t="inlineStr"/>
    </row>
    <row r="13">
      <c r="A13" s="27" t="inlineStr"/>
      <c r="B13" s="27" t="inlineStr"/>
      <c r="C13" s="27" t="inlineStr"/>
      <c r="D13" s="27" t="inlineStr"/>
      <c r="E13" s="36" t="inlineStr"/>
      <c r="F13" s="36" t="inlineStr"/>
      <c r="G13" s="36" t="inlineStr"/>
      <c r="H13" s="36" t="inlineStr"/>
      <c r="I13" s="27" t="inlineStr"/>
      <c r="J13" s="27" t="inlineStr"/>
      <c r="K13" s="29">
        <f>IF(A13="","",IFERROR(AVERAGEIF(TaskTracker[Project ID],A13,TaskTracker[Completion %]),0))</f>
        <v/>
      </c>
      <c r="L13" s="27" t="inlineStr"/>
      <c r="M13" s="27" t="inlineStr"/>
      <c r="N13" s="27" t="inlineStr"/>
    </row>
    <row r="14">
      <c r="A14" s="27" t="inlineStr"/>
      <c r="B14" s="27" t="inlineStr"/>
      <c r="C14" s="27" t="inlineStr"/>
      <c r="D14" s="27" t="inlineStr"/>
      <c r="E14" s="36" t="inlineStr"/>
      <c r="F14" s="36" t="inlineStr"/>
      <c r="G14" s="36" t="inlineStr"/>
      <c r="H14" s="36" t="inlineStr"/>
      <c r="I14" s="27" t="inlineStr"/>
      <c r="J14" s="27" t="inlineStr"/>
      <c r="K14" s="29">
        <f>IF(A14="","",IFERROR(AVERAGEIF(TaskTracker[Project ID],A14,TaskTracker[Completion %]),0))</f>
        <v/>
      </c>
      <c r="L14" s="27" t="inlineStr"/>
      <c r="M14" s="27" t="inlineStr"/>
      <c r="N14" s="27" t="inlineStr"/>
    </row>
    <row r="15">
      <c r="A15" s="27" t="inlineStr"/>
      <c r="B15" s="27" t="inlineStr"/>
      <c r="C15" s="27" t="inlineStr"/>
      <c r="D15" s="27" t="inlineStr"/>
      <c r="E15" s="36" t="inlineStr"/>
      <c r="F15" s="36" t="inlineStr"/>
      <c r="G15" s="36" t="inlineStr"/>
      <c r="H15" s="36" t="inlineStr"/>
      <c r="I15" s="27" t="inlineStr"/>
      <c r="J15" s="27" t="inlineStr"/>
      <c r="K15" s="29">
        <f>IF(A15="","",IFERROR(AVERAGEIF(TaskTracker[Project ID],A15,TaskTracker[Completion %]),0))</f>
        <v/>
      </c>
      <c r="L15" s="27" t="inlineStr"/>
      <c r="M15" s="27" t="inlineStr"/>
      <c r="N15" s="27" t="inlineStr"/>
    </row>
    <row r="16">
      <c r="A16" s="27" t="inlineStr"/>
      <c r="B16" s="27" t="inlineStr"/>
      <c r="C16" s="27" t="inlineStr"/>
      <c r="D16" s="27" t="inlineStr"/>
      <c r="E16" s="36" t="inlineStr"/>
      <c r="F16" s="36" t="inlineStr"/>
      <c r="G16" s="36" t="inlineStr"/>
      <c r="H16" s="36" t="inlineStr"/>
      <c r="I16" s="27" t="inlineStr"/>
      <c r="J16" s="27" t="inlineStr"/>
      <c r="K16" s="29">
        <f>IF(A16="","",IFERROR(AVERAGEIF(TaskTracker[Project ID],A16,TaskTracker[Completion %]),0))</f>
        <v/>
      </c>
      <c r="L16" s="27" t="inlineStr"/>
      <c r="M16" s="27" t="inlineStr"/>
      <c r="N16" s="27" t="inlineStr"/>
    </row>
    <row r="17">
      <c r="A17" s="27" t="inlineStr"/>
      <c r="B17" s="27" t="inlineStr"/>
      <c r="C17" s="27" t="inlineStr"/>
      <c r="D17" s="27" t="inlineStr"/>
      <c r="E17" s="36" t="inlineStr"/>
      <c r="F17" s="36" t="inlineStr"/>
      <c r="G17" s="36" t="inlineStr"/>
      <c r="H17" s="36" t="inlineStr"/>
      <c r="I17" s="27" t="inlineStr"/>
      <c r="J17" s="27" t="inlineStr"/>
      <c r="K17" s="29">
        <f>IF(A17="","",IFERROR(AVERAGEIF(TaskTracker[Project ID],A17,TaskTracker[Completion %]),0))</f>
        <v/>
      </c>
      <c r="L17" s="27" t="inlineStr"/>
      <c r="M17" s="27" t="inlineStr"/>
      <c r="N17" s="27" t="inlineStr"/>
    </row>
    <row r="18">
      <c r="A18" s="27" t="inlineStr"/>
      <c r="B18" s="27" t="inlineStr"/>
      <c r="C18" s="27" t="inlineStr"/>
      <c r="D18" s="27" t="inlineStr"/>
      <c r="E18" s="36" t="inlineStr"/>
      <c r="F18" s="36" t="inlineStr"/>
      <c r="G18" s="36" t="inlineStr"/>
      <c r="H18" s="36" t="inlineStr"/>
      <c r="I18" s="27" t="inlineStr"/>
      <c r="J18" s="27" t="inlineStr"/>
      <c r="K18" s="29">
        <f>IF(A18="","",IFERROR(AVERAGEIF(TaskTracker[Project ID],A18,TaskTracker[Completion %]),0))</f>
        <v/>
      </c>
      <c r="L18" s="27" t="inlineStr"/>
      <c r="M18" s="27" t="inlineStr"/>
      <c r="N18" s="27" t="inlineStr"/>
    </row>
    <row r="19">
      <c r="A19" s="27" t="inlineStr"/>
      <c r="B19" s="27" t="inlineStr"/>
      <c r="C19" s="27" t="inlineStr"/>
      <c r="D19" s="27" t="inlineStr"/>
      <c r="E19" s="36" t="inlineStr"/>
      <c r="F19" s="36" t="inlineStr"/>
      <c r="G19" s="36" t="inlineStr"/>
      <c r="H19" s="36" t="inlineStr"/>
      <c r="I19" s="27" t="inlineStr"/>
      <c r="J19" s="27" t="inlineStr"/>
      <c r="K19" s="29">
        <f>IF(A19="","",IFERROR(AVERAGEIF(TaskTracker[Project ID],A19,TaskTracker[Completion %]),0))</f>
        <v/>
      </c>
      <c r="L19" s="27" t="inlineStr"/>
      <c r="M19" s="27" t="inlineStr"/>
      <c r="N19" s="27" t="inlineStr"/>
    </row>
    <row r="20">
      <c r="A20" s="27" t="inlineStr"/>
      <c r="B20" s="27" t="inlineStr"/>
      <c r="C20" s="27" t="inlineStr"/>
      <c r="D20" s="27" t="inlineStr"/>
      <c r="E20" s="36" t="inlineStr"/>
      <c r="F20" s="36" t="inlineStr"/>
      <c r="G20" s="36" t="inlineStr"/>
      <c r="H20" s="36" t="inlineStr"/>
      <c r="I20" s="27" t="inlineStr"/>
      <c r="J20" s="27" t="inlineStr"/>
      <c r="K20" s="29">
        <f>IF(A20="","",IFERROR(AVERAGEIF(TaskTracker[Project ID],A20,TaskTracker[Completion %]),0))</f>
        <v/>
      </c>
      <c r="L20" s="27" t="inlineStr"/>
      <c r="M20" s="27" t="inlineStr"/>
      <c r="N20" s="27" t="inlineStr"/>
    </row>
    <row r="21">
      <c r="A21" s="27" t="inlineStr"/>
      <c r="B21" s="27" t="inlineStr"/>
      <c r="C21" s="27" t="inlineStr"/>
      <c r="D21" s="27" t="inlineStr"/>
      <c r="E21" s="36" t="inlineStr"/>
      <c r="F21" s="36" t="inlineStr"/>
      <c r="G21" s="36" t="inlineStr"/>
      <c r="H21" s="36" t="inlineStr"/>
      <c r="I21" s="27" t="inlineStr"/>
      <c r="J21" s="27" t="inlineStr"/>
      <c r="K21" s="29">
        <f>IF(A21="","",IFERROR(AVERAGEIF(TaskTracker[Project ID],A21,TaskTracker[Completion %]),0))</f>
        <v/>
      </c>
      <c r="L21" s="27" t="inlineStr"/>
      <c r="M21" s="27" t="inlineStr"/>
      <c r="N21" s="27" t="inlineStr"/>
    </row>
    <row r="22">
      <c r="A22" s="27" t="inlineStr"/>
      <c r="B22" s="27" t="inlineStr"/>
      <c r="C22" s="27" t="inlineStr"/>
      <c r="D22" s="27" t="inlineStr"/>
      <c r="E22" s="36" t="inlineStr"/>
      <c r="F22" s="36" t="inlineStr"/>
      <c r="G22" s="36" t="inlineStr"/>
      <c r="H22" s="36" t="inlineStr"/>
      <c r="I22" s="27" t="inlineStr"/>
      <c r="J22" s="27" t="inlineStr"/>
      <c r="K22" s="29">
        <f>IF(A22="","",IFERROR(AVERAGEIF(TaskTracker[Project ID],A22,TaskTracker[Completion %]),0))</f>
        <v/>
      </c>
      <c r="L22" s="27" t="inlineStr"/>
      <c r="M22" s="27" t="inlineStr"/>
      <c r="N22" s="27" t="inlineStr"/>
    </row>
    <row r="23">
      <c r="A23" s="27" t="inlineStr"/>
      <c r="B23" s="27" t="inlineStr"/>
      <c r="C23" s="27" t="inlineStr"/>
      <c r="D23" s="27" t="inlineStr"/>
      <c r="E23" s="36" t="inlineStr"/>
      <c r="F23" s="36" t="inlineStr"/>
      <c r="G23" s="36" t="inlineStr"/>
      <c r="H23" s="36" t="inlineStr"/>
      <c r="I23" s="27" t="inlineStr"/>
      <c r="J23" s="27" t="inlineStr"/>
      <c r="K23" s="29">
        <f>IF(A23="","",IFERROR(AVERAGEIF(TaskTracker[Project ID],A23,TaskTracker[Completion %]),0))</f>
        <v/>
      </c>
      <c r="L23" s="27" t="inlineStr"/>
      <c r="M23" s="27" t="inlineStr"/>
      <c r="N23" s="27" t="inlineStr"/>
    </row>
    <row r="24">
      <c r="A24" s="27" t="inlineStr"/>
      <c r="B24" s="27" t="inlineStr"/>
      <c r="C24" s="27" t="inlineStr"/>
      <c r="D24" s="27" t="inlineStr"/>
      <c r="E24" s="36" t="inlineStr"/>
      <c r="F24" s="36" t="inlineStr"/>
      <c r="G24" s="36" t="inlineStr"/>
      <c r="H24" s="36" t="inlineStr"/>
      <c r="I24" s="27" t="inlineStr"/>
      <c r="J24" s="27" t="inlineStr"/>
      <c r="K24" s="29">
        <f>IF(A24="","",IFERROR(AVERAGEIF(TaskTracker[Project ID],A24,TaskTracker[Completion %]),0))</f>
        <v/>
      </c>
      <c r="L24" s="27" t="inlineStr"/>
      <c r="M24" s="27" t="inlineStr"/>
      <c r="N24" s="27" t="inlineStr"/>
    </row>
    <row r="25">
      <c r="A25" s="27" t="inlineStr"/>
      <c r="B25" s="27" t="inlineStr"/>
      <c r="C25" s="27" t="inlineStr"/>
      <c r="D25" s="27" t="inlineStr"/>
      <c r="E25" s="36" t="inlineStr"/>
      <c r="F25" s="36" t="inlineStr"/>
      <c r="G25" s="36" t="inlineStr"/>
      <c r="H25" s="36" t="inlineStr"/>
      <c r="I25" s="27" t="inlineStr"/>
      <c r="J25" s="27" t="inlineStr"/>
      <c r="K25" s="29">
        <f>IF(A25="","",IFERROR(AVERAGEIF(TaskTracker[Project ID],A25,TaskTracker[Completion %]),0))</f>
        <v/>
      </c>
      <c r="L25" s="27" t="inlineStr"/>
      <c r="M25" s="27" t="inlineStr"/>
      <c r="N25" s="27" t="inlineStr"/>
    </row>
    <row r="26">
      <c r="A26" s="27" t="inlineStr"/>
      <c r="B26" s="27" t="inlineStr"/>
      <c r="C26" s="27" t="inlineStr"/>
      <c r="D26" s="27" t="inlineStr"/>
      <c r="E26" s="36" t="inlineStr"/>
      <c r="F26" s="36" t="inlineStr"/>
      <c r="G26" s="36" t="inlineStr"/>
      <c r="H26" s="36" t="inlineStr"/>
      <c r="I26" s="27" t="inlineStr"/>
      <c r="J26" s="27" t="inlineStr"/>
      <c r="K26" s="29">
        <f>IF(A26="","",IFERROR(AVERAGEIF(TaskTracker[Project ID],A26,TaskTracker[Completion %]),0))</f>
        <v/>
      </c>
      <c r="L26" s="27" t="inlineStr"/>
      <c r="M26" s="27" t="inlineStr"/>
      <c r="N26" s="27" t="inlineStr"/>
    </row>
    <row r="27">
      <c r="A27" s="27" t="inlineStr"/>
      <c r="B27" s="27" t="inlineStr"/>
      <c r="C27" s="27" t="inlineStr"/>
      <c r="D27" s="27" t="inlineStr"/>
      <c r="E27" s="36" t="inlineStr"/>
      <c r="F27" s="36" t="inlineStr"/>
      <c r="G27" s="36" t="inlineStr"/>
      <c r="H27" s="36" t="inlineStr"/>
      <c r="I27" s="27" t="inlineStr"/>
      <c r="J27" s="27" t="inlineStr"/>
      <c r="K27" s="29">
        <f>IF(A27="","",IFERROR(AVERAGEIF(TaskTracker[Project ID],A27,TaskTracker[Completion %]),0))</f>
        <v/>
      </c>
      <c r="L27" s="27" t="inlineStr"/>
      <c r="M27" s="27" t="inlineStr"/>
      <c r="N27" s="27" t="inlineStr"/>
    </row>
    <row r="28">
      <c r="A28" s="27" t="inlineStr"/>
      <c r="B28" s="27" t="inlineStr"/>
      <c r="C28" s="27" t="inlineStr"/>
      <c r="D28" s="27" t="inlineStr"/>
      <c r="E28" s="36" t="inlineStr"/>
      <c r="F28" s="36" t="inlineStr"/>
      <c r="G28" s="36" t="inlineStr"/>
      <c r="H28" s="36" t="inlineStr"/>
      <c r="I28" s="27" t="inlineStr"/>
      <c r="J28" s="27" t="inlineStr"/>
      <c r="K28" s="29">
        <f>IF(A28="","",IFERROR(AVERAGEIF(TaskTracker[Project ID],A28,TaskTracker[Completion %]),0))</f>
        <v/>
      </c>
      <c r="L28" s="27" t="inlineStr"/>
      <c r="M28" s="27" t="inlineStr"/>
      <c r="N28" s="27" t="inlineStr"/>
    </row>
    <row r="29">
      <c r="A29" s="27" t="inlineStr"/>
      <c r="B29" s="27" t="inlineStr"/>
      <c r="C29" s="27" t="inlineStr"/>
      <c r="D29" s="27" t="inlineStr"/>
      <c r="E29" s="36" t="inlineStr"/>
      <c r="F29" s="36" t="inlineStr"/>
      <c r="G29" s="36" t="inlineStr"/>
      <c r="H29" s="36" t="inlineStr"/>
      <c r="I29" s="27" t="inlineStr"/>
      <c r="J29" s="27" t="inlineStr"/>
      <c r="K29" s="29">
        <f>IF(A29="","",IFERROR(AVERAGEIF(TaskTracker[Project ID],A29,TaskTracker[Completion %]),0))</f>
        <v/>
      </c>
      <c r="L29" s="27" t="inlineStr"/>
      <c r="M29" s="27" t="inlineStr"/>
      <c r="N29" s="27" t="inlineStr"/>
    </row>
    <row r="30">
      <c r="A30" s="27" t="inlineStr"/>
      <c r="B30" s="27" t="inlineStr"/>
      <c r="C30" s="27" t="inlineStr"/>
      <c r="D30" s="27" t="inlineStr"/>
      <c r="E30" s="36" t="inlineStr"/>
      <c r="F30" s="36" t="inlineStr"/>
      <c r="G30" s="36" t="inlineStr"/>
      <c r="H30" s="36" t="inlineStr"/>
      <c r="I30" s="27" t="inlineStr"/>
      <c r="J30" s="27" t="inlineStr"/>
      <c r="K30" s="29">
        <f>IF(A30="","",IFERROR(AVERAGEIF(TaskTracker[Project ID],A30,TaskTracker[Completion %]),0))</f>
        <v/>
      </c>
      <c r="L30" s="27" t="inlineStr"/>
      <c r="M30" s="27" t="inlineStr"/>
      <c r="N30" s="27" t="inlineStr"/>
    </row>
    <row r="31">
      <c r="A31" s="27" t="inlineStr"/>
      <c r="B31" s="27" t="inlineStr"/>
      <c r="C31" s="27" t="inlineStr"/>
      <c r="D31" s="27" t="inlineStr"/>
      <c r="E31" s="36" t="inlineStr"/>
      <c r="F31" s="36" t="inlineStr"/>
      <c r="G31" s="36" t="inlineStr"/>
      <c r="H31" s="36" t="inlineStr"/>
      <c r="I31" s="27" t="inlineStr"/>
      <c r="J31" s="27" t="inlineStr"/>
      <c r="K31" s="29">
        <f>IF(A31="","",IFERROR(AVERAGEIF(TaskTracker[Project ID],A31,TaskTracker[Completion %]),0))</f>
        <v/>
      </c>
      <c r="L31" s="27" t="inlineStr"/>
      <c r="M31" s="27" t="inlineStr"/>
      <c r="N31" s="27" t="inlineStr"/>
    </row>
    <row r="32">
      <c r="A32" s="27" t="inlineStr"/>
      <c r="B32" s="27" t="inlineStr"/>
      <c r="C32" s="27" t="inlineStr"/>
      <c r="D32" s="27" t="inlineStr"/>
      <c r="E32" s="36" t="inlineStr"/>
      <c r="F32" s="36" t="inlineStr"/>
      <c r="G32" s="36" t="inlineStr"/>
      <c r="H32" s="36" t="inlineStr"/>
      <c r="I32" s="27" t="inlineStr"/>
      <c r="J32" s="27" t="inlineStr"/>
      <c r="K32" s="29">
        <f>IF(A32="","",IFERROR(AVERAGEIF(TaskTracker[Project ID],A32,TaskTracker[Completion %]),0))</f>
        <v/>
      </c>
      <c r="L32" s="27" t="inlineStr"/>
      <c r="M32" s="27" t="inlineStr"/>
      <c r="N32" s="27" t="inlineStr"/>
    </row>
    <row r="33">
      <c r="A33" s="27" t="inlineStr"/>
      <c r="B33" s="27" t="inlineStr"/>
      <c r="C33" s="27" t="inlineStr"/>
      <c r="D33" s="27" t="inlineStr"/>
      <c r="E33" s="36" t="inlineStr"/>
      <c r="F33" s="36" t="inlineStr"/>
      <c r="G33" s="36" t="inlineStr"/>
      <c r="H33" s="36" t="inlineStr"/>
      <c r="I33" s="27" t="inlineStr"/>
      <c r="J33" s="27" t="inlineStr"/>
      <c r="K33" s="29">
        <f>IF(A33="","",IFERROR(AVERAGEIF(TaskTracker[Project ID],A33,TaskTracker[Completion %]),0))</f>
        <v/>
      </c>
      <c r="L33" s="27" t="inlineStr"/>
      <c r="M33" s="27" t="inlineStr"/>
      <c r="N33" s="27" t="inlineStr"/>
    </row>
    <row r="34">
      <c r="A34" s="27" t="inlineStr"/>
      <c r="B34" s="27" t="inlineStr"/>
      <c r="C34" s="27" t="inlineStr"/>
      <c r="D34" s="27" t="inlineStr"/>
      <c r="E34" s="36" t="inlineStr"/>
      <c r="F34" s="36" t="inlineStr"/>
      <c r="G34" s="36" t="inlineStr"/>
      <c r="H34" s="36" t="inlineStr"/>
      <c r="I34" s="27" t="inlineStr"/>
      <c r="J34" s="27" t="inlineStr"/>
      <c r="K34" s="29">
        <f>IF(A34="","",IFERROR(AVERAGEIF(TaskTracker[Project ID],A34,TaskTracker[Completion %]),0))</f>
        <v/>
      </c>
      <c r="L34" s="27" t="inlineStr"/>
      <c r="M34" s="27" t="inlineStr"/>
      <c r="N34" s="27" t="inlineStr"/>
    </row>
    <row r="35">
      <c r="A35" s="27" t="inlineStr"/>
      <c r="B35" s="27" t="inlineStr"/>
      <c r="C35" s="27" t="inlineStr"/>
      <c r="D35" s="27" t="inlineStr"/>
      <c r="E35" s="36" t="inlineStr"/>
      <c r="F35" s="36" t="inlineStr"/>
      <c r="G35" s="36" t="inlineStr"/>
      <c r="H35" s="36" t="inlineStr"/>
      <c r="I35" s="27" t="inlineStr"/>
      <c r="J35" s="27" t="inlineStr"/>
      <c r="K35" s="29">
        <f>IF(A35="","",IFERROR(AVERAGEIF(TaskTracker[Project ID],A35,TaskTracker[Completion %]),0))</f>
        <v/>
      </c>
      <c r="L35" s="27" t="inlineStr"/>
      <c r="M35" s="27" t="inlineStr"/>
      <c r="N35" s="27" t="inlineStr"/>
    </row>
    <row r="36">
      <c r="A36" s="27" t="inlineStr"/>
      <c r="B36" s="27" t="inlineStr"/>
      <c r="C36" s="27" t="inlineStr"/>
      <c r="D36" s="27" t="inlineStr"/>
      <c r="E36" s="36" t="inlineStr"/>
      <c r="F36" s="36" t="inlineStr"/>
      <c r="G36" s="36" t="inlineStr"/>
      <c r="H36" s="36" t="inlineStr"/>
      <c r="I36" s="27" t="inlineStr"/>
      <c r="J36" s="27" t="inlineStr"/>
      <c r="K36" s="29">
        <f>IF(A36="","",IFERROR(AVERAGEIF(TaskTracker[Project ID],A36,TaskTracker[Completion %]),0))</f>
        <v/>
      </c>
      <c r="L36" s="27" t="inlineStr"/>
      <c r="M36" s="27" t="inlineStr"/>
      <c r="N36" s="27" t="inlineStr"/>
    </row>
    <row r="37">
      <c r="A37" s="27" t="inlineStr"/>
      <c r="B37" s="27" t="inlineStr"/>
      <c r="C37" s="27" t="inlineStr"/>
      <c r="D37" s="27" t="inlineStr"/>
      <c r="E37" s="36" t="inlineStr"/>
      <c r="F37" s="36" t="inlineStr"/>
      <c r="G37" s="36" t="inlineStr"/>
      <c r="H37" s="36" t="inlineStr"/>
      <c r="I37" s="27" t="inlineStr"/>
      <c r="J37" s="27" t="inlineStr"/>
      <c r="K37" s="29">
        <f>IF(A37="","",IFERROR(AVERAGEIF(TaskTracker[Project ID],A37,TaskTracker[Completion %]),0))</f>
        <v/>
      </c>
      <c r="L37" s="27" t="inlineStr"/>
      <c r="M37" s="27" t="inlineStr"/>
      <c r="N37" s="27" t="inlineStr"/>
    </row>
    <row r="38">
      <c r="A38" s="27" t="inlineStr"/>
      <c r="B38" s="27" t="inlineStr"/>
      <c r="C38" s="27" t="inlineStr"/>
      <c r="D38" s="27" t="inlineStr"/>
      <c r="E38" s="36" t="inlineStr"/>
      <c r="F38" s="36" t="inlineStr"/>
      <c r="G38" s="36" t="inlineStr"/>
      <c r="H38" s="36" t="inlineStr"/>
      <c r="I38" s="27" t="inlineStr"/>
      <c r="J38" s="27" t="inlineStr"/>
      <c r="K38" s="29">
        <f>IF(A38="","",IFERROR(AVERAGEIF(TaskTracker[Project ID],A38,TaskTracker[Completion %]),0))</f>
        <v/>
      </c>
      <c r="L38" s="27" t="inlineStr"/>
      <c r="M38" s="27" t="inlineStr"/>
      <c r="N38" s="27" t="inlineStr"/>
    </row>
    <row r="39">
      <c r="A39" s="27" t="inlineStr"/>
      <c r="B39" s="27" t="inlineStr"/>
      <c r="C39" s="27" t="inlineStr"/>
      <c r="D39" s="27" t="inlineStr"/>
      <c r="E39" s="36" t="inlineStr"/>
      <c r="F39" s="36" t="inlineStr"/>
      <c r="G39" s="36" t="inlineStr"/>
      <c r="H39" s="36" t="inlineStr"/>
      <c r="I39" s="27" t="inlineStr"/>
      <c r="J39" s="27" t="inlineStr"/>
      <c r="K39" s="29">
        <f>IF(A39="","",IFERROR(AVERAGEIF(TaskTracker[Project ID],A39,TaskTracker[Completion %]),0))</f>
        <v/>
      </c>
      <c r="L39" s="27" t="inlineStr"/>
      <c r="M39" s="27" t="inlineStr"/>
      <c r="N39" s="27" t="inlineStr"/>
    </row>
    <row r="40">
      <c r="A40" s="27" t="inlineStr"/>
      <c r="B40" s="27" t="inlineStr"/>
      <c r="C40" s="27" t="inlineStr"/>
      <c r="D40" s="27" t="inlineStr"/>
      <c r="E40" s="36" t="inlineStr"/>
      <c r="F40" s="36" t="inlineStr"/>
      <c r="G40" s="36" t="inlineStr"/>
      <c r="H40" s="36" t="inlineStr"/>
      <c r="I40" s="27" t="inlineStr"/>
      <c r="J40" s="27" t="inlineStr"/>
      <c r="K40" s="29">
        <f>IF(A40="","",IFERROR(AVERAGEIF(TaskTracker[Project ID],A40,TaskTracker[Completion %]),0))</f>
        <v/>
      </c>
      <c r="L40" s="27" t="inlineStr"/>
      <c r="M40" s="27" t="inlineStr"/>
      <c r="N40" s="27" t="inlineStr"/>
    </row>
    <row r="41">
      <c r="A41" s="27" t="inlineStr"/>
      <c r="B41" s="27" t="inlineStr"/>
      <c r="C41" s="27" t="inlineStr"/>
      <c r="D41" s="27" t="inlineStr"/>
      <c r="E41" s="36" t="inlineStr"/>
      <c r="F41" s="36" t="inlineStr"/>
      <c r="G41" s="36" t="inlineStr"/>
      <c r="H41" s="36" t="inlineStr"/>
      <c r="I41" s="27" t="inlineStr"/>
      <c r="J41" s="27" t="inlineStr"/>
      <c r="K41" s="29">
        <f>IF(A41="","",IFERROR(AVERAGEIF(TaskTracker[Project ID],A41,TaskTracker[Completion %]),0))</f>
        <v/>
      </c>
      <c r="L41" s="27" t="inlineStr"/>
      <c r="M41" s="27" t="inlineStr"/>
      <c r="N41" s="27" t="inlineStr"/>
    </row>
    <row r="42">
      <c r="A42" s="27" t="inlineStr"/>
      <c r="B42" s="27" t="inlineStr"/>
      <c r="C42" s="27" t="inlineStr"/>
      <c r="D42" s="27" t="inlineStr"/>
      <c r="E42" s="36" t="inlineStr"/>
      <c r="F42" s="36" t="inlineStr"/>
      <c r="G42" s="36" t="inlineStr"/>
      <c r="H42" s="36" t="inlineStr"/>
      <c r="I42" s="27" t="inlineStr"/>
      <c r="J42" s="27" t="inlineStr"/>
      <c r="K42" s="29">
        <f>IF(A42="","",IFERROR(AVERAGEIF(TaskTracker[Project ID],A42,TaskTracker[Completion %]),0))</f>
        <v/>
      </c>
      <c r="L42" s="27" t="inlineStr"/>
      <c r="M42" s="27" t="inlineStr"/>
      <c r="N42" s="27" t="inlineStr"/>
    </row>
    <row r="43">
      <c r="A43" s="27" t="inlineStr"/>
      <c r="B43" s="27" t="inlineStr"/>
      <c r="C43" s="27" t="inlineStr"/>
      <c r="D43" s="27" t="inlineStr"/>
      <c r="E43" s="36" t="inlineStr"/>
      <c r="F43" s="36" t="inlineStr"/>
      <c r="G43" s="36" t="inlineStr"/>
      <c r="H43" s="36" t="inlineStr"/>
      <c r="I43" s="27" t="inlineStr"/>
      <c r="J43" s="27" t="inlineStr"/>
      <c r="K43" s="29">
        <f>IF(A43="","",IFERROR(AVERAGEIF(TaskTracker[Project ID],A43,TaskTracker[Completion %]),0))</f>
        <v/>
      </c>
      <c r="L43" s="27" t="inlineStr"/>
      <c r="M43" s="27" t="inlineStr"/>
      <c r="N43" s="27" t="inlineStr"/>
    </row>
    <row r="44">
      <c r="A44" s="27" t="inlineStr"/>
      <c r="B44" s="27" t="inlineStr"/>
      <c r="C44" s="27" t="inlineStr"/>
      <c r="D44" s="27" t="inlineStr"/>
      <c r="E44" s="36" t="inlineStr"/>
      <c r="F44" s="36" t="inlineStr"/>
      <c r="G44" s="36" t="inlineStr"/>
      <c r="H44" s="36" t="inlineStr"/>
      <c r="I44" s="27" t="inlineStr"/>
      <c r="J44" s="27" t="inlineStr"/>
      <c r="K44" s="29">
        <f>IF(A44="","",IFERROR(AVERAGEIF(TaskTracker[Project ID],A44,TaskTracker[Completion %]),0))</f>
        <v/>
      </c>
      <c r="L44" s="27" t="inlineStr"/>
      <c r="M44" s="27" t="inlineStr"/>
      <c r="N44" s="27" t="inlineStr"/>
    </row>
    <row r="45">
      <c r="A45" s="27" t="inlineStr"/>
      <c r="B45" s="27" t="inlineStr"/>
      <c r="C45" s="27" t="inlineStr"/>
      <c r="D45" s="27" t="inlineStr"/>
      <c r="E45" s="36" t="inlineStr"/>
      <c r="F45" s="36" t="inlineStr"/>
      <c r="G45" s="36" t="inlineStr"/>
      <c r="H45" s="36" t="inlineStr"/>
      <c r="I45" s="27" t="inlineStr"/>
      <c r="J45" s="27" t="inlineStr"/>
      <c r="K45" s="29">
        <f>IF(A45="","",IFERROR(AVERAGEIF(TaskTracker[Project ID],A45,TaskTracker[Completion %]),0))</f>
        <v/>
      </c>
      <c r="L45" s="27" t="inlineStr"/>
      <c r="M45" s="27" t="inlineStr"/>
      <c r="N45" s="27" t="inlineStr"/>
    </row>
    <row r="46">
      <c r="A46" s="27" t="inlineStr"/>
      <c r="B46" s="27" t="inlineStr"/>
      <c r="C46" s="27" t="inlineStr"/>
      <c r="D46" s="27" t="inlineStr"/>
      <c r="E46" s="36" t="inlineStr"/>
      <c r="F46" s="36" t="inlineStr"/>
      <c r="G46" s="36" t="inlineStr"/>
      <c r="H46" s="36" t="inlineStr"/>
      <c r="I46" s="27" t="inlineStr"/>
      <c r="J46" s="27" t="inlineStr"/>
      <c r="K46" s="29">
        <f>IF(A46="","",IFERROR(AVERAGEIF(TaskTracker[Project ID],A46,TaskTracker[Completion %]),0))</f>
        <v/>
      </c>
      <c r="L46" s="27" t="inlineStr"/>
      <c r="M46" s="27" t="inlineStr"/>
      <c r="N46" s="27" t="inlineStr"/>
    </row>
    <row r="47">
      <c r="A47" s="27" t="inlineStr"/>
      <c r="B47" s="27" t="inlineStr"/>
      <c r="C47" s="27" t="inlineStr"/>
      <c r="D47" s="27" t="inlineStr"/>
      <c r="E47" s="36" t="inlineStr"/>
      <c r="F47" s="36" t="inlineStr"/>
      <c r="G47" s="36" t="inlineStr"/>
      <c r="H47" s="36" t="inlineStr"/>
      <c r="I47" s="27" t="inlineStr"/>
      <c r="J47" s="27" t="inlineStr"/>
      <c r="K47" s="29">
        <f>IF(A47="","",IFERROR(AVERAGEIF(TaskTracker[Project ID],A47,TaskTracker[Completion %]),0))</f>
        <v/>
      </c>
      <c r="L47" s="27" t="inlineStr"/>
      <c r="M47" s="27" t="inlineStr"/>
      <c r="N47" s="27" t="inlineStr"/>
    </row>
    <row r="48">
      <c r="A48" s="27" t="inlineStr"/>
      <c r="B48" s="27" t="inlineStr"/>
      <c r="C48" s="27" t="inlineStr"/>
      <c r="D48" s="27" t="inlineStr"/>
      <c r="E48" s="36" t="inlineStr"/>
      <c r="F48" s="36" t="inlineStr"/>
      <c r="G48" s="36" t="inlineStr"/>
      <c r="H48" s="36" t="inlineStr"/>
      <c r="I48" s="27" t="inlineStr"/>
      <c r="J48" s="27" t="inlineStr"/>
      <c r="K48" s="29">
        <f>IF(A48="","",IFERROR(AVERAGEIF(TaskTracker[Project ID],A48,TaskTracker[Completion %]),0))</f>
        <v/>
      </c>
      <c r="L48" s="27" t="inlineStr"/>
      <c r="M48" s="27" t="inlineStr"/>
      <c r="N48" s="27" t="inlineStr"/>
    </row>
    <row r="49">
      <c r="A49" s="27" t="inlineStr"/>
      <c r="B49" s="27" t="inlineStr"/>
      <c r="C49" s="27" t="inlineStr"/>
      <c r="D49" s="27" t="inlineStr"/>
      <c r="E49" s="36" t="inlineStr"/>
      <c r="F49" s="36" t="inlineStr"/>
      <c r="G49" s="36" t="inlineStr"/>
      <c r="H49" s="36" t="inlineStr"/>
      <c r="I49" s="27" t="inlineStr"/>
      <c r="J49" s="27" t="inlineStr"/>
      <c r="K49" s="29">
        <f>IF(A49="","",IFERROR(AVERAGEIF(TaskTracker[Project ID],A49,TaskTracker[Completion %]),0))</f>
        <v/>
      </c>
      <c r="L49" s="27" t="inlineStr"/>
      <c r="M49" s="27" t="inlineStr"/>
      <c r="N49" s="27" t="inlineStr"/>
    </row>
    <row r="50">
      <c r="A50" s="27" t="inlineStr"/>
      <c r="B50" s="27" t="inlineStr"/>
      <c r="C50" s="27" t="inlineStr"/>
      <c r="D50" s="27" t="inlineStr"/>
      <c r="E50" s="36" t="inlineStr"/>
      <c r="F50" s="36" t="inlineStr"/>
      <c r="G50" s="36" t="inlineStr"/>
      <c r="H50" s="36" t="inlineStr"/>
      <c r="I50" s="27" t="inlineStr"/>
      <c r="J50" s="27" t="inlineStr"/>
      <c r="K50" s="29">
        <f>IF(A50="","",IFERROR(AVERAGEIF(TaskTracker[Project ID],A50,TaskTracker[Completion %]),0))</f>
        <v/>
      </c>
      <c r="L50" s="27" t="inlineStr"/>
      <c r="M50" s="27" t="inlineStr"/>
      <c r="N50" s="27" t="inlineStr"/>
    </row>
    <row r="51">
      <c r="A51" s="27" t="inlineStr"/>
      <c r="B51" s="27" t="inlineStr"/>
      <c r="C51" s="27" t="inlineStr"/>
      <c r="D51" s="27" t="inlineStr"/>
      <c r="E51" s="36" t="inlineStr"/>
      <c r="F51" s="36" t="inlineStr"/>
      <c r="G51" s="36" t="inlineStr"/>
      <c r="H51" s="36" t="inlineStr"/>
      <c r="I51" s="27" t="inlineStr"/>
      <c r="J51" s="27" t="inlineStr"/>
      <c r="K51" s="29">
        <f>IF(A51="","",IFERROR(AVERAGEIF(TaskTracker[Project ID],A51,TaskTracker[Completion %]),0))</f>
        <v/>
      </c>
      <c r="L51" s="27" t="inlineStr"/>
      <c r="M51" s="27" t="inlineStr"/>
      <c r="N51" s="27" t="inlineStr"/>
    </row>
    <row r="52">
      <c r="A52" s="27" t="inlineStr"/>
      <c r="B52" s="27" t="inlineStr"/>
      <c r="C52" s="27" t="inlineStr"/>
      <c r="D52" s="27" t="inlineStr"/>
      <c r="E52" s="36" t="inlineStr"/>
      <c r="F52" s="36" t="inlineStr"/>
      <c r="G52" s="36" t="inlineStr"/>
      <c r="H52" s="36" t="inlineStr"/>
      <c r="I52" s="27" t="inlineStr"/>
      <c r="J52" s="27" t="inlineStr"/>
      <c r="K52" s="29">
        <f>IF(A52="","",IFERROR(AVERAGEIF(TaskTracker[Project ID],A52,TaskTracker[Completion %]),0))</f>
        <v/>
      </c>
      <c r="L52" s="27" t="inlineStr"/>
      <c r="M52" s="27" t="inlineStr"/>
      <c r="N52" s="27" t="inlineStr"/>
    </row>
    <row r="53">
      <c r="A53" s="27" t="inlineStr"/>
      <c r="B53" s="27" t="inlineStr"/>
      <c r="C53" s="27" t="inlineStr"/>
      <c r="D53" s="27" t="inlineStr"/>
      <c r="E53" s="36" t="inlineStr"/>
      <c r="F53" s="36" t="inlineStr"/>
      <c r="G53" s="36" t="inlineStr"/>
      <c r="H53" s="36" t="inlineStr"/>
      <c r="I53" s="27" t="inlineStr"/>
      <c r="J53" s="27" t="inlineStr"/>
      <c r="K53" s="29">
        <f>IF(A53="","",IFERROR(AVERAGEIF(TaskTracker[Project ID],A53,TaskTracker[Completion %]),0))</f>
        <v/>
      </c>
      <c r="L53" s="27" t="inlineStr"/>
      <c r="M53" s="27" t="inlineStr"/>
      <c r="N53" s="27" t="inlineStr"/>
    </row>
    <row r="54">
      <c r="A54" s="27" t="inlineStr"/>
      <c r="B54" s="27" t="inlineStr"/>
      <c r="C54" s="27" t="inlineStr"/>
      <c r="D54" s="27" t="inlineStr"/>
      <c r="E54" s="36" t="inlineStr"/>
      <c r="F54" s="36" t="inlineStr"/>
      <c r="G54" s="36" t="inlineStr"/>
      <c r="H54" s="36" t="inlineStr"/>
      <c r="I54" s="27" t="inlineStr"/>
      <c r="J54" s="27" t="inlineStr"/>
      <c r="K54" s="29">
        <f>IF(A54="","",IFERROR(AVERAGEIF(TaskTracker[Project ID],A54,TaskTracker[Completion %]),0))</f>
        <v/>
      </c>
      <c r="L54" s="27" t="inlineStr"/>
      <c r="M54" s="27" t="inlineStr"/>
      <c r="N54" s="27" t="inlineStr"/>
    </row>
    <row r="55">
      <c r="A55" s="27" t="inlineStr"/>
      <c r="B55" s="27" t="inlineStr"/>
      <c r="C55" s="27" t="inlineStr"/>
      <c r="D55" s="27" t="inlineStr"/>
      <c r="E55" s="36" t="inlineStr"/>
      <c r="F55" s="36" t="inlineStr"/>
      <c r="G55" s="36" t="inlineStr"/>
      <c r="H55" s="36" t="inlineStr"/>
      <c r="I55" s="27" t="inlineStr"/>
      <c r="J55" s="27" t="inlineStr"/>
      <c r="K55" s="29">
        <f>IF(A55="","",IFERROR(AVERAGEIF(TaskTracker[Project ID],A55,TaskTracker[Completion %]),0))</f>
        <v/>
      </c>
      <c r="L55" s="27" t="inlineStr"/>
      <c r="M55" s="27" t="inlineStr"/>
      <c r="N55" s="27" t="inlineStr"/>
    </row>
    <row r="56">
      <c r="A56" s="27" t="inlineStr"/>
      <c r="B56" s="27" t="inlineStr"/>
      <c r="C56" s="27" t="inlineStr"/>
      <c r="D56" s="27" t="inlineStr"/>
      <c r="E56" s="36" t="inlineStr"/>
      <c r="F56" s="36" t="inlineStr"/>
      <c r="G56" s="36" t="inlineStr"/>
      <c r="H56" s="36" t="inlineStr"/>
      <c r="I56" s="27" t="inlineStr"/>
      <c r="J56" s="27" t="inlineStr"/>
      <c r="K56" s="29">
        <f>IF(A56="","",IFERROR(AVERAGEIF(TaskTracker[Project ID],A56,TaskTracker[Completion %]),0))</f>
        <v/>
      </c>
      <c r="L56" s="27" t="inlineStr"/>
      <c r="M56" s="27" t="inlineStr"/>
      <c r="N56" s="27" t="inlineStr"/>
    </row>
    <row r="57">
      <c r="A57" s="27" t="inlineStr"/>
      <c r="B57" s="27" t="inlineStr"/>
      <c r="C57" s="27" t="inlineStr"/>
      <c r="D57" s="27" t="inlineStr"/>
      <c r="E57" s="36" t="inlineStr"/>
      <c r="F57" s="36" t="inlineStr"/>
      <c r="G57" s="36" t="inlineStr"/>
      <c r="H57" s="36" t="inlineStr"/>
      <c r="I57" s="27" t="inlineStr"/>
      <c r="J57" s="27" t="inlineStr"/>
      <c r="K57" s="29">
        <f>IF(A57="","",IFERROR(AVERAGEIF(TaskTracker[Project ID],A57,TaskTracker[Completion %]),0))</f>
        <v/>
      </c>
      <c r="L57" s="27" t="inlineStr"/>
      <c r="M57" s="27" t="inlineStr"/>
      <c r="N57" s="27" t="inlineStr"/>
    </row>
    <row r="58">
      <c r="A58" s="27" t="inlineStr"/>
      <c r="B58" s="27" t="inlineStr"/>
      <c r="C58" s="27" t="inlineStr"/>
      <c r="D58" s="27" t="inlineStr"/>
      <c r="E58" s="36" t="inlineStr"/>
      <c r="F58" s="36" t="inlineStr"/>
      <c r="G58" s="36" t="inlineStr"/>
      <c r="H58" s="36" t="inlineStr"/>
      <c r="I58" s="27" t="inlineStr"/>
      <c r="J58" s="27" t="inlineStr"/>
      <c r="K58" s="29">
        <f>IF(A58="","",IFERROR(AVERAGEIF(TaskTracker[Project ID],A58,TaskTracker[Completion %]),0))</f>
        <v/>
      </c>
      <c r="L58" s="27" t="inlineStr"/>
      <c r="M58" s="27" t="inlineStr"/>
      <c r="N58" s="27" t="inlineStr"/>
    </row>
    <row r="59">
      <c r="A59" s="27" t="inlineStr"/>
      <c r="B59" s="27" t="inlineStr"/>
      <c r="C59" s="27" t="inlineStr"/>
      <c r="D59" s="27" t="inlineStr"/>
      <c r="E59" s="36" t="inlineStr"/>
      <c r="F59" s="36" t="inlineStr"/>
      <c r="G59" s="36" t="inlineStr"/>
      <c r="H59" s="36" t="inlineStr"/>
      <c r="I59" s="27" t="inlineStr"/>
      <c r="J59" s="27" t="inlineStr"/>
      <c r="K59" s="29">
        <f>IF(A59="","",IFERROR(AVERAGEIF(TaskTracker[Project ID],A59,TaskTracker[Completion %]),0))</f>
        <v/>
      </c>
      <c r="L59" s="27" t="inlineStr"/>
      <c r="M59" s="27" t="inlineStr"/>
      <c r="N59" s="27" t="inlineStr"/>
    </row>
    <row r="60">
      <c r="A60" s="27" t="inlineStr"/>
      <c r="B60" s="27" t="inlineStr"/>
      <c r="C60" s="27" t="inlineStr"/>
      <c r="D60" s="27" t="inlineStr"/>
      <c r="E60" s="36" t="inlineStr"/>
      <c r="F60" s="36" t="inlineStr"/>
      <c r="G60" s="36" t="inlineStr"/>
      <c r="H60" s="36" t="inlineStr"/>
      <c r="I60" s="27" t="inlineStr"/>
      <c r="J60" s="27" t="inlineStr"/>
      <c r="K60" s="29">
        <f>IF(A60="","",IFERROR(AVERAGEIF(TaskTracker[Project ID],A60,TaskTracker[Completion %]),0))</f>
        <v/>
      </c>
      <c r="L60" s="27" t="inlineStr"/>
      <c r="M60" s="27" t="inlineStr"/>
      <c r="N60" s="27" t="inlineStr"/>
    </row>
    <row r="61">
      <c r="A61" s="27" t="inlineStr"/>
      <c r="B61" s="27" t="inlineStr"/>
      <c r="C61" s="27" t="inlineStr"/>
      <c r="D61" s="27" t="inlineStr"/>
      <c r="E61" s="36" t="inlineStr"/>
      <c r="F61" s="36" t="inlineStr"/>
      <c r="G61" s="36" t="inlineStr"/>
      <c r="H61" s="36" t="inlineStr"/>
      <c r="I61" s="27" t="inlineStr"/>
      <c r="J61" s="27" t="inlineStr"/>
      <c r="K61" s="29">
        <f>IF(A61="","",IFERROR(AVERAGEIF(TaskTracker[Project ID],A61,TaskTracker[Completion %]),0))</f>
        <v/>
      </c>
      <c r="L61" s="27" t="inlineStr"/>
      <c r="M61" s="27" t="inlineStr"/>
      <c r="N61" s="27" t="inlineStr"/>
    </row>
    <row r="62">
      <c r="A62" s="27" t="inlineStr"/>
      <c r="B62" s="27" t="inlineStr"/>
      <c r="C62" s="27" t="inlineStr"/>
      <c r="D62" s="27" t="inlineStr"/>
      <c r="E62" s="36" t="inlineStr"/>
      <c r="F62" s="36" t="inlineStr"/>
      <c r="G62" s="36" t="inlineStr"/>
      <c r="H62" s="36" t="inlineStr"/>
      <c r="I62" s="27" t="inlineStr"/>
      <c r="J62" s="27" t="inlineStr"/>
      <c r="K62" s="29">
        <f>IF(A62="","",IFERROR(AVERAGEIF(TaskTracker[Project ID],A62,TaskTracker[Completion %]),0))</f>
        <v/>
      </c>
      <c r="L62" s="27" t="inlineStr"/>
      <c r="M62" s="27" t="inlineStr"/>
      <c r="N62" s="27" t="inlineStr"/>
    </row>
    <row r="63">
      <c r="A63" s="27" t="inlineStr"/>
      <c r="B63" s="27" t="inlineStr"/>
      <c r="C63" s="27" t="inlineStr"/>
      <c r="D63" s="27" t="inlineStr"/>
      <c r="E63" s="36" t="inlineStr"/>
      <c r="F63" s="36" t="inlineStr"/>
      <c r="G63" s="36" t="inlineStr"/>
      <c r="H63" s="36" t="inlineStr"/>
      <c r="I63" s="27" t="inlineStr"/>
      <c r="J63" s="27" t="inlineStr"/>
      <c r="K63" s="29">
        <f>IF(A63="","",IFERROR(AVERAGEIF(TaskTracker[Project ID],A63,TaskTracker[Completion %]),0))</f>
        <v/>
      </c>
      <c r="L63" s="27" t="inlineStr"/>
      <c r="M63" s="27" t="inlineStr"/>
      <c r="N63" s="27" t="inlineStr"/>
    </row>
    <row r="64">
      <c r="A64" s="27" t="inlineStr"/>
      <c r="B64" s="27" t="inlineStr"/>
      <c r="C64" s="27" t="inlineStr"/>
      <c r="D64" s="27" t="inlineStr"/>
      <c r="E64" s="36" t="inlineStr"/>
      <c r="F64" s="36" t="inlineStr"/>
      <c r="G64" s="36" t="inlineStr"/>
      <c r="H64" s="36" t="inlineStr"/>
      <c r="I64" s="27" t="inlineStr"/>
      <c r="J64" s="27" t="inlineStr"/>
      <c r="K64" s="29">
        <f>IF(A64="","",IFERROR(AVERAGEIF(TaskTracker[Project ID],A64,TaskTracker[Completion %]),0))</f>
        <v/>
      </c>
      <c r="L64" s="27" t="inlineStr"/>
      <c r="M64" s="27" t="inlineStr"/>
      <c r="N64" s="27" t="inlineStr"/>
    </row>
    <row r="65">
      <c r="A65" s="27" t="inlineStr"/>
      <c r="B65" s="27" t="inlineStr"/>
      <c r="C65" s="27" t="inlineStr"/>
      <c r="D65" s="27" t="inlineStr"/>
      <c r="E65" s="36" t="inlineStr"/>
      <c r="F65" s="36" t="inlineStr"/>
      <c r="G65" s="36" t="inlineStr"/>
      <c r="H65" s="36" t="inlineStr"/>
      <c r="I65" s="27" t="inlineStr"/>
      <c r="J65" s="27" t="inlineStr"/>
      <c r="K65" s="29">
        <f>IF(A65="","",IFERROR(AVERAGEIF(TaskTracker[Project ID],A65,TaskTracker[Completion %]),0))</f>
        <v/>
      </c>
      <c r="L65" s="27" t="inlineStr"/>
      <c r="M65" s="27" t="inlineStr"/>
      <c r="N65" s="27" t="inlineStr"/>
    </row>
    <row r="66">
      <c r="A66" s="27" t="inlineStr"/>
      <c r="B66" s="27" t="inlineStr"/>
      <c r="C66" s="27" t="inlineStr"/>
      <c r="D66" s="27" t="inlineStr"/>
      <c r="E66" s="36" t="inlineStr"/>
      <c r="F66" s="36" t="inlineStr"/>
      <c r="G66" s="36" t="inlineStr"/>
      <c r="H66" s="36" t="inlineStr"/>
      <c r="I66" s="27" t="inlineStr"/>
      <c r="J66" s="27" t="inlineStr"/>
      <c r="K66" s="29">
        <f>IF(A66="","",IFERROR(AVERAGEIF(TaskTracker[Project ID],A66,TaskTracker[Completion %]),0))</f>
        <v/>
      </c>
      <c r="L66" s="27" t="inlineStr"/>
      <c r="M66" s="27" t="inlineStr"/>
      <c r="N66" s="27" t="inlineStr"/>
    </row>
    <row r="67">
      <c r="A67" s="27" t="inlineStr"/>
      <c r="B67" s="27" t="inlineStr"/>
      <c r="C67" s="27" t="inlineStr"/>
      <c r="D67" s="27" t="inlineStr"/>
      <c r="E67" s="36" t="inlineStr"/>
      <c r="F67" s="36" t="inlineStr"/>
      <c r="G67" s="36" t="inlineStr"/>
      <c r="H67" s="36" t="inlineStr"/>
      <c r="I67" s="27" t="inlineStr"/>
      <c r="J67" s="27" t="inlineStr"/>
      <c r="K67" s="29">
        <f>IF(A67="","",IFERROR(AVERAGEIF(TaskTracker[Project ID],A67,TaskTracker[Completion %]),0))</f>
        <v/>
      </c>
      <c r="L67" s="27" t="inlineStr"/>
      <c r="M67" s="27" t="inlineStr"/>
      <c r="N67" s="27" t="inlineStr"/>
    </row>
    <row r="68">
      <c r="A68" s="27" t="inlineStr"/>
      <c r="B68" s="27" t="inlineStr"/>
      <c r="C68" s="27" t="inlineStr"/>
      <c r="D68" s="27" t="inlineStr"/>
      <c r="E68" s="36" t="inlineStr"/>
      <c r="F68" s="36" t="inlineStr"/>
      <c r="G68" s="36" t="inlineStr"/>
      <c r="H68" s="36" t="inlineStr"/>
      <c r="I68" s="27" t="inlineStr"/>
      <c r="J68" s="27" t="inlineStr"/>
      <c r="K68" s="29">
        <f>IF(A68="","",IFERROR(AVERAGEIF(TaskTracker[Project ID],A68,TaskTracker[Completion %]),0))</f>
        <v/>
      </c>
      <c r="L68" s="27" t="inlineStr"/>
      <c r="M68" s="27" t="inlineStr"/>
      <c r="N68" s="27" t="inlineStr"/>
    </row>
    <row r="69">
      <c r="A69" s="27" t="inlineStr"/>
      <c r="B69" s="27" t="inlineStr"/>
      <c r="C69" s="27" t="inlineStr"/>
      <c r="D69" s="27" t="inlineStr"/>
      <c r="E69" s="36" t="inlineStr"/>
      <c r="F69" s="36" t="inlineStr"/>
      <c r="G69" s="36" t="inlineStr"/>
      <c r="H69" s="36" t="inlineStr"/>
      <c r="I69" s="27" t="inlineStr"/>
      <c r="J69" s="27" t="inlineStr"/>
      <c r="K69" s="29">
        <f>IF(A69="","",IFERROR(AVERAGEIF(TaskTracker[Project ID],A69,TaskTracker[Completion %]),0))</f>
        <v/>
      </c>
      <c r="L69" s="27" t="inlineStr"/>
      <c r="M69" s="27" t="inlineStr"/>
      <c r="N69" s="27" t="inlineStr"/>
    </row>
    <row r="70">
      <c r="A70" s="27" t="inlineStr"/>
      <c r="B70" s="27" t="inlineStr"/>
      <c r="C70" s="27" t="inlineStr"/>
      <c r="D70" s="27" t="inlineStr"/>
      <c r="E70" s="36" t="inlineStr"/>
      <c r="F70" s="36" t="inlineStr"/>
      <c r="G70" s="36" t="inlineStr"/>
      <c r="H70" s="36" t="inlineStr"/>
      <c r="I70" s="27" t="inlineStr"/>
      <c r="J70" s="27" t="inlineStr"/>
      <c r="K70" s="29">
        <f>IF(A70="","",IFERROR(AVERAGEIF(TaskTracker[Project ID],A70,TaskTracker[Completion %]),0))</f>
        <v/>
      </c>
      <c r="L70" s="27" t="inlineStr"/>
      <c r="M70" s="27" t="inlineStr"/>
      <c r="N70" s="27" t="inlineStr"/>
    </row>
    <row r="71">
      <c r="A71" s="27" t="inlineStr"/>
      <c r="B71" s="27" t="inlineStr"/>
      <c r="C71" s="27" t="inlineStr"/>
      <c r="D71" s="27" t="inlineStr"/>
      <c r="E71" s="36" t="inlineStr"/>
      <c r="F71" s="36" t="inlineStr"/>
      <c r="G71" s="36" t="inlineStr"/>
      <c r="H71" s="36" t="inlineStr"/>
      <c r="I71" s="27" t="inlineStr"/>
      <c r="J71" s="27" t="inlineStr"/>
      <c r="K71" s="29">
        <f>IF(A71="","",IFERROR(AVERAGEIF(TaskTracker[Project ID],A71,TaskTracker[Completion %]),0))</f>
        <v/>
      </c>
      <c r="L71" s="27" t="inlineStr"/>
      <c r="M71" s="27" t="inlineStr"/>
      <c r="N71" s="27" t="inlineStr"/>
    </row>
    <row r="72">
      <c r="A72" s="27" t="inlineStr"/>
      <c r="B72" s="27" t="inlineStr"/>
      <c r="C72" s="27" t="inlineStr"/>
      <c r="D72" s="27" t="inlineStr"/>
      <c r="E72" s="36" t="inlineStr"/>
      <c r="F72" s="36" t="inlineStr"/>
      <c r="G72" s="36" t="inlineStr"/>
      <c r="H72" s="36" t="inlineStr"/>
      <c r="I72" s="27" t="inlineStr"/>
      <c r="J72" s="27" t="inlineStr"/>
      <c r="K72" s="29">
        <f>IF(A72="","",IFERROR(AVERAGEIF(TaskTracker[Project ID],A72,TaskTracker[Completion %]),0))</f>
        <v/>
      </c>
      <c r="L72" s="27" t="inlineStr"/>
      <c r="M72" s="27" t="inlineStr"/>
      <c r="N72" s="27" t="inlineStr"/>
    </row>
    <row r="73">
      <c r="A73" s="27" t="inlineStr"/>
      <c r="B73" s="27" t="inlineStr"/>
      <c r="C73" s="27" t="inlineStr"/>
      <c r="D73" s="27" t="inlineStr"/>
      <c r="E73" s="36" t="inlineStr"/>
      <c r="F73" s="36" t="inlineStr"/>
      <c r="G73" s="36" t="inlineStr"/>
      <c r="H73" s="36" t="inlineStr"/>
      <c r="I73" s="27" t="inlineStr"/>
      <c r="J73" s="27" t="inlineStr"/>
      <c r="K73" s="29">
        <f>IF(A73="","",IFERROR(AVERAGEIF(TaskTracker[Project ID],A73,TaskTracker[Completion %]),0))</f>
        <v/>
      </c>
      <c r="L73" s="27" t="inlineStr"/>
      <c r="M73" s="27" t="inlineStr"/>
      <c r="N73" s="27" t="inlineStr"/>
    </row>
    <row r="74">
      <c r="A74" s="27" t="inlineStr"/>
      <c r="B74" s="27" t="inlineStr"/>
      <c r="C74" s="27" t="inlineStr"/>
      <c r="D74" s="27" t="inlineStr"/>
      <c r="E74" s="36" t="inlineStr"/>
      <c r="F74" s="36" t="inlineStr"/>
      <c r="G74" s="36" t="inlineStr"/>
      <c r="H74" s="36" t="inlineStr"/>
      <c r="I74" s="27" t="inlineStr"/>
      <c r="J74" s="27" t="inlineStr"/>
      <c r="K74" s="29">
        <f>IF(A74="","",IFERROR(AVERAGEIF(TaskTracker[Project ID],A74,TaskTracker[Completion %]),0))</f>
        <v/>
      </c>
      <c r="L74" s="27" t="inlineStr"/>
      <c r="M74" s="27" t="inlineStr"/>
      <c r="N74" s="27" t="inlineStr"/>
    </row>
    <row r="75">
      <c r="A75" s="27" t="inlineStr"/>
      <c r="B75" s="27" t="inlineStr"/>
      <c r="C75" s="27" t="inlineStr"/>
      <c r="D75" s="27" t="inlineStr"/>
      <c r="E75" s="36" t="inlineStr"/>
      <c r="F75" s="36" t="inlineStr"/>
      <c r="G75" s="36" t="inlineStr"/>
      <c r="H75" s="36" t="inlineStr"/>
      <c r="I75" s="27" t="inlineStr"/>
      <c r="J75" s="27" t="inlineStr"/>
      <c r="K75" s="29">
        <f>IF(A75="","",IFERROR(AVERAGEIF(TaskTracker[Project ID],A75,TaskTracker[Completion %]),0))</f>
        <v/>
      </c>
      <c r="L75" s="27" t="inlineStr"/>
      <c r="M75" s="27" t="inlineStr"/>
      <c r="N75" s="27" t="inlineStr"/>
    </row>
    <row r="76">
      <c r="A76" s="27" t="inlineStr"/>
      <c r="B76" s="27" t="inlineStr"/>
      <c r="C76" s="27" t="inlineStr"/>
      <c r="D76" s="27" t="inlineStr"/>
      <c r="E76" s="36" t="inlineStr"/>
      <c r="F76" s="36" t="inlineStr"/>
      <c r="G76" s="36" t="inlineStr"/>
      <c r="H76" s="36" t="inlineStr"/>
      <c r="I76" s="27" t="inlineStr"/>
      <c r="J76" s="27" t="inlineStr"/>
      <c r="K76" s="29">
        <f>IF(A76="","",IFERROR(AVERAGEIF(TaskTracker[Project ID],A76,TaskTracker[Completion %]),0))</f>
        <v/>
      </c>
      <c r="L76" s="27" t="inlineStr"/>
      <c r="M76" s="27" t="inlineStr"/>
      <c r="N76" s="27" t="inlineStr"/>
    </row>
    <row r="77">
      <c r="A77" s="27" t="inlineStr"/>
      <c r="B77" s="27" t="inlineStr"/>
      <c r="C77" s="27" t="inlineStr"/>
      <c r="D77" s="27" t="inlineStr"/>
      <c r="E77" s="36" t="inlineStr"/>
      <c r="F77" s="36" t="inlineStr"/>
      <c r="G77" s="36" t="inlineStr"/>
      <c r="H77" s="36" t="inlineStr"/>
      <c r="I77" s="27" t="inlineStr"/>
      <c r="J77" s="27" t="inlineStr"/>
      <c r="K77" s="29">
        <f>IF(A77="","",IFERROR(AVERAGEIF(TaskTracker[Project ID],A77,TaskTracker[Completion %]),0))</f>
        <v/>
      </c>
      <c r="L77" s="27" t="inlineStr"/>
      <c r="M77" s="27" t="inlineStr"/>
      <c r="N77" s="27" t="inlineStr"/>
    </row>
    <row r="78">
      <c r="A78" s="27" t="inlineStr"/>
      <c r="B78" s="27" t="inlineStr"/>
      <c r="C78" s="27" t="inlineStr"/>
      <c r="D78" s="27" t="inlineStr"/>
      <c r="E78" s="36" t="inlineStr"/>
      <c r="F78" s="36" t="inlineStr"/>
      <c r="G78" s="36" t="inlineStr"/>
      <c r="H78" s="36" t="inlineStr"/>
      <c r="I78" s="27" t="inlineStr"/>
      <c r="J78" s="27" t="inlineStr"/>
      <c r="K78" s="29">
        <f>IF(A78="","",IFERROR(AVERAGEIF(TaskTracker[Project ID],A78,TaskTracker[Completion %]),0))</f>
        <v/>
      </c>
      <c r="L78" s="27" t="inlineStr"/>
      <c r="M78" s="27" t="inlineStr"/>
      <c r="N78" s="27" t="inlineStr"/>
    </row>
    <row r="79">
      <c r="A79" s="27" t="inlineStr"/>
      <c r="B79" s="27" t="inlineStr"/>
      <c r="C79" s="27" t="inlineStr"/>
      <c r="D79" s="27" t="inlineStr"/>
      <c r="E79" s="36" t="inlineStr"/>
      <c r="F79" s="36" t="inlineStr"/>
      <c r="G79" s="36" t="inlineStr"/>
      <c r="H79" s="36" t="inlineStr"/>
      <c r="I79" s="27" t="inlineStr"/>
      <c r="J79" s="27" t="inlineStr"/>
      <c r="K79" s="29">
        <f>IF(A79="","",IFERROR(AVERAGEIF(TaskTracker[Project ID],A79,TaskTracker[Completion %]),0))</f>
        <v/>
      </c>
      <c r="L79" s="27" t="inlineStr"/>
      <c r="M79" s="27" t="inlineStr"/>
      <c r="N79" s="27" t="inlineStr"/>
    </row>
    <row r="80">
      <c r="A80" s="27" t="inlineStr"/>
      <c r="B80" s="27" t="inlineStr"/>
      <c r="C80" s="27" t="inlineStr"/>
      <c r="D80" s="27" t="inlineStr"/>
      <c r="E80" s="36" t="inlineStr"/>
      <c r="F80" s="36" t="inlineStr"/>
      <c r="G80" s="36" t="inlineStr"/>
      <c r="H80" s="36" t="inlineStr"/>
      <c r="I80" s="27" t="inlineStr"/>
      <c r="J80" s="27" t="inlineStr"/>
      <c r="K80" s="29">
        <f>IF(A80="","",IFERROR(AVERAGEIF(TaskTracker[Project ID],A80,TaskTracker[Completion %]),0))</f>
        <v/>
      </c>
      <c r="L80" s="27" t="inlineStr"/>
      <c r="M80" s="27" t="inlineStr"/>
      <c r="N80" s="27" t="inlineStr"/>
    </row>
    <row r="81">
      <c r="A81" s="27" t="inlineStr"/>
      <c r="B81" s="27" t="inlineStr"/>
      <c r="C81" s="27" t="inlineStr"/>
      <c r="D81" s="27" t="inlineStr"/>
      <c r="E81" s="36" t="inlineStr"/>
      <c r="F81" s="36" t="inlineStr"/>
      <c r="G81" s="36" t="inlineStr"/>
      <c r="H81" s="36" t="inlineStr"/>
      <c r="I81" s="27" t="inlineStr"/>
      <c r="J81" s="27" t="inlineStr"/>
      <c r="K81" s="29">
        <f>IF(A81="","",IFERROR(AVERAGEIF(TaskTracker[Project ID],A81,TaskTracker[Completion %]),0))</f>
        <v/>
      </c>
      <c r="L81" s="27" t="inlineStr"/>
      <c r="M81" s="27" t="inlineStr"/>
      <c r="N81" s="27" t="inlineStr"/>
    </row>
    <row r="82">
      <c r="A82" s="27" t="inlineStr"/>
      <c r="B82" s="27" t="inlineStr"/>
      <c r="C82" s="27" t="inlineStr"/>
      <c r="D82" s="27" t="inlineStr"/>
      <c r="E82" s="36" t="inlineStr"/>
      <c r="F82" s="36" t="inlineStr"/>
      <c r="G82" s="36" t="inlineStr"/>
      <c r="H82" s="36" t="inlineStr"/>
      <c r="I82" s="27" t="inlineStr"/>
      <c r="J82" s="27" t="inlineStr"/>
      <c r="K82" s="29">
        <f>IF(A82="","",IFERROR(AVERAGEIF(TaskTracker[Project ID],A82,TaskTracker[Completion %]),0))</f>
        <v/>
      </c>
      <c r="L82" s="27" t="inlineStr"/>
      <c r="M82" s="27" t="inlineStr"/>
      <c r="N82" s="27" t="inlineStr"/>
    </row>
    <row r="83">
      <c r="A83" s="27" t="inlineStr"/>
      <c r="B83" s="27" t="inlineStr"/>
      <c r="C83" s="27" t="inlineStr"/>
      <c r="D83" s="27" t="inlineStr"/>
      <c r="E83" s="36" t="inlineStr"/>
      <c r="F83" s="36" t="inlineStr"/>
      <c r="G83" s="36" t="inlineStr"/>
      <c r="H83" s="36" t="inlineStr"/>
      <c r="I83" s="27" t="inlineStr"/>
      <c r="J83" s="27" t="inlineStr"/>
      <c r="K83" s="29">
        <f>IF(A83="","",IFERROR(AVERAGEIF(TaskTracker[Project ID],A83,TaskTracker[Completion %]),0))</f>
        <v/>
      </c>
      <c r="L83" s="27" t="inlineStr"/>
      <c r="M83" s="27" t="inlineStr"/>
      <c r="N83" s="27" t="inlineStr"/>
    </row>
    <row r="84">
      <c r="A84" s="27" t="inlineStr"/>
      <c r="B84" s="27" t="inlineStr"/>
      <c r="C84" s="27" t="inlineStr"/>
      <c r="D84" s="27" t="inlineStr"/>
      <c r="E84" s="36" t="inlineStr"/>
      <c r="F84" s="36" t="inlineStr"/>
      <c r="G84" s="36" t="inlineStr"/>
      <c r="H84" s="36" t="inlineStr"/>
      <c r="I84" s="27" t="inlineStr"/>
      <c r="J84" s="27" t="inlineStr"/>
      <c r="K84" s="29">
        <f>IF(A84="","",IFERROR(AVERAGEIF(TaskTracker[Project ID],A84,TaskTracker[Completion %]),0))</f>
        <v/>
      </c>
      <c r="L84" s="27" t="inlineStr"/>
      <c r="M84" s="27" t="inlineStr"/>
      <c r="N84" s="27" t="inlineStr"/>
    </row>
    <row r="85">
      <c r="A85" s="27" t="inlineStr"/>
      <c r="B85" s="27" t="inlineStr"/>
      <c r="C85" s="27" t="inlineStr"/>
      <c r="D85" s="27" t="inlineStr"/>
      <c r="E85" s="36" t="inlineStr"/>
      <c r="F85" s="36" t="inlineStr"/>
      <c r="G85" s="36" t="inlineStr"/>
      <c r="H85" s="36" t="inlineStr"/>
      <c r="I85" s="27" t="inlineStr"/>
      <c r="J85" s="27" t="inlineStr"/>
      <c r="K85" s="29">
        <f>IF(A85="","",IFERROR(AVERAGEIF(TaskTracker[Project ID],A85,TaskTracker[Completion %]),0))</f>
        <v/>
      </c>
      <c r="L85" s="27" t="inlineStr"/>
      <c r="M85" s="27" t="inlineStr"/>
      <c r="N85" s="27" t="inlineStr"/>
    </row>
    <row r="86">
      <c r="A86" s="27" t="inlineStr"/>
      <c r="B86" s="27" t="inlineStr"/>
      <c r="C86" s="27" t="inlineStr"/>
      <c r="D86" s="27" t="inlineStr"/>
      <c r="E86" s="36" t="inlineStr"/>
      <c r="F86" s="36" t="inlineStr"/>
      <c r="G86" s="36" t="inlineStr"/>
      <c r="H86" s="36" t="inlineStr"/>
      <c r="I86" s="27" t="inlineStr"/>
      <c r="J86" s="27" t="inlineStr"/>
      <c r="K86" s="29">
        <f>IF(A86="","",IFERROR(AVERAGEIF(TaskTracker[Project ID],A86,TaskTracker[Completion %]),0))</f>
        <v/>
      </c>
      <c r="L86" s="27" t="inlineStr"/>
      <c r="M86" s="27" t="inlineStr"/>
      <c r="N86" s="27" t="inlineStr"/>
    </row>
    <row r="87">
      <c r="A87" s="27" t="inlineStr"/>
      <c r="B87" s="27" t="inlineStr"/>
      <c r="C87" s="27" t="inlineStr"/>
      <c r="D87" s="27" t="inlineStr"/>
      <c r="E87" s="36" t="inlineStr"/>
      <c r="F87" s="36" t="inlineStr"/>
      <c r="G87" s="36" t="inlineStr"/>
      <c r="H87" s="36" t="inlineStr"/>
      <c r="I87" s="27" t="inlineStr"/>
      <c r="J87" s="27" t="inlineStr"/>
      <c r="K87" s="29">
        <f>IF(A87="","",IFERROR(AVERAGEIF(TaskTracker[Project ID],A87,TaskTracker[Completion %]),0))</f>
        <v/>
      </c>
      <c r="L87" s="27" t="inlineStr"/>
      <c r="M87" s="27" t="inlineStr"/>
      <c r="N87" s="27" t="inlineStr"/>
    </row>
    <row r="88">
      <c r="A88" s="27" t="inlineStr"/>
      <c r="B88" s="27" t="inlineStr"/>
      <c r="C88" s="27" t="inlineStr"/>
      <c r="D88" s="27" t="inlineStr"/>
      <c r="E88" s="36" t="inlineStr"/>
      <c r="F88" s="36" t="inlineStr"/>
      <c r="G88" s="36" t="inlineStr"/>
      <c r="H88" s="36" t="inlineStr"/>
      <c r="I88" s="27" t="inlineStr"/>
      <c r="J88" s="27" t="inlineStr"/>
      <c r="K88" s="29">
        <f>IF(A88="","",IFERROR(AVERAGEIF(TaskTracker[Project ID],A88,TaskTracker[Completion %]),0))</f>
        <v/>
      </c>
      <c r="L88" s="27" t="inlineStr"/>
      <c r="M88" s="27" t="inlineStr"/>
      <c r="N88" s="27" t="inlineStr"/>
    </row>
    <row r="89">
      <c r="A89" s="27" t="inlineStr"/>
      <c r="B89" s="27" t="inlineStr"/>
      <c r="C89" s="27" t="inlineStr"/>
      <c r="D89" s="27" t="inlineStr"/>
      <c r="E89" s="36" t="inlineStr"/>
      <c r="F89" s="36" t="inlineStr"/>
      <c r="G89" s="36" t="inlineStr"/>
      <c r="H89" s="36" t="inlineStr"/>
      <c r="I89" s="27" t="inlineStr"/>
      <c r="J89" s="27" t="inlineStr"/>
      <c r="K89" s="29">
        <f>IF(A89="","",IFERROR(AVERAGEIF(TaskTracker[Project ID],A89,TaskTracker[Completion %]),0))</f>
        <v/>
      </c>
      <c r="L89" s="27" t="inlineStr"/>
      <c r="M89" s="27" t="inlineStr"/>
      <c r="N89" s="27" t="inlineStr"/>
    </row>
    <row r="90">
      <c r="A90" s="27" t="inlineStr"/>
      <c r="B90" s="27" t="inlineStr"/>
      <c r="C90" s="27" t="inlineStr"/>
      <c r="D90" s="27" t="inlineStr"/>
      <c r="E90" s="36" t="inlineStr"/>
      <c r="F90" s="36" t="inlineStr"/>
      <c r="G90" s="36" t="inlineStr"/>
      <c r="H90" s="36" t="inlineStr"/>
      <c r="I90" s="27" t="inlineStr"/>
      <c r="J90" s="27" t="inlineStr"/>
      <c r="K90" s="29">
        <f>IF(A90="","",IFERROR(AVERAGEIF(TaskTracker[Project ID],A90,TaskTracker[Completion %]),0))</f>
        <v/>
      </c>
      <c r="L90" s="27" t="inlineStr"/>
      <c r="M90" s="27" t="inlineStr"/>
      <c r="N90" s="27" t="inlineStr"/>
    </row>
    <row r="91">
      <c r="A91" s="27" t="inlineStr"/>
      <c r="B91" s="27" t="inlineStr"/>
      <c r="C91" s="27" t="inlineStr"/>
      <c r="D91" s="27" t="inlineStr"/>
      <c r="E91" s="36" t="inlineStr"/>
      <c r="F91" s="36" t="inlineStr"/>
      <c r="G91" s="36" t="inlineStr"/>
      <c r="H91" s="36" t="inlineStr"/>
      <c r="I91" s="27" t="inlineStr"/>
      <c r="J91" s="27" t="inlineStr"/>
      <c r="K91" s="29">
        <f>IF(A91="","",IFERROR(AVERAGEIF(TaskTracker[Project ID],A91,TaskTracker[Completion %]),0))</f>
        <v/>
      </c>
      <c r="L91" s="27" t="inlineStr"/>
      <c r="M91" s="27" t="inlineStr"/>
      <c r="N91" s="27" t="inlineStr"/>
    </row>
    <row r="92">
      <c r="A92" s="27" t="inlineStr"/>
      <c r="B92" s="27" t="inlineStr"/>
      <c r="C92" s="27" t="inlineStr"/>
      <c r="D92" s="27" t="inlineStr"/>
      <c r="E92" s="36" t="inlineStr"/>
      <c r="F92" s="36" t="inlineStr"/>
      <c r="G92" s="36" t="inlineStr"/>
      <c r="H92" s="36" t="inlineStr"/>
      <c r="I92" s="27" t="inlineStr"/>
      <c r="J92" s="27" t="inlineStr"/>
      <c r="K92" s="29">
        <f>IF(A92="","",IFERROR(AVERAGEIF(TaskTracker[Project ID],A92,TaskTracker[Completion %]),0))</f>
        <v/>
      </c>
      <c r="L92" s="27" t="inlineStr"/>
      <c r="M92" s="27" t="inlineStr"/>
      <c r="N92" s="27" t="inlineStr"/>
    </row>
    <row r="93">
      <c r="A93" s="27" t="inlineStr"/>
      <c r="B93" s="27" t="inlineStr"/>
      <c r="C93" s="27" t="inlineStr"/>
      <c r="D93" s="27" t="inlineStr"/>
      <c r="E93" s="36" t="inlineStr"/>
      <c r="F93" s="36" t="inlineStr"/>
      <c r="G93" s="36" t="inlineStr"/>
      <c r="H93" s="36" t="inlineStr"/>
      <c r="I93" s="27" t="inlineStr"/>
      <c r="J93" s="27" t="inlineStr"/>
      <c r="K93" s="29">
        <f>IF(A93="","",IFERROR(AVERAGEIF(TaskTracker[Project ID],A93,TaskTracker[Completion %]),0))</f>
        <v/>
      </c>
      <c r="L93" s="27" t="inlineStr"/>
      <c r="M93" s="27" t="inlineStr"/>
      <c r="N93" s="27" t="inlineStr"/>
    </row>
    <row r="94">
      <c r="A94" s="27" t="inlineStr"/>
      <c r="B94" s="27" t="inlineStr"/>
      <c r="C94" s="27" t="inlineStr"/>
      <c r="D94" s="27" t="inlineStr"/>
      <c r="E94" s="36" t="inlineStr"/>
      <c r="F94" s="36" t="inlineStr"/>
      <c r="G94" s="36" t="inlineStr"/>
      <c r="H94" s="36" t="inlineStr"/>
      <c r="I94" s="27" t="inlineStr"/>
      <c r="J94" s="27" t="inlineStr"/>
      <c r="K94" s="29">
        <f>IF(A94="","",IFERROR(AVERAGEIF(TaskTracker[Project ID],A94,TaskTracker[Completion %]),0))</f>
        <v/>
      </c>
      <c r="L94" s="27" t="inlineStr"/>
      <c r="M94" s="27" t="inlineStr"/>
      <c r="N94" s="27" t="inlineStr"/>
    </row>
    <row r="95">
      <c r="A95" s="27" t="inlineStr"/>
      <c r="B95" s="27" t="inlineStr"/>
      <c r="C95" s="27" t="inlineStr"/>
      <c r="D95" s="27" t="inlineStr"/>
      <c r="E95" s="36" t="inlineStr"/>
      <c r="F95" s="36" t="inlineStr"/>
      <c r="G95" s="36" t="inlineStr"/>
      <c r="H95" s="36" t="inlineStr"/>
      <c r="I95" s="27" t="inlineStr"/>
      <c r="J95" s="27" t="inlineStr"/>
      <c r="K95" s="29">
        <f>IF(A95="","",IFERROR(AVERAGEIF(TaskTracker[Project ID],A95,TaskTracker[Completion %]),0))</f>
        <v/>
      </c>
      <c r="L95" s="27" t="inlineStr"/>
      <c r="M95" s="27" t="inlineStr"/>
      <c r="N95" s="27" t="inlineStr"/>
    </row>
    <row r="96">
      <c r="A96" s="27" t="inlineStr"/>
      <c r="B96" s="27" t="inlineStr"/>
      <c r="C96" s="27" t="inlineStr"/>
      <c r="D96" s="27" t="inlineStr"/>
      <c r="E96" s="36" t="inlineStr"/>
      <c r="F96" s="36" t="inlineStr"/>
      <c r="G96" s="36" t="inlineStr"/>
      <c r="H96" s="36" t="inlineStr"/>
      <c r="I96" s="27" t="inlineStr"/>
      <c r="J96" s="27" t="inlineStr"/>
      <c r="K96" s="29">
        <f>IF(A96="","",IFERROR(AVERAGEIF(TaskTracker[Project ID],A96,TaskTracker[Completion %]),0))</f>
        <v/>
      </c>
      <c r="L96" s="27" t="inlineStr"/>
      <c r="M96" s="27" t="inlineStr"/>
      <c r="N96" s="27" t="inlineStr"/>
    </row>
    <row r="97">
      <c r="A97" s="27" t="inlineStr"/>
      <c r="B97" s="27" t="inlineStr"/>
      <c r="C97" s="27" t="inlineStr"/>
      <c r="D97" s="27" t="inlineStr"/>
      <c r="E97" s="36" t="inlineStr"/>
      <c r="F97" s="36" t="inlineStr"/>
      <c r="G97" s="36" t="inlineStr"/>
      <c r="H97" s="36" t="inlineStr"/>
      <c r="I97" s="27" t="inlineStr"/>
      <c r="J97" s="27" t="inlineStr"/>
      <c r="K97" s="29">
        <f>IF(A97="","",IFERROR(AVERAGEIF(TaskTracker[Project ID],A97,TaskTracker[Completion %]),0))</f>
        <v/>
      </c>
      <c r="L97" s="27" t="inlineStr"/>
      <c r="M97" s="27" t="inlineStr"/>
      <c r="N97" s="27" t="inlineStr"/>
    </row>
    <row r="98">
      <c r="A98" s="27" t="inlineStr"/>
      <c r="B98" s="27" t="inlineStr"/>
      <c r="C98" s="27" t="inlineStr"/>
      <c r="D98" s="27" t="inlineStr"/>
      <c r="E98" s="36" t="inlineStr"/>
      <c r="F98" s="36" t="inlineStr"/>
      <c r="G98" s="36" t="inlineStr"/>
      <c r="H98" s="36" t="inlineStr"/>
      <c r="I98" s="27" t="inlineStr"/>
      <c r="J98" s="27" t="inlineStr"/>
      <c r="K98" s="29">
        <f>IF(A98="","",IFERROR(AVERAGEIF(TaskTracker[Project ID],A98,TaskTracker[Completion %]),0))</f>
        <v/>
      </c>
      <c r="L98" s="27" t="inlineStr"/>
      <c r="M98" s="27" t="inlineStr"/>
      <c r="N98" s="27" t="inlineStr"/>
    </row>
    <row r="99">
      <c r="A99" s="27" t="inlineStr"/>
      <c r="B99" s="27" t="inlineStr"/>
      <c r="C99" s="27" t="inlineStr"/>
      <c r="D99" s="27" t="inlineStr"/>
      <c r="E99" s="36" t="inlineStr"/>
      <c r="F99" s="36" t="inlineStr"/>
      <c r="G99" s="36" t="inlineStr"/>
      <c r="H99" s="36" t="inlineStr"/>
      <c r="I99" s="27" t="inlineStr"/>
      <c r="J99" s="27" t="inlineStr"/>
      <c r="K99" s="29">
        <f>IF(A99="","",IFERROR(AVERAGEIF(TaskTracker[Project ID],A99,TaskTracker[Completion %]),0))</f>
        <v/>
      </c>
      <c r="L99" s="27" t="inlineStr"/>
      <c r="M99" s="27" t="inlineStr"/>
      <c r="N99" s="27" t="inlineStr"/>
    </row>
    <row r="100">
      <c r="A100" s="27" t="inlineStr"/>
      <c r="B100" s="27" t="inlineStr"/>
      <c r="C100" s="27" t="inlineStr"/>
      <c r="D100" s="27" t="inlineStr"/>
      <c r="E100" s="36" t="inlineStr"/>
      <c r="F100" s="36" t="inlineStr"/>
      <c r="G100" s="36" t="inlineStr"/>
      <c r="H100" s="36" t="inlineStr"/>
      <c r="I100" s="27" t="inlineStr"/>
      <c r="J100" s="27" t="inlineStr"/>
      <c r="K100" s="29">
        <f>IF(A100="","",IFERROR(AVERAGEIF(TaskTracker[Project ID],A100,TaskTracker[Completion %]),0))</f>
        <v/>
      </c>
      <c r="L100" s="27" t="inlineStr"/>
      <c r="M100" s="27" t="inlineStr"/>
      <c r="N100" s="27" t="inlineStr"/>
    </row>
    <row r="101">
      <c r="A101" s="27" t="inlineStr"/>
      <c r="B101" s="27" t="inlineStr"/>
      <c r="C101" s="27" t="inlineStr"/>
      <c r="D101" s="27" t="inlineStr"/>
      <c r="E101" s="36" t="inlineStr"/>
      <c r="F101" s="36" t="inlineStr"/>
      <c r="G101" s="36" t="inlineStr"/>
      <c r="H101" s="36" t="inlineStr"/>
      <c r="I101" s="27" t="inlineStr"/>
      <c r="J101" s="27" t="inlineStr"/>
      <c r="K101" s="29">
        <f>IF(A101="","",IFERROR(AVERAGEIF(TaskTracker[Project ID],A101,TaskTracker[Completion %]),0))</f>
        <v/>
      </c>
      <c r="L101" s="27" t="inlineStr"/>
      <c r="M101" s="27" t="inlineStr"/>
      <c r="N101" s="27" t="inlineStr"/>
    </row>
    <row r="102">
      <c r="A102" s="27" t="inlineStr"/>
      <c r="B102" s="27" t="inlineStr"/>
      <c r="C102" s="27" t="inlineStr"/>
      <c r="D102" s="27" t="inlineStr"/>
      <c r="E102" s="36" t="inlineStr"/>
      <c r="F102" s="36" t="inlineStr"/>
      <c r="G102" s="36" t="inlineStr"/>
      <c r="H102" s="36" t="inlineStr"/>
      <c r="I102" s="27" t="inlineStr"/>
      <c r="J102" s="27" t="inlineStr"/>
      <c r="K102" s="29">
        <f>IF(A102="","",IFERROR(AVERAGEIF(TaskTracker[Project ID],A102,TaskTracker[Completion %]),0))</f>
        <v/>
      </c>
      <c r="L102" s="27" t="inlineStr"/>
      <c r="M102" s="27" t="inlineStr"/>
      <c r="N102" s="27" t="inlineStr"/>
    </row>
    <row r="103">
      <c r="A103" s="27" t="inlineStr"/>
      <c r="B103" s="27" t="inlineStr"/>
      <c r="C103" s="27" t="inlineStr"/>
      <c r="D103" s="27" t="inlineStr"/>
      <c r="E103" s="36" t="inlineStr"/>
      <c r="F103" s="36" t="inlineStr"/>
      <c r="G103" s="36" t="inlineStr"/>
      <c r="H103" s="36" t="inlineStr"/>
      <c r="I103" s="27" t="inlineStr"/>
      <c r="J103" s="27" t="inlineStr"/>
      <c r="K103" s="29">
        <f>IF(A103="","",IFERROR(AVERAGEIF(TaskTracker[Project ID],A103,TaskTracker[Completion %]),0))</f>
        <v/>
      </c>
      <c r="L103" s="27" t="inlineStr"/>
      <c r="M103" s="27" t="inlineStr"/>
      <c r="N103" s="27" t="inlineStr"/>
    </row>
  </sheetData>
  <autoFilter ref="A3:N103"/>
  <mergeCells count="1">
    <mergeCell ref="A1:H1"/>
  </mergeCells>
  <conditionalFormatting sqref="M4:M103">
    <cfRule type="expression" priority="1" dxfId="0">
      <formula>OR($M4="High",$M4="Critical")</formula>
    </cfRule>
  </conditionalFormatting>
  <conditionalFormatting sqref="A4:N103">
    <cfRule type="expression" priority="2" dxfId="1">
      <formula>$I4="Completed"</formula>
    </cfRule>
    <cfRule type="expression" priority="3" dxfId="2">
      <formula>OR($I4="Delayed",$I4="Blocked",$I4="Open")</formula>
    </cfRule>
    <cfRule type="expression" priority="4" dxfId="3">
      <formula>OR($I4="At Risk",$I4="In Progress")</formula>
    </cfRule>
  </conditionalFormatting>
  <dataValidations count="12">
    <dataValidation sqref="A4:A10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C4:C103" showDropDown="0" showInputMessage="0" showErrorMessage="1" allowBlank="1" errorTitle="Invalid selection" error="Select a value from the dropdown list." promptTitle="Dropdown" prompt="Choose from the list." type="list">
      <formula1>='Lists'!$E$2:$E$5</formula1>
    </dataValidation>
    <dataValidation sqref="D4:D103" showDropDown="0" showInputMessage="0" showErrorMessage="1" allowBlank="1" errorTitle="Invalid selection" error="Select a value from the dropdown list." promptTitle="Dropdown" prompt="Choose from the list." type="list">
      <formula1>='Lists'!$C$2:$C$5</formula1>
    </dataValidation>
    <dataValidation sqref="I4:I103" showDropDown="0" showInputMessage="0" showErrorMessage="1" allowBlank="1" errorTitle="Invalid selection" error="Select a value from the dropdown list." promptTitle="Dropdown" prompt="Choose from the list." type="list">
      <formula1>='Lists'!$F$2:$F$7</formula1>
    </dataValidation>
    <dataValidation sqref="J4:J103" showDropDown="0" showInputMessage="0" showErrorMessage="1" allowBlank="1" errorTitle="Invalid selection" error="Select a value from the dropdown list." promptTitle="Dropdown" prompt="Choose from the list." type="list">
      <formula1>='Lists'!$L$2:$L$5</formula1>
    </dataValidation>
    <dataValidation sqref="L4:L103" showDropDown="0" showInputMessage="0" showErrorMessage="1" allowBlank="1" errorTitle="Invalid selection" error="Select a value from the dropdown list." promptTitle="Dropdown" prompt="Choose from the list." type="list">
      <formula1>='Lists'!$V$2:$V$10</formula1>
    </dataValidation>
    <dataValidation sqref="M4:M103" showDropDown="0" showInputMessage="0" showErrorMessage="1" allowBlank="1" errorTitle="Invalid selection" error="Select a value from the dropdown list." promptTitle="Dropdown" prompt="Choose from the list." type="list">
      <formula1>='Lists'!$N$2:$N$5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='Lists'!$E$2:$E$5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='Lists'!$D$2:$D$6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='Lists'!$G$2:$G$8</formula1>
    </dataValidation>
    <dataValidation sqref="K2" showDropDown="0" showInputMessage="0" showErrorMessage="1" allowBlank="1" errorTitle="Invalid selection" error="Select a value from the dropdown list." promptTitle="Dropdown" prompt="Choose from the list." type="list">
      <formula1>='Lists'!$M$2:$M$6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6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25" t="inlineStr">
        <is>
          <t>Task Tracker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Module Name</t>
        </is>
      </c>
      <c r="E2" s="48" t="inlineStr"/>
      <c r="F2" s="49" t="inlineStr">
        <is>
          <t>Assigned To</t>
        </is>
      </c>
      <c r="G2" s="48" t="inlineStr"/>
      <c r="H2" s="49" t="inlineStr">
        <is>
          <t>Status</t>
        </is>
      </c>
      <c r="I2" s="48" t="inlineStr"/>
      <c r="J2" s="49" t="inlineStr">
        <is>
          <t>Priority</t>
        </is>
      </c>
      <c r="K2" s="48" t="inlineStr"/>
    </row>
    <row r="3">
      <c r="A3" s="26" t="inlineStr">
        <is>
          <t>Task ID</t>
        </is>
      </c>
      <c r="B3" s="47" t="inlineStr">
        <is>
          <t>Project ID</t>
        </is>
      </c>
      <c r="C3" s="47" t="inlineStr">
        <is>
          <t>Module Name</t>
        </is>
      </c>
      <c r="D3" s="26" t="inlineStr">
        <is>
          <t>Task Description</t>
        </is>
      </c>
      <c r="E3" s="47" t="inlineStr">
        <is>
          <t>Assigned To</t>
        </is>
      </c>
      <c r="F3" s="26" t="inlineStr">
        <is>
          <t>Start Date</t>
        </is>
      </c>
      <c r="G3" s="26" t="inlineStr">
        <is>
          <t>Due Date</t>
        </is>
      </c>
      <c r="H3" s="26" t="inlineStr">
        <is>
          <t>Actual Completion Date</t>
        </is>
      </c>
      <c r="I3" s="47" t="inlineStr">
        <is>
          <t>Status</t>
        </is>
      </c>
      <c r="J3" s="47" t="inlineStr">
        <is>
          <t>Priority</t>
        </is>
      </c>
      <c r="K3" s="47" t="inlineStr">
        <is>
          <t>Dependency</t>
        </is>
      </c>
      <c r="L3" s="26" t="inlineStr">
        <is>
          <t>Completion %</t>
        </is>
      </c>
      <c r="M3" s="26" t="inlineStr">
        <is>
          <t>Delay Days</t>
        </is>
      </c>
      <c r="N3" s="26" t="inlineStr">
        <is>
          <t>Remarks</t>
        </is>
      </c>
    </row>
    <row r="4">
      <c r="A4" s="27" t="inlineStr">
        <is>
          <t>TSK-001</t>
        </is>
      </c>
      <c r="B4" s="27" t="inlineStr">
        <is>
          <t>PRJ-001</t>
        </is>
      </c>
      <c r="C4" s="27" t="inlineStr">
        <is>
          <t>Login</t>
        </is>
      </c>
      <c r="D4" s="27" t="inlineStr">
        <is>
          <t>Implement biometric login</t>
        </is>
      </c>
      <c r="E4" s="27" t="inlineStr">
        <is>
          <t>Priya Nair</t>
        </is>
      </c>
      <c r="F4" s="36" t="n">
        <v>46042</v>
      </c>
      <c r="G4" s="36" t="n">
        <v>46091</v>
      </c>
      <c r="H4" s="36" t="n">
        <v>46089</v>
      </c>
      <c r="I4" s="27" t="inlineStr">
        <is>
          <t>Completed</t>
        </is>
      </c>
      <c r="J4" s="27" t="inlineStr">
        <is>
          <t>High</t>
        </is>
      </c>
      <c r="K4" s="27" t="inlineStr"/>
      <c r="L4" s="29" t="n">
        <v>1</v>
      </c>
      <c r="M4" s="27">
        <f>IF(G4="","",MAX(0,IF(H4&lt;&gt;"",H4-G4,IF(I4="Completed",0,TODAY()-G4))))</f>
        <v/>
      </c>
      <c r="N4" s="27" t="inlineStr">
        <is>
          <t>Released to UAT</t>
        </is>
      </c>
    </row>
    <row r="5">
      <c r="A5" s="27" t="inlineStr">
        <is>
          <t>TSK-002</t>
        </is>
      </c>
      <c r="B5" s="27" t="inlineStr">
        <is>
          <t>PRJ-001</t>
        </is>
      </c>
      <c r="C5" s="27" t="inlineStr">
        <is>
          <t>Payments</t>
        </is>
      </c>
      <c r="D5" s="27" t="inlineStr">
        <is>
          <t>UPI limit enhancement</t>
        </is>
      </c>
      <c r="E5" s="27" t="inlineStr">
        <is>
          <t>Arjun Patel</t>
        </is>
      </c>
      <c r="F5" s="36" t="n">
        <v>46096</v>
      </c>
      <c r="G5" s="36" t="n">
        <v>46172</v>
      </c>
      <c r="H5" s="36" t="inlineStr"/>
      <c r="I5" s="27" t="inlineStr">
        <is>
          <t>In Progress</t>
        </is>
      </c>
      <c r="J5" s="27" t="inlineStr">
        <is>
          <t>High</t>
        </is>
      </c>
      <c r="K5" s="27" t="inlineStr">
        <is>
          <t>TSK-001</t>
        </is>
      </c>
      <c r="L5" s="29" t="n">
        <v>0.78</v>
      </c>
      <c r="M5" s="27">
        <f>IF(G5="","",MAX(0,IF(H5&lt;&gt;"",H5-G5,IF(I5="Completed",0,TODAY()-G5))))</f>
        <v/>
      </c>
      <c r="N5" s="27" t="inlineStr">
        <is>
          <t>Awaiting security review</t>
        </is>
      </c>
    </row>
    <row r="6">
      <c r="A6" s="27" t="inlineStr">
        <is>
          <t>TSK-003</t>
        </is>
      </c>
      <c r="B6" s="27" t="inlineStr">
        <is>
          <t>PRJ-002</t>
        </is>
      </c>
      <c r="C6" s="27" t="inlineStr">
        <is>
          <t>Workflow</t>
        </is>
      </c>
      <c r="D6" s="27" t="inlineStr">
        <is>
          <t>Credit approval rules engine</t>
        </is>
      </c>
      <c r="E6" s="27" t="inlineStr">
        <is>
          <t>Leena Das</t>
        </is>
      </c>
      <c r="F6" s="36" t="n">
        <v>46068</v>
      </c>
      <c r="G6" s="36" t="n">
        <v>46178</v>
      </c>
      <c r="H6" s="36" t="inlineStr"/>
      <c r="I6" s="27" t="inlineStr">
        <is>
          <t>Delayed</t>
        </is>
      </c>
      <c r="J6" s="27" t="inlineStr">
        <is>
          <t>Critical</t>
        </is>
      </c>
      <c r="K6" s="27" t="inlineStr"/>
      <c r="L6" s="29" t="n">
        <v>0.64</v>
      </c>
      <c r="M6" s="27">
        <f>IF(G6="","",MAX(0,IF(H6&lt;&gt;"",H6-G6,IF(I6="Completed",0,TODAY()-G6))))</f>
        <v/>
      </c>
      <c r="N6" s="27" t="inlineStr">
        <is>
          <t>Rule migration slower than planned</t>
        </is>
      </c>
    </row>
    <row r="7">
      <c r="A7" s="27" t="inlineStr">
        <is>
          <t>TSK-004</t>
        </is>
      </c>
      <c r="B7" s="27" t="inlineStr">
        <is>
          <t>PRJ-004</t>
        </is>
      </c>
      <c r="C7" s="27" t="inlineStr">
        <is>
          <t>Onboarding</t>
        </is>
      </c>
      <c r="D7" s="27" t="inlineStr">
        <is>
          <t>KYC OCR validation</t>
        </is>
      </c>
      <c r="E7" s="27" t="inlineStr">
        <is>
          <t>Imran Ali</t>
        </is>
      </c>
      <c r="F7" s="36" t="n">
        <v>46113</v>
      </c>
      <c r="G7" s="36" t="n">
        <v>46167</v>
      </c>
      <c r="H7" s="36" t="inlineStr"/>
      <c r="I7" s="27" t="inlineStr">
        <is>
          <t>Delayed</t>
        </is>
      </c>
      <c r="J7" s="27" t="inlineStr">
        <is>
          <t>High</t>
        </is>
      </c>
      <c r="K7" s="27" t="inlineStr"/>
      <c r="L7" s="29" t="n">
        <v>0.7</v>
      </c>
      <c r="M7" s="27">
        <f>IF(G7="","",MAX(0,IF(H7&lt;&gt;"",H7-G7,IF(I7="Completed",0,TODAY()-G7))))</f>
        <v/>
      </c>
      <c r="N7" s="27" t="inlineStr">
        <is>
          <t>Accuracy issue</t>
        </is>
      </c>
    </row>
    <row r="8">
      <c r="A8" s="27" t="inlineStr"/>
      <c r="B8" s="27" t="inlineStr"/>
      <c r="C8" s="27" t="inlineStr"/>
      <c r="D8" s="27" t="inlineStr"/>
      <c r="E8" s="27" t="inlineStr"/>
      <c r="F8" s="36" t="inlineStr"/>
      <c r="G8" s="36" t="inlineStr"/>
      <c r="H8" s="36" t="inlineStr"/>
      <c r="I8" s="27" t="inlineStr"/>
      <c r="J8" s="27" t="inlineStr"/>
      <c r="K8" s="27" t="inlineStr"/>
      <c r="L8" s="29" t="inlineStr"/>
      <c r="M8" s="27">
        <f>IF(G8="","",MAX(0,IF(H8&lt;&gt;"",H8-G8,IF(I8="Completed",0,TODAY()-G8))))</f>
        <v/>
      </c>
      <c r="N8" s="27" t="inlineStr"/>
    </row>
    <row r="9">
      <c r="A9" s="27" t="inlineStr"/>
      <c r="B9" s="27" t="inlineStr"/>
      <c r="C9" s="27" t="inlineStr"/>
      <c r="D9" s="27" t="inlineStr"/>
      <c r="E9" s="27" t="inlineStr"/>
      <c r="F9" s="36" t="inlineStr"/>
      <c r="G9" s="36" t="inlineStr"/>
      <c r="H9" s="36" t="inlineStr"/>
      <c r="I9" s="27" t="inlineStr"/>
      <c r="J9" s="27" t="inlineStr"/>
      <c r="K9" s="27" t="inlineStr"/>
      <c r="L9" s="29" t="inlineStr"/>
      <c r="M9" s="27">
        <f>IF(G9="","",MAX(0,IF(H9&lt;&gt;"",H9-G9,IF(I9="Completed",0,TODAY()-G9))))</f>
        <v/>
      </c>
      <c r="N9" s="27" t="inlineStr"/>
    </row>
    <row r="10">
      <c r="A10" s="27" t="inlineStr"/>
      <c r="B10" s="27" t="inlineStr"/>
      <c r="C10" s="27" t="inlineStr"/>
      <c r="D10" s="27" t="inlineStr"/>
      <c r="E10" s="27" t="inlineStr"/>
      <c r="F10" s="36" t="inlineStr"/>
      <c r="G10" s="36" t="inlineStr"/>
      <c r="H10" s="36" t="inlineStr"/>
      <c r="I10" s="27" t="inlineStr"/>
      <c r="J10" s="27" t="inlineStr"/>
      <c r="K10" s="27" t="inlineStr"/>
      <c r="L10" s="29" t="inlineStr"/>
      <c r="M10" s="27">
        <f>IF(G10="","",MAX(0,IF(H10&lt;&gt;"",H10-G10,IF(I10="Completed",0,TODAY()-G10))))</f>
        <v/>
      </c>
      <c r="N10" s="27" t="inlineStr"/>
    </row>
    <row r="11">
      <c r="A11" s="27" t="inlineStr"/>
      <c r="B11" s="27" t="inlineStr"/>
      <c r="C11" s="27" t="inlineStr"/>
      <c r="D11" s="27" t="inlineStr"/>
      <c r="E11" s="27" t="inlineStr"/>
      <c r="F11" s="36" t="inlineStr"/>
      <c r="G11" s="36" t="inlineStr"/>
      <c r="H11" s="36" t="inlineStr"/>
      <c r="I11" s="27" t="inlineStr"/>
      <c r="J11" s="27" t="inlineStr"/>
      <c r="K11" s="27" t="inlineStr"/>
      <c r="L11" s="29" t="inlineStr"/>
      <c r="M11" s="27">
        <f>IF(G11="","",MAX(0,IF(H11&lt;&gt;"",H11-G11,IF(I11="Completed",0,TODAY()-G11))))</f>
        <v/>
      </c>
      <c r="N11" s="27" t="inlineStr"/>
    </row>
    <row r="12">
      <c r="A12" s="27" t="inlineStr"/>
      <c r="B12" s="27" t="inlineStr"/>
      <c r="C12" s="27" t="inlineStr"/>
      <c r="D12" s="27" t="inlineStr"/>
      <c r="E12" s="27" t="inlineStr"/>
      <c r="F12" s="36" t="inlineStr"/>
      <c r="G12" s="36" t="inlineStr"/>
      <c r="H12" s="36" t="inlineStr"/>
      <c r="I12" s="27" t="inlineStr"/>
      <c r="J12" s="27" t="inlineStr"/>
      <c r="K12" s="27" t="inlineStr"/>
      <c r="L12" s="29" t="inlineStr"/>
      <c r="M12" s="27">
        <f>IF(G12="","",MAX(0,IF(H12&lt;&gt;"",H12-G12,IF(I12="Completed",0,TODAY()-G12))))</f>
        <v/>
      </c>
      <c r="N12" s="27" t="inlineStr"/>
    </row>
    <row r="13">
      <c r="A13" s="27" t="inlineStr"/>
      <c r="B13" s="27" t="inlineStr"/>
      <c r="C13" s="27" t="inlineStr"/>
      <c r="D13" s="27" t="inlineStr"/>
      <c r="E13" s="27" t="inlineStr"/>
      <c r="F13" s="36" t="inlineStr"/>
      <c r="G13" s="36" t="inlineStr"/>
      <c r="H13" s="36" t="inlineStr"/>
      <c r="I13" s="27" t="inlineStr"/>
      <c r="J13" s="27" t="inlineStr"/>
      <c r="K13" s="27" t="inlineStr"/>
      <c r="L13" s="29" t="inlineStr"/>
      <c r="M13" s="27">
        <f>IF(G13="","",MAX(0,IF(H13&lt;&gt;"",H13-G13,IF(I13="Completed",0,TODAY()-G13))))</f>
        <v/>
      </c>
      <c r="N13" s="27" t="inlineStr"/>
    </row>
    <row r="14">
      <c r="A14" s="27" t="inlineStr"/>
      <c r="B14" s="27" t="inlineStr"/>
      <c r="C14" s="27" t="inlineStr"/>
      <c r="D14" s="27" t="inlineStr"/>
      <c r="E14" s="27" t="inlineStr"/>
      <c r="F14" s="36" t="inlineStr"/>
      <c r="G14" s="36" t="inlineStr"/>
      <c r="H14" s="36" t="inlineStr"/>
      <c r="I14" s="27" t="inlineStr"/>
      <c r="J14" s="27" t="inlineStr"/>
      <c r="K14" s="27" t="inlineStr"/>
      <c r="L14" s="29" t="inlineStr"/>
      <c r="M14" s="27">
        <f>IF(G14="","",MAX(0,IF(H14&lt;&gt;"",H14-G14,IF(I14="Completed",0,TODAY()-G14))))</f>
        <v/>
      </c>
      <c r="N14" s="27" t="inlineStr"/>
    </row>
    <row r="15">
      <c r="A15" s="27" t="inlineStr"/>
      <c r="B15" s="27" t="inlineStr"/>
      <c r="C15" s="27" t="inlineStr"/>
      <c r="D15" s="27" t="inlineStr"/>
      <c r="E15" s="27" t="inlineStr"/>
      <c r="F15" s="36" t="inlineStr"/>
      <c r="G15" s="36" t="inlineStr"/>
      <c r="H15" s="36" t="inlineStr"/>
      <c r="I15" s="27" t="inlineStr"/>
      <c r="J15" s="27" t="inlineStr"/>
      <c r="K15" s="27" t="inlineStr"/>
      <c r="L15" s="29" t="inlineStr"/>
      <c r="M15" s="27">
        <f>IF(G15="","",MAX(0,IF(H15&lt;&gt;"",H15-G15,IF(I15="Completed",0,TODAY()-G15))))</f>
        <v/>
      </c>
      <c r="N15" s="27" t="inlineStr"/>
    </row>
    <row r="16">
      <c r="A16" s="27" t="inlineStr"/>
      <c r="B16" s="27" t="inlineStr"/>
      <c r="C16" s="27" t="inlineStr"/>
      <c r="D16" s="27" t="inlineStr"/>
      <c r="E16" s="27" t="inlineStr"/>
      <c r="F16" s="36" t="inlineStr"/>
      <c r="G16" s="36" t="inlineStr"/>
      <c r="H16" s="36" t="inlineStr"/>
      <c r="I16" s="27" t="inlineStr"/>
      <c r="J16" s="27" t="inlineStr"/>
      <c r="K16" s="27" t="inlineStr"/>
      <c r="L16" s="29" t="inlineStr"/>
      <c r="M16" s="27">
        <f>IF(G16="","",MAX(0,IF(H16&lt;&gt;"",H16-G16,IF(I16="Completed",0,TODAY()-G16))))</f>
        <v/>
      </c>
      <c r="N16" s="27" t="inlineStr"/>
    </row>
    <row r="17">
      <c r="A17" s="27" t="inlineStr"/>
      <c r="B17" s="27" t="inlineStr"/>
      <c r="C17" s="27" t="inlineStr"/>
      <c r="D17" s="27" t="inlineStr"/>
      <c r="E17" s="27" t="inlineStr"/>
      <c r="F17" s="36" t="inlineStr"/>
      <c r="G17" s="36" t="inlineStr"/>
      <c r="H17" s="36" t="inlineStr"/>
      <c r="I17" s="27" t="inlineStr"/>
      <c r="J17" s="27" t="inlineStr"/>
      <c r="K17" s="27" t="inlineStr"/>
      <c r="L17" s="29" t="inlineStr"/>
      <c r="M17" s="27">
        <f>IF(G17="","",MAX(0,IF(H17&lt;&gt;"",H17-G17,IF(I17="Completed",0,TODAY()-G17))))</f>
        <v/>
      </c>
      <c r="N17" s="27" t="inlineStr"/>
    </row>
    <row r="18">
      <c r="A18" s="27" t="inlineStr"/>
      <c r="B18" s="27" t="inlineStr"/>
      <c r="C18" s="27" t="inlineStr"/>
      <c r="D18" s="27" t="inlineStr"/>
      <c r="E18" s="27" t="inlineStr"/>
      <c r="F18" s="36" t="inlineStr"/>
      <c r="G18" s="36" t="inlineStr"/>
      <c r="H18" s="36" t="inlineStr"/>
      <c r="I18" s="27" t="inlineStr"/>
      <c r="J18" s="27" t="inlineStr"/>
      <c r="K18" s="27" t="inlineStr"/>
      <c r="L18" s="29" t="inlineStr"/>
      <c r="M18" s="27">
        <f>IF(G18="","",MAX(0,IF(H18&lt;&gt;"",H18-G18,IF(I18="Completed",0,TODAY()-G18))))</f>
        <v/>
      </c>
      <c r="N18" s="27" t="inlineStr"/>
    </row>
    <row r="19">
      <c r="A19" s="27" t="inlineStr"/>
      <c r="B19" s="27" t="inlineStr"/>
      <c r="C19" s="27" t="inlineStr"/>
      <c r="D19" s="27" t="inlineStr"/>
      <c r="E19" s="27" t="inlineStr"/>
      <c r="F19" s="36" t="inlineStr"/>
      <c r="G19" s="36" t="inlineStr"/>
      <c r="H19" s="36" t="inlineStr"/>
      <c r="I19" s="27" t="inlineStr"/>
      <c r="J19" s="27" t="inlineStr"/>
      <c r="K19" s="27" t="inlineStr"/>
      <c r="L19" s="29" t="inlineStr"/>
      <c r="M19" s="27">
        <f>IF(G19="","",MAX(0,IF(H19&lt;&gt;"",H19-G19,IF(I19="Completed",0,TODAY()-G19))))</f>
        <v/>
      </c>
      <c r="N19" s="27" t="inlineStr"/>
    </row>
    <row r="20">
      <c r="A20" s="27" t="inlineStr"/>
      <c r="B20" s="27" t="inlineStr"/>
      <c r="C20" s="27" t="inlineStr"/>
      <c r="D20" s="27" t="inlineStr"/>
      <c r="E20" s="27" t="inlineStr"/>
      <c r="F20" s="36" t="inlineStr"/>
      <c r="G20" s="36" t="inlineStr"/>
      <c r="H20" s="36" t="inlineStr"/>
      <c r="I20" s="27" t="inlineStr"/>
      <c r="J20" s="27" t="inlineStr"/>
      <c r="K20" s="27" t="inlineStr"/>
      <c r="L20" s="29" t="inlineStr"/>
      <c r="M20" s="27">
        <f>IF(G20="","",MAX(0,IF(H20&lt;&gt;"",H20-G20,IF(I20="Completed",0,TODAY()-G20))))</f>
        <v/>
      </c>
      <c r="N20" s="27" t="inlineStr"/>
    </row>
    <row r="21">
      <c r="A21" s="27" t="inlineStr"/>
      <c r="B21" s="27" t="inlineStr"/>
      <c r="C21" s="27" t="inlineStr"/>
      <c r="D21" s="27" t="inlineStr"/>
      <c r="E21" s="27" t="inlineStr"/>
      <c r="F21" s="36" t="inlineStr"/>
      <c r="G21" s="36" t="inlineStr"/>
      <c r="H21" s="36" t="inlineStr"/>
      <c r="I21" s="27" t="inlineStr"/>
      <c r="J21" s="27" t="inlineStr"/>
      <c r="K21" s="27" t="inlineStr"/>
      <c r="L21" s="29" t="inlineStr"/>
      <c r="M21" s="27">
        <f>IF(G21="","",MAX(0,IF(H21&lt;&gt;"",H21-G21,IF(I21="Completed",0,TODAY()-G21))))</f>
        <v/>
      </c>
      <c r="N21" s="27" t="inlineStr"/>
    </row>
    <row r="22">
      <c r="A22" s="27" t="inlineStr"/>
      <c r="B22" s="27" t="inlineStr"/>
      <c r="C22" s="27" t="inlineStr"/>
      <c r="D22" s="27" t="inlineStr"/>
      <c r="E22" s="27" t="inlineStr"/>
      <c r="F22" s="36" t="inlineStr"/>
      <c r="G22" s="36" t="inlineStr"/>
      <c r="H22" s="36" t="inlineStr"/>
      <c r="I22" s="27" t="inlineStr"/>
      <c r="J22" s="27" t="inlineStr"/>
      <c r="K22" s="27" t="inlineStr"/>
      <c r="L22" s="29" t="inlineStr"/>
      <c r="M22" s="27">
        <f>IF(G22="","",MAX(0,IF(H22&lt;&gt;"",H22-G22,IF(I22="Completed",0,TODAY()-G22))))</f>
        <v/>
      </c>
      <c r="N22" s="27" t="inlineStr"/>
    </row>
    <row r="23">
      <c r="A23" s="27" t="inlineStr"/>
      <c r="B23" s="27" t="inlineStr"/>
      <c r="C23" s="27" t="inlineStr"/>
      <c r="D23" s="27" t="inlineStr"/>
      <c r="E23" s="27" t="inlineStr"/>
      <c r="F23" s="36" t="inlineStr"/>
      <c r="G23" s="36" t="inlineStr"/>
      <c r="H23" s="36" t="inlineStr"/>
      <c r="I23" s="27" t="inlineStr"/>
      <c r="J23" s="27" t="inlineStr"/>
      <c r="K23" s="27" t="inlineStr"/>
      <c r="L23" s="29" t="inlineStr"/>
      <c r="M23" s="27">
        <f>IF(G23="","",MAX(0,IF(H23&lt;&gt;"",H23-G23,IF(I23="Completed",0,TODAY()-G23))))</f>
        <v/>
      </c>
      <c r="N23" s="27" t="inlineStr"/>
    </row>
    <row r="24">
      <c r="A24" s="27" t="inlineStr"/>
      <c r="B24" s="27" t="inlineStr"/>
      <c r="C24" s="27" t="inlineStr"/>
      <c r="D24" s="27" t="inlineStr"/>
      <c r="E24" s="27" t="inlineStr"/>
      <c r="F24" s="36" t="inlineStr"/>
      <c r="G24" s="36" t="inlineStr"/>
      <c r="H24" s="36" t="inlineStr"/>
      <c r="I24" s="27" t="inlineStr"/>
      <c r="J24" s="27" t="inlineStr"/>
      <c r="K24" s="27" t="inlineStr"/>
      <c r="L24" s="29" t="inlineStr"/>
      <c r="M24" s="27">
        <f>IF(G24="","",MAX(0,IF(H24&lt;&gt;"",H24-G24,IF(I24="Completed",0,TODAY()-G24))))</f>
        <v/>
      </c>
      <c r="N24" s="27" t="inlineStr"/>
    </row>
    <row r="25">
      <c r="A25" s="27" t="inlineStr"/>
      <c r="B25" s="27" t="inlineStr"/>
      <c r="C25" s="27" t="inlineStr"/>
      <c r="D25" s="27" t="inlineStr"/>
      <c r="E25" s="27" t="inlineStr"/>
      <c r="F25" s="36" t="inlineStr"/>
      <c r="G25" s="36" t="inlineStr"/>
      <c r="H25" s="36" t="inlineStr"/>
      <c r="I25" s="27" t="inlineStr"/>
      <c r="J25" s="27" t="inlineStr"/>
      <c r="K25" s="27" t="inlineStr"/>
      <c r="L25" s="29" t="inlineStr"/>
      <c r="M25" s="27">
        <f>IF(G25="","",MAX(0,IF(H25&lt;&gt;"",H25-G25,IF(I25="Completed",0,TODAY()-G25))))</f>
        <v/>
      </c>
      <c r="N25" s="27" t="inlineStr"/>
    </row>
    <row r="26">
      <c r="A26" s="27" t="inlineStr"/>
      <c r="B26" s="27" t="inlineStr"/>
      <c r="C26" s="27" t="inlineStr"/>
      <c r="D26" s="27" t="inlineStr"/>
      <c r="E26" s="27" t="inlineStr"/>
      <c r="F26" s="36" t="inlineStr"/>
      <c r="G26" s="36" t="inlineStr"/>
      <c r="H26" s="36" t="inlineStr"/>
      <c r="I26" s="27" t="inlineStr"/>
      <c r="J26" s="27" t="inlineStr"/>
      <c r="K26" s="27" t="inlineStr"/>
      <c r="L26" s="29" t="inlineStr"/>
      <c r="M26" s="27">
        <f>IF(G26="","",MAX(0,IF(H26&lt;&gt;"",H26-G26,IF(I26="Completed",0,TODAY()-G26))))</f>
        <v/>
      </c>
      <c r="N26" s="27" t="inlineStr"/>
    </row>
    <row r="27">
      <c r="A27" s="27" t="inlineStr"/>
      <c r="B27" s="27" t="inlineStr"/>
      <c r="C27" s="27" t="inlineStr"/>
      <c r="D27" s="27" t="inlineStr"/>
      <c r="E27" s="27" t="inlineStr"/>
      <c r="F27" s="36" t="inlineStr"/>
      <c r="G27" s="36" t="inlineStr"/>
      <c r="H27" s="36" t="inlineStr"/>
      <c r="I27" s="27" t="inlineStr"/>
      <c r="J27" s="27" t="inlineStr"/>
      <c r="K27" s="27" t="inlineStr"/>
      <c r="L27" s="29" t="inlineStr"/>
      <c r="M27" s="27">
        <f>IF(G27="","",MAX(0,IF(H27&lt;&gt;"",H27-G27,IF(I27="Completed",0,TODAY()-G27))))</f>
        <v/>
      </c>
      <c r="N27" s="27" t="inlineStr"/>
    </row>
    <row r="28">
      <c r="A28" s="27" t="inlineStr"/>
      <c r="B28" s="27" t="inlineStr"/>
      <c r="C28" s="27" t="inlineStr"/>
      <c r="D28" s="27" t="inlineStr"/>
      <c r="E28" s="27" t="inlineStr"/>
      <c r="F28" s="36" t="inlineStr"/>
      <c r="G28" s="36" t="inlineStr"/>
      <c r="H28" s="36" t="inlineStr"/>
      <c r="I28" s="27" t="inlineStr"/>
      <c r="J28" s="27" t="inlineStr"/>
      <c r="K28" s="27" t="inlineStr"/>
      <c r="L28" s="29" t="inlineStr"/>
      <c r="M28" s="27">
        <f>IF(G28="","",MAX(0,IF(H28&lt;&gt;"",H28-G28,IF(I28="Completed",0,TODAY()-G28))))</f>
        <v/>
      </c>
      <c r="N28" s="27" t="inlineStr"/>
    </row>
    <row r="29">
      <c r="A29" s="27" t="inlineStr"/>
      <c r="B29" s="27" t="inlineStr"/>
      <c r="C29" s="27" t="inlineStr"/>
      <c r="D29" s="27" t="inlineStr"/>
      <c r="E29" s="27" t="inlineStr"/>
      <c r="F29" s="36" t="inlineStr"/>
      <c r="G29" s="36" t="inlineStr"/>
      <c r="H29" s="36" t="inlineStr"/>
      <c r="I29" s="27" t="inlineStr"/>
      <c r="J29" s="27" t="inlineStr"/>
      <c r="K29" s="27" t="inlineStr"/>
      <c r="L29" s="29" t="inlineStr"/>
      <c r="M29" s="27">
        <f>IF(G29="","",MAX(0,IF(H29&lt;&gt;"",H29-G29,IF(I29="Completed",0,TODAY()-G29))))</f>
        <v/>
      </c>
      <c r="N29" s="27" t="inlineStr"/>
    </row>
    <row r="30">
      <c r="A30" s="27" t="inlineStr"/>
      <c r="B30" s="27" t="inlineStr"/>
      <c r="C30" s="27" t="inlineStr"/>
      <c r="D30" s="27" t="inlineStr"/>
      <c r="E30" s="27" t="inlineStr"/>
      <c r="F30" s="36" t="inlineStr"/>
      <c r="G30" s="36" t="inlineStr"/>
      <c r="H30" s="36" t="inlineStr"/>
      <c r="I30" s="27" t="inlineStr"/>
      <c r="J30" s="27" t="inlineStr"/>
      <c r="K30" s="27" t="inlineStr"/>
      <c r="L30" s="29" t="inlineStr"/>
      <c r="M30" s="27">
        <f>IF(G30="","",MAX(0,IF(H30&lt;&gt;"",H30-G30,IF(I30="Completed",0,TODAY()-G30))))</f>
        <v/>
      </c>
      <c r="N30" s="27" t="inlineStr"/>
    </row>
    <row r="31">
      <c r="A31" s="27" t="inlineStr"/>
      <c r="B31" s="27" t="inlineStr"/>
      <c r="C31" s="27" t="inlineStr"/>
      <c r="D31" s="27" t="inlineStr"/>
      <c r="E31" s="27" t="inlineStr"/>
      <c r="F31" s="36" t="inlineStr"/>
      <c r="G31" s="36" t="inlineStr"/>
      <c r="H31" s="36" t="inlineStr"/>
      <c r="I31" s="27" t="inlineStr"/>
      <c r="J31" s="27" t="inlineStr"/>
      <c r="K31" s="27" t="inlineStr"/>
      <c r="L31" s="29" t="inlineStr"/>
      <c r="M31" s="27">
        <f>IF(G31="","",MAX(0,IF(H31&lt;&gt;"",H31-G31,IF(I31="Completed",0,TODAY()-G31))))</f>
        <v/>
      </c>
      <c r="N31" s="27" t="inlineStr"/>
    </row>
    <row r="32">
      <c r="A32" s="27" t="inlineStr"/>
      <c r="B32" s="27" t="inlineStr"/>
      <c r="C32" s="27" t="inlineStr"/>
      <c r="D32" s="27" t="inlineStr"/>
      <c r="E32" s="27" t="inlineStr"/>
      <c r="F32" s="36" t="inlineStr"/>
      <c r="G32" s="36" t="inlineStr"/>
      <c r="H32" s="36" t="inlineStr"/>
      <c r="I32" s="27" t="inlineStr"/>
      <c r="J32" s="27" t="inlineStr"/>
      <c r="K32" s="27" t="inlineStr"/>
      <c r="L32" s="29" t="inlineStr"/>
      <c r="M32" s="27">
        <f>IF(G32="","",MAX(0,IF(H32&lt;&gt;"",H32-G32,IF(I32="Completed",0,TODAY()-G32))))</f>
        <v/>
      </c>
      <c r="N32" s="27" t="inlineStr"/>
    </row>
    <row r="33">
      <c r="A33" s="27" t="inlineStr"/>
      <c r="B33" s="27" t="inlineStr"/>
      <c r="C33" s="27" t="inlineStr"/>
      <c r="D33" s="27" t="inlineStr"/>
      <c r="E33" s="27" t="inlineStr"/>
      <c r="F33" s="36" t="inlineStr"/>
      <c r="G33" s="36" t="inlineStr"/>
      <c r="H33" s="36" t="inlineStr"/>
      <c r="I33" s="27" t="inlineStr"/>
      <c r="J33" s="27" t="inlineStr"/>
      <c r="K33" s="27" t="inlineStr"/>
      <c r="L33" s="29" t="inlineStr"/>
      <c r="M33" s="27">
        <f>IF(G33="","",MAX(0,IF(H33&lt;&gt;"",H33-G33,IF(I33="Completed",0,TODAY()-G33))))</f>
        <v/>
      </c>
      <c r="N33" s="27" t="inlineStr"/>
    </row>
    <row r="34">
      <c r="A34" s="27" t="inlineStr"/>
      <c r="B34" s="27" t="inlineStr"/>
      <c r="C34" s="27" t="inlineStr"/>
      <c r="D34" s="27" t="inlineStr"/>
      <c r="E34" s="27" t="inlineStr"/>
      <c r="F34" s="36" t="inlineStr"/>
      <c r="G34" s="36" t="inlineStr"/>
      <c r="H34" s="36" t="inlineStr"/>
      <c r="I34" s="27" t="inlineStr"/>
      <c r="J34" s="27" t="inlineStr"/>
      <c r="K34" s="27" t="inlineStr"/>
      <c r="L34" s="29" t="inlineStr"/>
      <c r="M34" s="27">
        <f>IF(G34="","",MAX(0,IF(H34&lt;&gt;"",H34-G34,IF(I34="Completed",0,TODAY()-G34))))</f>
        <v/>
      </c>
      <c r="N34" s="27" t="inlineStr"/>
    </row>
    <row r="35">
      <c r="A35" s="27" t="inlineStr"/>
      <c r="B35" s="27" t="inlineStr"/>
      <c r="C35" s="27" t="inlineStr"/>
      <c r="D35" s="27" t="inlineStr"/>
      <c r="E35" s="27" t="inlineStr"/>
      <c r="F35" s="36" t="inlineStr"/>
      <c r="G35" s="36" t="inlineStr"/>
      <c r="H35" s="36" t="inlineStr"/>
      <c r="I35" s="27" t="inlineStr"/>
      <c r="J35" s="27" t="inlineStr"/>
      <c r="K35" s="27" t="inlineStr"/>
      <c r="L35" s="29" t="inlineStr"/>
      <c r="M35" s="27">
        <f>IF(G35="","",MAX(0,IF(H35&lt;&gt;"",H35-G35,IF(I35="Completed",0,TODAY()-G35))))</f>
        <v/>
      </c>
      <c r="N35" s="27" t="inlineStr"/>
    </row>
    <row r="36">
      <c r="A36" s="27" t="inlineStr"/>
      <c r="B36" s="27" t="inlineStr"/>
      <c r="C36" s="27" t="inlineStr"/>
      <c r="D36" s="27" t="inlineStr"/>
      <c r="E36" s="27" t="inlineStr"/>
      <c r="F36" s="36" t="inlineStr"/>
      <c r="G36" s="36" t="inlineStr"/>
      <c r="H36" s="36" t="inlineStr"/>
      <c r="I36" s="27" t="inlineStr"/>
      <c r="J36" s="27" t="inlineStr"/>
      <c r="K36" s="27" t="inlineStr"/>
      <c r="L36" s="29" t="inlineStr"/>
      <c r="M36" s="27">
        <f>IF(G36="","",MAX(0,IF(H36&lt;&gt;"",H36-G36,IF(I36="Completed",0,TODAY()-G36))))</f>
        <v/>
      </c>
      <c r="N36" s="27" t="inlineStr"/>
    </row>
    <row r="37">
      <c r="A37" s="27" t="inlineStr"/>
      <c r="B37" s="27" t="inlineStr"/>
      <c r="C37" s="27" t="inlineStr"/>
      <c r="D37" s="27" t="inlineStr"/>
      <c r="E37" s="27" t="inlineStr"/>
      <c r="F37" s="36" t="inlineStr"/>
      <c r="G37" s="36" t="inlineStr"/>
      <c r="H37" s="36" t="inlineStr"/>
      <c r="I37" s="27" t="inlineStr"/>
      <c r="J37" s="27" t="inlineStr"/>
      <c r="K37" s="27" t="inlineStr"/>
      <c r="L37" s="29" t="inlineStr"/>
      <c r="M37" s="27">
        <f>IF(G37="","",MAX(0,IF(H37&lt;&gt;"",H37-G37,IF(I37="Completed",0,TODAY()-G37))))</f>
        <v/>
      </c>
      <c r="N37" s="27" t="inlineStr"/>
    </row>
    <row r="38">
      <c r="A38" s="27" t="inlineStr"/>
      <c r="B38" s="27" t="inlineStr"/>
      <c r="C38" s="27" t="inlineStr"/>
      <c r="D38" s="27" t="inlineStr"/>
      <c r="E38" s="27" t="inlineStr"/>
      <c r="F38" s="36" t="inlineStr"/>
      <c r="G38" s="36" t="inlineStr"/>
      <c r="H38" s="36" t="inlineStr"/>
      <c r="I38" s="27" t="inlineStr"/>
      <c r="J38" s="27" t="inlineStr"/>
      <c r="K38" s="27" t="inlineStr"/>
      <c r="L38" s="29" t="inlineStr"/>
      <c r="M38" s="27">
        <f>IF(G38="","",MAX(0,IF(H38&lt;&gt;"",H38-G38,IF(I38="Completed",0,TODAY()-G38))))</f>
        <v/>
      </c>
      <c r="N38" s="27" t="inlineStr"/>
    </row>
    <row r="39">
      <c r="A39" s="27" t="inlineStr"/>
      <c r="B39" s="27" t="inlineStr"/>
      <c r="C39" s="27" t="inlineStr"/>
      <c r="D39" s="27" t="inlineStr"/>
      <c r="E39" s="27" t="inlineStr"/>
      <c r="F39" s="36" t="inlineStr"/>
      <c r="G39" s="36" t="inlineStr"/>
      <c r="H39" s="36" t="inlineStr"/>
      <c r="I39" s="27" t="inlineStr"/>
      <c r="J39" s="27" t="inlineStr"/>
      <c r="K39" s="27" t="inlineStr"/>
      <c r="L39" s="29" t="inlineStr"/>
      <c r="M39" s="27">
        <f>IF(G39="","",MAX(0,IF(H39&lt;&gt;"",H39-G39,IF(I39="Completed",0,TODAY()-G39))))</f>
        <v/>
      </c>
      <c r="N39" s="27" t="inlineStr"/>
    </row>
    <row r="40">
      <c r="A40" s="27" t="inlineStr"/>
      <c r="B40" s="27" t="inlineStr"/>
      <c r="C40" s="27" t="inlineStr"/>
      <c r="D40" s="27" t="inlineStr"/>
      <c r="E40" s="27" t="inlineStr"/>
      <c r="F40" s="36" t="inlineStr"/>
      <c r="G40" s="36" t="inlineStr"/>
      <c r="H40" s="36" t="inlineStr"/>
      <c r="I40" s="27" t="inlineStr"/>
      <c r="J40" s="27" t="inlineStr"/>
      <c r="K40" s="27" t="inlineStr"/>
      <c r="L40" s="29" t="inlineStr"/>
      <c r="M40" s="27">
        <f>IF(G40="","",MAX(0,IF(H40&lt;&gt;"",H40-G40,IF(I40="Completed",0,TODAY()-G40))))</f>
        <v/>
      </c>
      <c r="N40" s="27" t="inlineStr"/>
    </row>
    <row r="41">
      <c r="A41" s="27" t="inlineStr"/>
      <c r="B41" s="27" t="inlineStr"/>
      <c r="C41" s="27" t="inlineStr"/>
      <c r="D41" s="27" t="inlineStr"/>
      <c r="E41" s="27" t="inlineStr"/>
      <c r="F41" s="36" t="inlineStr"/>
      <c r="G41" s="36" t="inlineStr"/>
      <c r="H41" s="36" t="inlineStr"/>
      <c r="I41" s="27" t="inlineStr"/>
      <c r="J41" s="27" t="inlineStr"/>
      <c r="K41" s="27" t="inlineStr"/>
      <c r="L41" s="29" t="inlineStr"/>
      <c r="M41" s="27">
        <f>IF(G41="","",MAX(0,IF(H41&lt;&gt;"",H41-G41,IF(I41="Completed",0,TODAY()-G41))))</f>
        <v/>
      </c>
      <c r="N41" s="27" t="inlineStr"/>
    </row>
    <row r="42">
      <c r="A42" s="27" t="inlineStr"/>
      <c r="B42" s="27" t="inlineStr"/>
      <c r="C42" s="27" t="inlineStr"/>
      <c r="D42" s="27" t="inlineStr"/>
      <c r="E42" s="27" t="inlineStr"/>
      <c r="F42" s="36" t="inlineStr"/>
      <c r="G42" s="36" t="inlineStr"/>
      <c r="H42" s="36" t="inlineStr"/>
      <c r="I42" s="27" t="inlineStr"/>
      <c r="J42" s="27" t="inlineStr"/>
      <c r="K42" s="27" t="inlineStr"/>
      <c r="L42" s="29" t="inlineStr"/>
      <c r="M42" s="27">
        <f>IF(G42="","",MAX(0,IF(H42&lt;&gt;"",H42-G42,IF(I42="Completed",0,TODAY()-G42))))</f>
        <v/>
      </c>
      <c r="N42" s="27" t="inlineStr"/>
    </row>
    <row r="43">
      <c r="A43" s="27" t="inlineStr"/>
      <c r="B43" s="27" t="inlineStr"/>
      <c r="C43" s="27" t="inlineStr"/>
      <c r="D43" s="27" t="inlineStr"/>
      <c r="E43" s="27" t="inlineStr"/>
      <c r="F43" s="36" t="inlineStr"/>
      <c r="G43" s="36" t="inlineStr"/>
      <c r="H43" s="36" t="inlineStr"/>
      <c r="I43" s="27" t="inlineStr"/>
      <c r="J43" s="27" t="inlineStr"/>
      <c r="K43" s="27" t="inlineStr"/>
      <c r="L43" s="29" t="inlineStr"/>
      <c r="M43" s="27">
        <f>IF(G43="","",MAX(0,IF(H43&lt;&gt;"",H43-G43,IF(I43="Completed",0,TODAY()-G43))))</f>
        <v/>
      </c>
      <c r="N43" s="27" t="inlineStr"/>
    </row>
    <row r="44">
      <c r="A44" s="27" t="inlineStr"/>
      <c r="B44" s="27" t="inlineStr"/>
      <c r="C44" s="27" t="inlineStr"/>
      <c r="D44" s="27" t="inlineStr"/>
      <c r="E44" s="27" t="inlineStr"/>
      <c r="F44" s="36" t="inlineStr"/>
      <c r="G44" s="36" t="inlineStr"/>
      <c r="H44" s="36" t="inlineStr"/>
      <c r="I44" s="27" t="inlineStr"/>
      <c r="J44" s="27" t="inlineStr"/>
      <c r="K44" s="27" t="inlineStr"/>
      <c r="L44" s="29" t="inlineStr"/>
      <c r="M44" s="27">
        <f>IF(G44="","",MAX(0,IF(H44&lt;&gt;"",H44-G44,IF(I44="Completed",0,TODAY()-G44))))</f>
        <v/>
      </c>
      <c r="N44" s="27" t="inlineStr"/>
    </row>
    <row r="45">
      <c r="A45" s="27" t="inlineStr"/>
      <c r="B45" s="27" t="inlineStr"/>
      <c r="C45" s="27" t="inlineStr"/>
      <c r="D45" s="27" t="inlineStr"/>
      <c r="E45" s="27" t="inlineStr"/>
      <c r="F45" s="36" t="inlineStr"/>
      <c r="G45" s="36" t="inlineStr"/>
      <c r="H45" s="36" t="inlineStr"/>
      <c r="I45" s="27" t="inlineStr"/>
      <c r="J45" s="27" t="inlineStr"/>
      <c r="K45" s="27" t="inlineStr"/>
      <c r="L45" s="29" t="inlineStr"/>
      <c r="M45" s="27">
        <f>IF(G45="","",MAX(0,IF(H45&lt;&gt;"",H45-G45,IF(I45="Completed",0,TODAY()-G45))))</f>
        <v/>
      </c>
      <c r="N45" s="27" t="inlineStr"/>
    </row>
    <row r="46">
      <c r="A46" s="27" t="inlineStr"/>
      <c r="B46" s="27" t="inlineStr"/>
      <c r="C46" s="27" t="inlineStr"/>
      <c r="D46" s="27" t="inlineStr"/>
      <c r="E46" s="27" t="inlineStr"/>
      <c r="F46" s="36" t="inlineStr"/>
      <c r="G46" s="36" t="inlineStr"/>
      <c r="H46" s="36" t="inlineStr"/>
      <c r="I46" s="27" t="inlineStr"/>
      <c r="J46" s="27" t="inlineStr"/>
      <c r="K46" s="27" t="inlineStr"/>
      <c r="L46" s="29" t="inlineStr"/>
      <c r="M46" s="27">
        <f>IF(G46="","",MAX(0,IF(H46&lt;&gt;"",H46-G46,IF(I46="Completed",0,TODAY()-G46))))</f>
        <v/>
      </c>
      <c r="N46" s="27" t="inlineStr"/>
    </row>
    <row r="47">
      <c r="A47" s="27" t="inlineStr"/>
      <c r="B47" s="27" t="inlineStr"/>
      <c r="C47" s="27" t="inlineStr"/>
      <c r="D47" s="27" t="inlineStr"/>
      <c r="E47" s="27" t="inlineStr"/>
      <c r="F47" s="36" t="inlineStr"/>
      <c r="G47" s="36" t="inlineStr"/>
      <c r="H47" s="36" t="inlineStr"/>
      <c r="I47" s="27" t="inlineStr"/>
      <c r="J47" s="27" t="inlineStr"/>
      <c r="K47" s="27" t="inlineStr"/>
      <c r="L47" s="29" t="inlineStr"/>
      <c r="M47" s="27">
        <f>IF(G47="","",MAX(0,IF(H47&lt;&gt;"",H47-G47,IF(I47="Completed",0,TODAY()-G47))))</f>
        <v/>
      </c>
      <c r="N47" s="27" t="inlineStr"/>
    </row>
    <row r="48">
      <c r="A48" s="27" t="inlineStr"/>
      <c r="B48" s="27" t="inlineStr"/>
      <c r="C48" s="27" t="inlineStr"/>
      <c r="D48" s="27" t="inlineStr"/>
      <c r="E48" s="27" t="inlineStr"/>
      <c r="F48" s="36" t="inlineStr"/>
      <c r="G48" s="36" t="inlineStr"/>
      <c r="H48" s="36" t="inlineStr"/>
      <c r="I48" s="27" t="inlineStr"/>
      <c r="J48" s="27" t="inlineStr"/>
      <c r="K48" s="27" t="inlineStr"/>
      <c r="L48" s="29" t="inlineStr"/>
      <c r="M48" s="27">
        <f>IF(G48="","",MAX(0,IF(H48&lt;&gt;"",H48-G48,IF(I48="Completed",0,TODAY()-G48))))</f>
        <v/>
      </c>
      <c r="N48" s="27" t="inlineStr"/>
    </row>
    <row r="49">
      <c r="A49" s="27" t="inlineStr"/>
      <c r="B49" s="27" t="inlineStr"/>
      <c r="C49" s="27" t="inlineStr"/>
      <c r="D49" s="27" t="inlineStr"/>
      <c r="E49" s="27" t="inlineStr"/>
      <c r="F49" s="36" t="inlineStr"/>
      <c r="G49" s="36" t="inlineStr"/>
      <c r="H49" s="36" t="inlineStr"/>
      <c r="I49" s="27" t="inlineStr"/>
      <c r="J49" s="27" t="inlineStr"/>
      <c r="K49" s="27" t="inlineStr"/>
      <c r="L49" s="29" t="inlineStr"/>
      <c r="M49" s="27">
        <f>IF(G49="","",MAX(0,IF(H49&lt;&gt;"",H49-G49,IF(I49="Completed",0,TODAY()-G49))))</f>
        <v/>
      </c>
      <c r="N49" s="27" t="inlineStr"/>
    </row>
    <row r="50">
      <c r="A50" s="27" t="inlineStr"/>
      <c r="B50" s="27" t="inlineStr"/>
      <c r="C50" s="27" t="inlineStr"/>
      <c r="D50" s="27" t="inlineStr"/>
      <c r="E50" s="27" t="inlineStr"/>
      <c r="F50" s="36" t="inlineStr"/>
      <c r="G50" s="36" t="inlineStr"/>
      <c r="H50" s="36" t="inlineStr"/>
      <c r="I50" s="27" t="inlineStr"/>
      <c r="J50" s="27" t="inlineStr"/>
      <c r="K50" s="27" t="inlineStr"/>
      <c r="L50" s="29" t="inlineStr"/>
      <c r="M50" s="27">
        <f>IF(G50="","",MAX(0,IF(H50&lt;&gt;"",H50-G50,IF(I50="Completed",0,TODAY()-G50))))</f>
        <v/>
      </c>
      <c r="N50" s="27" t="inlineStr"/>
    </row>
    <row r="51">
      <c r="A51" s="27" t="inlineStr"/>
      <c r="B51" s="27" t="inlineStr"/>
      <c r="C51" s="27" t="inlineStr"/>
      <c r="D51" s="27" t="inlineStr"/>
      <c r="E51" s="27" t="inlineStr"/>
      <c r="F51" s="36" t="inlineStr"/>
      <c r="G51" s="36" t="inlineStr"/>
      <c r="H51" s="36" t="inlineStr"/>
      <c r="I51" s="27" t="inlineStr"/>
      <c r="J51" s="27" t="inlineStr"/>
      <c r="K51" s="27" t="inlineStr"/>
      <c r="L51" s="29" t="inlineStr"/>
      <c r="M51" s="27">
        <f>IF(G51="","",MAX(0,IF(H51&lt;&gt;"",H51-G51,IF(I51="Completed",0,TODAY()-G51))))</f>
        <v/>
      </c>
      <c r="N51" s="27" t="inlineStr"/>
    </row>
    <row r="52">
      <c r="A52" s="27" t="inlineStr"/>
      <c r="B52" s="27" t="inlineStr"/>
      <c r="C52" s="27" t="inlineStr"/>
      <c r="D52" s="27" t="inlineStr"/>
      <c r="E52" s="27" t="inlineStr"/>
      <c r="F52" s="36" t="inlineStr"/>
      <c r="G52" s="36" t="inlineStr"/>
      <c r="H52" s="36" t="inlineStr"/>
      <c r="I52" s="27" t="inlineStr"/>
      <c r="J52" s="27" t="inlineStr"/>
      <c r="K52" s="27" t="inlineStr"/>
      <c r="L52" s="29" t="inlineStr"/>
      <c r="M52" s="27">
        <f>IF(G52="","",MAX(0,IF(H52&lt;&gt;"",H52-G52,IF(I52="Completed",0,TODAY()-G52))))</f>
        <v/>
      </c>
      <c r="N52" s="27" t="inlineStr"/>
    </row>
    <row r="53">
      <c r="A53" s="27" t="inlineStr"/>
      <c r="B53" s="27" t="inlineStr"/>
      <c r="C53" s="27" t="inlineStr"/>
      <c r="D53" s="27" t="inlineStr"/>
      <c r="E53" s="27" t="inlineStr"/>
      <c r="F53" s="36" t="inlineStr"/>
      <c r="G53" s="36" t="inlineStr"/>
      <c r="H53" s="36" t="inlineStr"/>
      <c r="I53" s="27" t="inlineStr"/>
      <c r="J53" s="27" t="inlineStr"/>
      <c r="K53" s="27" t="inlineStr"/>
      <c r="L53" s="29" t="inlineStr"/>
      <c r="M53" s="27">
        <f>IF(G53="","",MAX(0,IF(H53&lt;&gt;"",H53-G53,IF(I53="Completed",0,TODAY()-G53))))</f>
        <v/>
      </c>
      <c r="N53" s="27" t="inlineStr"/>
    </row>
    <row r="54">
      <c r="A54" s="27" t="inlineStr"/>
      <c r="B54" s="27" t="inlineStr"/>
      <c r="C54" s="27" t="inlineStr"/>
      <c r="D54" s="27" t="inlineStr"/>
      <c r="E54" s="27" t="inlineStr"/>
      <c r="F54" s="36" t="inlineStr"/>
      <c r="G54" s="36" t="inlineStr"/>
      <c r="H54" s="36" t="inlineStr"/>
      <c r="I54" s="27" t="inlineStr"/>
      <c r="J54" s="27" t="inlineStr"/>
      <c r="K54" s="27" t="inlineStr"/>
      <c r="L54" s="29" t="inlineStr"/>
      <c r="M54" s="27">
        <f>IF(G54="","",MAX(0,IF(H54&lt;&gt;"",H54-G54,IF(I54="Completed",0,TODAY()-G54))))</f>
        <v/>
      </c>
      <c r="N54" s="27" t="inlineStr"/>
    </row>
    <row r="55">
      <c r="A55" s="27" t="inlineStr"/>
      <c r="B55" s="27" t="inlineStr"/>
      <c r="C55" s="27" t="inlineStr"/>
      <c r="D55" s="27" t="inlineStr"/>
      <c r="E55" s="27" t="inlineStr"/>
      <c r="F55" s="36" t="inlineStr"/>
      <c r="G55" s="36" t="inlineStr"/>
      <c r="H55" s="36" t="inlineStr"/>
      <c r="I55" s="27" t="inlineStr"/>
      <c r="J55" s="27" t="inlineStr"/>
      <c r="K55" s="27" t="inlineStr"/>
      <c r="L55" s="29" t="inlineStr"/>
      <c r="M55" s="27">
        <f>IF(G55="","",MAX(0,IF(H55&lt;&gt;"",H55-G55,IF(I55="Completed",0,TODAY()-G55))))</f>
        <v/>
      </c>
      <c r="N55" s="27" t="inlineStr"/>
    </row>
    <row r="56">
      <c r="A56" s="27" t="inlineStr"/>
      <c r="B56" s="27" t="inlineStr"/>
      <c r="C56" s="27" t="inlineStr"/>
      <c r="D56" s="27" t="inlineStr"/>
      <c r="E56" s="27" t="inlineStr"/>
      <c r="F56" s="36" t="inlineStr"/>
      <c r="G56" s="36" t="inlineStr"/>
      <c r="H56" s="36" t="inlineStr"/>
      <c r="I56" s="27" t="inlineStr"/>
      <c r="J56" s="27" t="inlineStr"/>
      <c r="K56" s="27" t="inlineStr"/>
      <c r="L56" s="29" t="inlineStr"/>
      <c r="M56" s="27">
        <f>IF(G56="","",MAX(0,IF(H56&lt;&gt;"",H56-G56,IF(I56="Completed",0,TODAY()-G56))))</f>
        <v/>
      </c>
      <c r="N56" s="27" t="inlineStr"/>
    </row>
    <row r="57">
      <c r="A57" s="27" t="inlineStr"/>
      <c r="B57" s="27" t="inlineStr"/>
      <c r="C57" s="27" t="inlineStr"/>
      <c r="D57" s="27" t="inlineStr"/>
      <c r="E57" s="27" t="inlineStr"/>
      <c r="F57" s="36" t="inlineStr"/>
      <c r="G57" s="36" t="inlineStr"/>
      <c r="H57" s="36" t="inlineStr"/>
      <c r="I57" s="27" t="inlineStr"/>
      <c r="J57" s="27" t="inlineStr"/>
      <c r="K57" s="27" t="inlineStr"/>
      <c r="L57" s="29" t="inlineStr"/>
      <c r="M57" s="27">
        <f>IF(G57="","",MAX(0,IF(H57&lt;&gt;"",H57-G57,IF(I57="Completed",0,TODAY()-G57))))</f>
        <v/>
      </c>
      <c r="N57" s="27" t="inlineStr"/>
    </row>
    <row r="58">
      <c r="A58" s="27" t="inlineStr"/>
      <c r="B58" s="27" t="inlineStr"/>
      <c r="C58" s="27" t="inlineStr"/>
      <c r="D58" s="27" t="inlineStr"/>
      <c r="E58" s="27" t="inlineStr"/>
      <c r="F58" s="36" t="inlineStr"/>
      <c r="G58" s="36" t="inlineStr"/>
      <c r="H58" s="36" t="inlineStr"/>
      <c r="I58" s="27" t="inlineStr"/>
      <c r="J58" s="27" t="inlineStr"/>
      <c r="K58" s="27" t="inlineStr"/>
      <c r="L58" s="29" t="inlineStr"/>
      <c r="M58" s="27">
        <f>IF(G58="","",MAX(0,IF(H58&lt;&gt;"",H58-G58,IF(I58="Completed",0,TODAY()-G58))))</f>
        <v/>
      </c>
      <c r="N58" s="27" t="inlineStr"/>
    </row>
    <row r="59">
      <c r="A59" s="27" t="inlineStr"/>
      <c r="B59" s="27" t="inlineStr"/>
      <c r="C59" s="27" t="inlineStr"/>
      <c r="D59" s="27" t="inlineStr"/>
      <c r="E59" s="27" t="inlineStr"/>
      <c r="F59" s="36" t="inlineStr"/>
      <c r="G59" s="36" t="inlineStr"/>
      <c r="H59" s="36" t="inlineStr"/>
      <c r="I59" s="27" t="inlineStr"/>
      <c r="J59" s="27" t="inlineStr"/>
      <c r="K59" s="27" t="inlineStr"/>
      <c r="L59" s="29" t="inlineStr"/>
      <c r="M59" s="27">
        <f>IF(G59="","",MAX(0,IF(H59&lt;&gt;"",H59-G59,IF(I59="Completed",0,TODAY()-G59))))</f>
        <v/>
      </c>
      <c r="N59" s="27" t="inlineStr"/>
    </row>
    <row r="60">
      <c r="A60" s="27" t="inlineStr"/>
      <c r="B60" s="27" t="inlineStr"/>
      <c r="C60" s="27" t="inlineStr"/>
      <c r="D60" s="27" t="inlineStr"/>
      <c r="E60" s="27" t="inlineStr"/>
      <c r="F60" s="36" t="inlineStr"/>
      <c r="G60" s="36" t="inlineStr"/>
      <c r="H60" s="36" t="inlineStr"/>
      <c r="I60" s="27" t="inlineStr"/>
      <c r="J60" s="27" t="inlineStr"/>
      <c r="K60" s="27" t="inlineStr"/>
      <c r="L60" s="29" t="inlineStr"/>
      <c r="M60" s="27">
        <f>IF(G60="","",MAX(0,IF(H60&lt;&gt;"",H60-G60,IF(I60="Completed",0,TODAY()-G60))))</f>
        <v/>
      </c>
      <c r="N60" s="27" t="inlineStr"/>
    </row>
    <row r="61">
      <c r="A61" s="27" t="inlineStr"/>
      <c r="B61" s="27" t="inlineStr"/>
      <c r="C61" s="27" t="inlineStr"/>
      <c r="D61" s="27" t="inlineStr"/>
      <c r="E61" s="27" t="inlineStr"/>
      <c r="F61" s="36" t="inlineStr"/>
      <c r="G61" s="36" t="inlineStr"/>
      <c r="H61" s="36" t="inlineStr"/>
      <c r="I61" s="27" t="inlineStr"/>
      <c r="J61" s="27" t="inlineStr"/>
      <c r="K61" s="27" t="inlineStr"/>
      <c r="L61" s="29" t="inlineStr"/>
      <c r="M61" s="27">
        <f>IF(G61="","",MAX(0,IF(H61&lt;&gt;"",H61-G61,IF(I61="Completed",0,TODAY()-G61))))</f>
        <v/>
      </c>
      <c r="N61" s="27" t="inlineStr"/>
    </row>
    <row r="62">
      <c r="A62" s="27" t="inlineStr"/>
      <c r="B62" s="27" t="inlineStr"/>
      <c r="C62" s="27" t="inlineStr"/>
      <c r="D62" s="27" t="inlineStr"/>
      <c r="E62" s="27" t="inlineStr"/>
      <c r="F62" s="36" t="inlineStr"/>
      <c r="G62" s="36" t="inlineStr"/>
      <c r="H62" s="36" t="inlineStr"/>
      <c r="I62" s="27" t="inlineStr"/>
      <c r="J62" s="27" t="inlineStr"/>
      <c r="K62" s="27" t="inlineStr"/>
      <c r="L62" s="29" t="inlineStr"/>
      <c r="M62" s="27">
        <f>IF(G62="","",MAX(0,IF(H62&lt;&gt;"",H62-G62,IF(I62="Completed",0,TODAY()-G62))))</f>
        <v/>
      </c>
      <c r="N62" s="27" t="inlineStr"/>
    </row>
    <row r="63">
      <c r="A63" s="27" t="inlineStr"/>
      <c r="B63" s="27" t="inlineStr"/>
      <c r="C63" s="27" t="inlineStr"/>
      <c r="D63" s="27" t="inlineStr"/>
      <c r="E63" s="27" t="inlineStr"/>
      <c r="F63" s="36" t="inlineStr"/>
      <c r="G63" s="36" t="inlineStr"/>
      <c r="H63" s="36" t="inlineStr"/>
      <c r="I63" s="27" t="inlineStr"/>
      <c r="J63" s="27" t="inlineStr"/>
      <c r="K63" s="27" t="inlineStr"/>
      <c r="L63" s="29" t="inlineStr"/>
      <c r="M63" s="27">
        <f>IF(G63="","",MAX(0,IF(H63&lt;&gt;"",H63-G63,IF(I63="Completed",0,TODAY()-G63))))</f>
        <v/>
      </c>
      <c r="N63" s="27" t="inlineStr"/>
    </row>
    <row r="64">
      <c r="A64" s="27" t="inlineStr"/>
      <c r="B64" s="27" t="inlineStr"/>
      <c r="C64" s="27" t="inlineStr"/>
      <c r="D64" s="27" t="inlineStr"/>
      <c r="E64" s="27" t="inlineStr"/>
      <c r="F64" s="36" t="inlineStr"/>
      <c r="G64" s="36" t="inlineStr"/>
      <c r="H64" s="36" t="inlineStr"/>
      <c r="I64" s="27" t="inlineStr"/>
      <c r="J64" s="27" t="inlineStr"/>
      <c r="K64" s="27" t="inlineStr"/>
      <c r="L64" s="29" t="inlineStr"/>
      <c r="M64" s="27">
        <f>IF(G64="","",MAX(0,IF(H64&lt;&gt;"",H64-G64,IF(I64="Completed",0,TODAY()-G64))))</f>
        <v/>
      </c>
      <c r="N64" s="27" t="inlineStr"/>
    </row>
    <row r="65">
      <c r="A65" s="27" t="inlineStr"/>
      <c r="B65" s="27" t="inlineStr"/>
      <c r="C65" s="27" t="inlineStr"/>
      <c r="D65" s="27" t="inlineStr"/>
      <c r="E65" s="27" t="inlineStr"/>
      <c r="F65" s="36" t="inlineStr"/>
      <c r="G65" s="36" t="inlineStr"/>
      <c r="H65" s="36" t="inlineStr"/>
      <c r="I65" s="27" t="inlineStr"/>
      <c r="J65" s="27" t="inlineStr"/>
      <c r="K65" s="27" t="inlineStr"/>
      <c r="L65" s="29" t="inlineStr"/>
      <c r="M65" s="27">
        <f>IF(G65="","",MAX(0,IF(H65&lt;&gt;"",H65-G65,IF(I65="Completed",0,TODAY()-G65))))</f>
        <v/>
      </c>
      <c r="N65" s="27" t="inlineStr"/>
    </row>
    <row r="66">
      <c r="A66" s="27" t="inlineStr"/>
      <c r="B66" s="27" t="inlineStr"/>
      <c r="C66" s="27" t="inlineStr"/>
      <c r="D66" s="27" t="inlineStr"/>
      <c r="E66" s="27" t="inlineStr"/>
      <c r="F66" s="36" t="inlineStr"/>
      <c r="G66" s="36" t="inlineStr"/>
      <c r="H66" s="36" t="inlineStr"/>
      <c r="I66" s="27" t="inlineStr"/>
      <c r="J66" s="27" t="inlineStr"/>
      <c r="K66" s="27" t="inlineStr"/>
      <c r="L66" s="29" t="inlineStr"/>
      <c r="M66" s="27">
        <f>IF(G66="","",MAX(0,IF(H66&lt;&gt;"",H66-G66,IF(I66="Completed",0,TODAY()-G66))))</f>
        <v/>
      </c>
      <c r="N66" s="27" t="inlineStr"/>
    </row>
    <row r="67">
      <c r="A67" s="27" t="inlineStr"/>
      <c r="B67" s="27" t="inlineStr"/>
      <c r="C67" s="27" t="inlineStr"/>
      <c r="D67" s="27" t="inlineStr"/>
      <c r="E67" s="27" t="inlineStr"/>
      <c r="F67" s="36" t="inlineStr"/>
      <c r="G67" s="36" t="inlineStr"/>
      <c r="H67" s="36" t="inlineStr"/>
      <c r="I67" s="27" t="inlineStr"/>
      <c r="J67" s="27" t="inlineStr"/>
      <c r="K67" s="27" t="inlineStr"/>
      <c r="L67" s="29" t="inlineStr"/>
      <c r="M67" s="27">
        <f>IF(G67="","",MAX(0,IF(H67&lt;&gt;"",H67-G67,IF(I67="Completed",0,TODAY()-G67))))</f>
        <v/>
      </c>
      <c r="N67" s="27" t="inlineStr"/>
    </row>
    <row r="68">
      <c r="A68" s="27" t="inlineStr"/>
      <c r="B68" s="27" t="inlineStr"/>
      <c r="C68" s="27" t="inlineStr"/>
      <c r="D68" s="27" t="inlineStr"/>
      <c r="E68" s="27" t="inlineStr"/>
      <c r="F68" s="36" t="inlineStr"/>
      <c r="G68" s="36" t="inlineStr"/>
      <c r="H68" s="36" t="inlineStr"/>
      <c r="I68" s="27" t="inlineStr"/>
      <c r="J68" s="27" t="inlineStr"/>
      <c r="K68" s="27" t="inlineStr"/>
      <c r="L68" s="29" t="inlineStr"/>
      <c r="M68" s="27">
        <f>IF(G68="","",MAX(0,IF(H68&lt;&gt;"",H68-G68,IF(I68="Completed",0,TODAY()-G68))))</f>
        <v/>
      </c>
      <c r="N68" s="27" t="inlineStr"/>
    </row>
    <row r="69">
      <c r="A69" s="27" t="inlineStr"/>
      <c r="B69" s="27" t="inlineStr"/>
      <c r="C69" s="27" t="inlineStr"/>
      <c r="D69" s="27" t="inlineStr"/>
      <c r="E69" s="27" t="inlineStr"/>
      <c r="F69" s="36" t="inlineStr"/>
      <c r="G69" s="36" t="inlineStr"/>
      <c r="H69" s="36" t="inlineStr"/>
      <c r="I69" s="27" t="inlineStr"/>
      <c r="J69" s="27" t="inlineStr"/>
      <c r="K69" s="27" t="inlineStr"/>
      <c r="L69" s="29" t="inlineStr"/>
      <c r="M69" s="27">
        <f>IF(G69="","",MAX(0,IF(H69&lt;&gt;"",H69-G69,IF(I69="Completed",0,TODAY()-G69))))</f>
        <v/>
      </c>
      <c r="N69" s="27" t="inlineStr"/>
    </row>
    <row r="70">
      <c r="A70" s="27" t="inlineStr"/>
      <c r="B70" s="27" t="inlineStr"/>
      <c r="C70" s="27" t="inlineStr"/>
      <c r="D70" s="27" t="inlineStr"/>
      <c r="E70" s="27" t="inlineStr"/>
      <c r="F70" s="36" t="inlineStr"/>
      <c r="G70" s="36" t="inlineStr"/>
      <c r="H70" s="36" t="inlineStr"/>
      <c r="I70" s="27" t="inlineStr"/>
      <c r="J70" s="27" t="inlineStr"/>
      <c r="K70" s="27" t="inlineStr"/>
      <c r="L70" s="29" t="inlineStr"/>
      <c r="M70" s="27">
        <f>IF(G70="","",MAX(0,IF(H70&lt;&gt;"",H70-G70,IF(I70="Completed",0,TODAY()-G70))))</f>
        <v/>
      </c>
      <c r="N70" s="27" t="inlineStr"/>
    </row>
    <row r="71">
      <c r="A71" s="27" t="inlineStr"/>
      <c r="B71" s="27" t="inlineStr"/>
      <c r="C71" s="27" t="inlineStr"/>
      <c r="D71" s="27" t="inlineStr"/>
      <c r="E71" s="27" t="inlineStr"/>
      <c r="F71" s="36" t="inlineStr"/>
      <c r="G71" s="36" t="inlineStr"/>
      <c r="H71" s="36" t="inlineStr"/>
      <c r="I71" s="27" t="inlineStr"/>
      <c r="J71" s="27" t="inlineStr"/>
      <c r="K71" s="27" t="inlineStr"/>
      <c r="L71" s="29" t="inlineStr"/>
      <c r="M71" s="27">
        <f>IF(G71="","",MAX(0,IF(H71&lt;&gt;"",H71-G71,IF(I71="Completed",0,TODAY()-G71))))</f>
        <v/>
      </c>
      <c r="N71" s="27" t="inlineStr"/>
    </row>
    <row r="72">
      <c r="A72" s="27" t="inlineStr"/>
      <c r="B72" s="27" t="inlineStr"/>
      <c r="C72" s="27" t="inlineStr"/>
      <c r="D72" s="27" t="inlineStr"/>
      <c r="E72" s="27" t="inlineStr"/>
      <c r="F72" s="36" t="inlineStr"/>
      <c r="G72" s="36" t="inlineStr"/>
      <c r="H72" s="36" t="inlineStr"/>
      <c r="I72" s="27" t="inlineStr"/>
      <c r="J72" s="27" t="inlineStr"/>
      <c r="K72" s="27" t="inlineStr"/>
      <c r="L72" s="29" t="inlineStr"/>
      <c r="M72" s="27">
        <f>IF(G72="","",MAX(0,IF(H72&lt;&gt;"",H72-G72,IF(I72="Completed",0,TODAY()-G72))))</f>
        <v/>
      </c>
      <c r="N72" s="27" t="inlineStr"/>
    </row>
    <row r="73">
      <c r="A73" s="27" t="inlineStr"/>
      <c r="B73" s="27" t="inlineStr"/>
      <c r="C73" s="27" t="inlineStr"/>
      <c r="D73" s="27" t="inlineStr"/>
      <c r="E73" s="27" t="inlineStr"/>
      <c r="F73" s="36" t="inlineStr"/>
      <c r="G73" s="36" t="inlineStr"/>
      <c r="H73" s="36" t="inlineStr"/>
      <c r="I73" s="27" t="inlineStr"/>
      <c r="J73" s="27" t="inlineStr"/>
      <c r="K73" s="27" t="inlineStr"/>
      <c r="L73" s="29" t="inlineStr"/>
      <c r="M73" s="27">
        <f>IF(G73="","",MAX(0,IF(H73&lt;&gt;"",H73-G73,IF(I73="Completed",0,TODAY()-G73))))</f>
        <v/>
      </c>
      <c r="N73" s="27" t="inlineStr"/>
    </row>
    <row r="74">
      <c r="A74" s="27" t="inlineStr"/>
      <c r="B74" s="27" t="inlineStr"/>
      <c r="C74" s="27" t="inlineStr"/>
      <c r="D74" s="27" t="inlineStr"/>
      <c r="E74" s="27" t="inlineStr"/>
      <c r="F74" s="36" t="inlineStr"/>
      <c r="G74" s="36" t="inlineStr"/>
      <c r="H74" s="36" t="inlineStr"/>
      <c r="I74" s="27" t="inlineStr"/>
      <c r="J74" s="27" t="inlineStr"/>
      <c r="K74" s="27" t="inlineStr"/>
      <c r="L74" s="29" t="inlineStr"/>
      <c r="M74" s="27">
        <f>IF(G74="","",MAX(0,IF(H74&lt;&gt;"",H74-G74,IF(I74="Completed",0,TODAY()-G74))))</f>
        <v/>
      </c>
      <c r="N74" s="27" t="inlineStr"/>
    </row>
    <row r="75">
      <c r="A75" s="27" t="inlineStr"/>
      <c r="B75" s="27" t="inlineStr"/>
      <c r="C75" s="27" t="inlineStr"/>
      <c r="D75" s="27" t="inlineStr"/>
      <c r="E75" s="27" t="inlineStr"/>
      <c r="F75" s="36" t="inlineStr"/>
      <c r="G75" s="36" t="inlineStr"/>
      <c r="H75" s="36" t="inlineStr"/>
      <c r="I75" s="27" t="inlineStr"/>
      <c r="J75" s="27" t="inlineStr"/>
      <c r="K75" s="27" t="inlineStr"/>
      <c r="L75" s="29" t="inlineStr"/>
      <c r="M75" s="27">
        <f>IF(G75="","",MAX(0,IF(H75&lt;&gt;"",H75-G75,IF(I75="Completed",0,TODAY()-G75))))</f>
        <v/>
      </c>
      <c r="N75" s="27" t="inlineStr"/>
    </row>
    <row r="76">
      <c r="A76" s="27" t="inlineStr"/>
      <c r="B76" s="27" t="inlineStr"/>
      <c r="C76" s="27" t="inlineStr"/>
      <c r="D76" s="27" t="inlineStr"/>
      <c r="E76" s="27" t="inlineStr"/>
      <c r="F76" s="36" t="inlineStr"/>
      <c r="G76" s="36" t="inlineStr"/>
      <c r="H76" s="36" t="inlineStr"/>
      <c r="I76" s="27" t="inlineStr"/>
      <c r="J76" s="27" t="inlineStr"/>
      <c r="K76" s="27" t="inlineStr"/>
      <c r="L76" s="29" t="inlineStr"/>
      <c r="M76" s="27">
        <f>IF(G76="","",MAX(0,IF(H76&lt;&gt;"",H76-G76,IF(I76="Completed",0,TODAY()-G76))))</f>
        <v/>
      </c>
      <c r="N76" s="27" t="inlineStr"/>
    </row>
    <row r="77">
      <c r="A77" s="27" t="inlineStr"/>
      <c r="B77" s="27" t="inlineStr"/>
      <c r="C77" s="27" t="inlineStr"/>
      <c r="D77" s="27" t="inlineStr"/>
      <c r="E77" s="27" t="inlineStr"/>
      <c r="F77" s="36" t="inlineStr"/>
      <c r="G77" s="36" t="inlineStr"/>
      <c r="H77" s="36" t="inlineStr"/>
      <c r="I77" s="27" t="inlineStr"/>
      <c r="J77" s="27" t="inlineStr"/>
      <c r="K77" s="27" t="inlineStr"/>
      <c r="L77" s="29" t="inlineStr"/>
      <c r="M77" s="27">
        <f>IF(G77="","",MAX(0,IF(H77&lt;&gt;"",H77-G77,IF(I77="Completed",0,TODAY()-G77))))</f>
        <v/>
      </c>
      <c r="N77" s="27" t="inlineStr"/>
    </row>
    <row r="78">
      <c r="A78" s="27" t="inlineStr"/>
      <c r="B78" s="27" t="inlineStr"/>
      <c r="C78" s="27" t="inlineStr"/>
      <c r="D78" s="27" t="inlineStr"/>
      <c r="E78" s="27" t="inlineStr"/>
      <c r="F78" s="36" t="inlineStr"/>
      <c r="G78" s="36" t="inlineStr"/>
      <c r="H78" s="36" t="inlineStr"/>
      <c r="I78" s="27" t="inlineStr"/>
      <c r="J78" s="27" t="inlineStr"/>
      <c r="K78" s="27" t="inlineStr"/>
      <c r="L78" s="29" t="inlineStr"/>
      <c r="M78" s="27">
        <f>IF(G78="","",MAX(0,IF(H78&lt;&gt;"",H78-G78,IF(I78="Completed",0,TODAY()-G78))))</f>
        <v/>
      </c>
      <c r="N78" s="27" t="inlineStr"/>
    </row>
    <row r="79">
      <c r="A79" s="27" t="inlineStr"/>
      <c r="B79" s="27" t="inlineStr"/>
      <c r="C79" s="27" t="inlineStr"/>
      <c r="D79" s="27" t="inlineStr"/>
      <c r="E79" s="27" t="inlineStr"/>
      <c r="F79" s="36" t="inlineStr"/>
      <c r="G79" s="36" t="inlineStr"/>
      <c r="H79" s="36" t="inlineStr"/>
      <c r="I79" s="27" t="inlineStr"/>
      <c r="J79" s="27" t="inlineStr"/>
      <c r="K79" s="27" t="inlineStr"/>
      <c r="L79" s="29" t="inlineStr"/>
      <c r="M79" s="27">
        <f>IF(G79="","",MAX(0,IF(H79&lt;&gt;"",H79-G79,IF(I79="Completed",0,TODAY()-G79))))</f>
        <v/>
      </c>
      <c r="N79" s="27" t="inlineStr"/>
    </row>
    <row r="80">
      <c r="A80" s="27" t="inlineStr"/>
      <c r="B80" s="27" t="inlineStr"/>
      <c r="C80" s="27" t="inlineStr"/>
      <c r="D80" s="27" t="inlineStr"/>
      <c r="E80" s="27" t="inlineStr"/>
      <c r="F80" s="36" t="inlineStr"/>
      <c r="G80" s="36" t="inlineStr"/>
      <c r="H80" s="36" t="inlineStr"/>
      <c r="I80" s="27" t="inlineStr"/>
      <c r="J80" s="27" t="inlineStr"/>
      <c r="K80" s="27" t="inlineStr"/>
      <c r="L80" s="29" t="inlineStr"/>
      <c r="M80" s="27">
        <f>IF(G80="","",MAX(0,IF(H80&lt;&gt;"",H80-G80,IF(I80="Completed",0,TODAY()-G80))))</f>
        <v/>
      </c>
      <c r="N80" s="27" t="inlineStr"/>
    </row>
    <row r="81">
      <c r="A81" s="27" t="inlineStr"/>
      <c r="B81" s="27" t="inlineStr"/>
      <c r="C81" s="27" t="inlineStr"/>
      <c r="D81" s="27" t="inlineStr"/>
      <c r="E81" s="27" t="inlineStr"/>
      <c r="F81" s="36" t="inlineStr"/>
      <c r="G81" s="36" t="inlineStr"/>
      <c r="H81" s="36" t="inlineStr"/>
      <c r="I81" s="27" t="inlineStr"/>
      <c r="J81" s="27" t="inlineStr"/>
      <c r="K81" s="27" t="inlineStr"/>
      <c r="L81" s="29" t="inlineStr"/>
      <c r="M81" s="27">
        <f>IF(G81="","",MAX(0,IF(H81&lt;&gt;"",H81-G81,IF(I81="Completed",0,TODAY()-G81))))</f>
        <v/>
      </c>
      <c r="N81" s="27" t="inlineStr"/>
    </row>
    <row r="82">
      <c r="A82" s="27" t="inlineStr"/>
      <c r="B82" s="27" t="inlineStr"/>
      <c r="C82" s="27" t="inlineStr"/>
      <c r="D82" s="27" t="inlineStr"/>
      <c r="E82" s="27" t="inlineStr"/>
      <c r="F82" s="36" t="inlineStr"/>
      <c r="G82" s="36" t="inlineStr"/>
      <c r="H82" s="36" t="inlineStr"/>
      <c r="I82" s="27" t="inlineStr"/>
      <c r="J82" s="27" t="inlineStr"/>
      <c r="K82" s="27" t="inlineStr"/>
      <c r="L82" s="29" t="inlineStr"/>
      <c r="M82" s="27">
        <f>IF(G82="","",MAX(0,IF(H82&lt;&gt;"",H82-G82,IF(I82="Completed",0,TODAY()-G82))))</f>
        <v/>
      </c>
      <c r="N82" s="27" t="inlineStr"/>
    </row>
    <row r="83">
      <c r="A83" s="27" t="inlineStr"/>
      <c r="B83" s="27" t="inlineStr"/>
      <c r="C83" s="27" t="inlineStr"/>
      <c r="D83" s="27" t="inlineStr"/>
      <c r="E83" s="27" t="inlineStr"/>
      <c r="F83" s="36" t="inlineStr"/>
      <c r="G83" s="36" t="inlineStr"/>
      <c r="H83" s="36" t="inlineStr"/>
      <c r="I83" s="27" t="inlineStr"/>
      <c r="J83" s="27" t="inlineStr"/>
      <c r="K83" s="27" t="inlineStr"/>
      <c r="L83" s="29" t="inlineStr"/>
      <c r="M83" s="27">
        <f>IF(G83="","",MAX(0,IF(H83&lt;&gt;"",H83-G83,IF(I83="Completed",0,TODAY()-G83))))</f>
        <v/>
      </c>
      <c r="N83" s="27" t="inlineStr"/>
    </row>
    <row r="84">
      <c r="A84" s="27" t="inlineStr"/>
      <c r="B84" s="27" t="inlineStr"/>
      <c r="C84" s="27" t="inlineStr"/>
      <c r="D84" s="27" t="inlineStr"/>
      <c r="E84" s="27" t="inlineStr"/>
      <c r="F84" s="36" t="inlineStr"/>
      <c r="G84" s="36" t="inlineStr"/>
      <c r="H84" s="36" t="inlineStr"/>
      <c r="I84" s="27" t="inlineStr"/>
      <c r="J84" s="27" t="inlineStr"/>
      <c r="K84" s="27" t="inlineStr"/>
      <c r="L84" s="29" t="inlineStr"/>
      <c r="M84" s="27">
        <f>IF(G84="","",MAX(0,IF(H84&lt;&gt;"",H84-G84,IF(I84="Completed",0,TODAY()-G84))))</f>
        <v/>
      </c>
      <c r="N84" s="27" t="inlineStr"/>
    </row>
    <row r="85">
      <c r="A85" s="27" t="inlineStr"/>
      <c r="B85" s="27" t="inlineStr"/>
      <c r="C85" s="27" t="inlineStr"/>
      <c r="D85" s="27" t="inlineStr"/>
      <c r="E85" s="27" t="inlineStr"/>
      <c r="F85" s="36" t="inlineStr"/>
      <c r="G85" s="36" t="inlineStr"/>
      <c r="H85" s="36" t="inlineStr"/>
      <c r="I85" s="27" t="inlineStr"/>
      <c r="J85" s="27" t="inlineStr"/>
      <c r="K85" s="27" t="inlineStr"/>
      <c r="L85" s="29" t="inlineStr"/>
      <c r="M85" s="27">
        <f>IF(G85="","",MAX(0,IF(H85&lt;&gt;"",H85-G85,IF(I85="Completed",0,TODAY()-G85))))</f>
        <v/>
      </c>
      <c r="N85" s="27" t="inlineStr"/>
    </row>
    <row r="86">
      <c r="A86" s="27" t="inlineStr"/>
      <c r="B86" s="27" t="inlineStr"/>
      <c r="C86" s="27" t="inlineStr"/>
      <c r="D86" s="27" t="inlineStr"/>
      <c r="E86" s="27" t="inlineStr"/>
      <c r="F86" s="36" t="inlineStr"/>
      <c r="G86" s="36" t="inlineStr"/>
      <c r="H86" s="36" t="inlineStr"/>
      <c r="I86" s="27" t="inlineStr"/>
      <c r="J86" s="27" t="inlineStr"/>
      <c r="K86" s="27" t="inlineStr"/>
      <c r="L86" s="29" t="inlineStr"/>
      <c r="M86" s="27">
        <f>IF(G86="","",MAX(0,IF(H86&lt;&gt;"",H86-G86,IF(I86="Completed",0,TODAY()-G86))))</f>
        <v/>
      </c>
      <c r="N86" s="27" t="inlineStr"/>
    </row>
    <row r="87">
      <c r="A87" s="27" t="inlineStr"/>
      <c r="B87" s="27" t="inlineStr"/>
      <c r="C87" s="27" t="inlineStr"/>
      <c r="D87" s="27" t="inlineStr"/>
      <c r="E87" s="27" t="inlineStr"/>
      <c r="F87" s="36" t="inlineStr"/>
      <c r="G87" s="36" t="inlineStr"/>
      <c r="H87" s="36" t="inlineStr"/>
      <c r="I87" s="27" t="inlineStr"/>
      <c r="J87" s="27" t="inlineStr"/>
      <c r="K87" s="27" t="inlineStr"/>
      <c r="L87" s="29" t="inlineStr"/>
      <c r="M87" s="27">
        <f>IF(G87="","",MAX(0,IF(H87&lt;&gt;"",H87-G87,IF(I87="Completed",0,TODAY()-G87))))</f>
        <v/>
      </c>
      <c r="N87" s="27" t="inlineStr"/>
    </row>
    <row r="88">
      <c r="A88" s="27" t="inlineStr"/>
      <c r="B88" s="27" t="inlineStr"/>
      <c r="C88" s="27" t="inlineStr"/>
      <c r="D88" s="27" t="inlineStr"/>
      <c r="E88" s="27" t="inlineStr"/>
      <c r="F88" s="36" t="inlineStr"/>
      <c r="G88" s="36" t="inlineStr"/>
      <c r="H88" s="36" t="inlineStr"/>
      <c r="I88" s="27" t="inlineStr"/>
      <c r="J88" s="27" t="inlineStr"/>
      <c r="K88" s="27" t="inlineStr"/>
      <c r="L88" s="29" t="inlineStr"/>
      <c r="M88" s="27">
        <f>IF(G88="","",MAX(0,IF(H88&lt;&gt;"",H88-G88,IF(I88="Completed",0,TODAY()-G88))))</f>
        <v/>
      </c>
      <c r="N88" s="27" t="inlineStr"/>
    </row>
    <row r="89">
      <c r="A89" s="27" t="inlineStr"/>
      <c r="B89" s="27" t="inlineStr"/>
      <c r="C89" s="27" t="inlineStr"/>
      <c r="D89" s="27" t="inlineStr"/>
      <c r="E89" s="27" t="inlineStr"/>
      <c r="F89" s="36" t="inlineStr"/>
      <c r="G89" s="36" t="inlineStr"/>
      <c r="H89" s="36" t="inlineStr"/>
      <c r="I89" s="27" t="inlineStr"/>
      <c r="J89" s="27" t="inlineStr"/>
      <c r="K89" s="27" t="inlineStr"/>
      <c r="L89" s="29" t="inlineStr"/>
      <c r="M89" s="27">
        <f>IF(G89="","",MAX(0,IF(H89&lt;&gt;"",H89-G89,IF(I89="Completed",0,TODAY()-G89))))</f>
        <v/>
      </c>
      <c r="N89" s="27" t="inlineStr"/>
    </row>
    <row r="90">
      <c r="A90" s="27" t="inlineStr"/>
      <c r="B90" s="27" t="inlineStr"/>
      <c r="C90" s="27" t="inlineStr"/>
      <c r="D90" s="27" t="inlineStr"/>
      <c r="E90" s="27" t="inlineStr"/>
      <c r="F90" s="36" t="inlineStr"/>
      <c r="G90" s="36" t="inlineStr"/>
      <c r="H90" s="36" t="inlineStr"/>
      <c r="I90" s="27" t="inlineStr"/>
      <c r="J90" s="27" t="inlineStr"/>
      <c r="K90" s="27" t="inlineStr"/>
      <c r="L90" s="29" t="inlineStr"/>
      <c r="M90" s="27">
        <f>IF(G90="","",MAX(0,IF(H90&lt;&gt;"",H90-G90,IF(I90="Completed",0,TODAY()-G90))))</f>
        <v/>
      </c>
      <c r="N90" s="27" t="inlineStr"/>
    </row>
    <row r="91">
      <c r="A91" s="27" t="inlineStr"/>
      <c r="B91" s="27" t="inlineStr"/>
      <c r="C91" s="27" t="inlineStr"/>
      <c r="D91" s="27" t="inlineStr"/>
      <c r="E91" s="27" t="inlineStr"/>
      <c r="F91" s="36" t="inlineStr"/>
      <c r="G91" s="36" t="inlineStr"/>
      <c r="H91" s="36" t="inlineStr"/>
      <c r="I91" s="27" t="inlineStr"/>
      <c r="J91" s="27" t="inlineStr"/>
      <c r="K91" s="27" t="inlineStr"/>
      <c r="L91" s="29" t="inlineStr"/>
      <c r="M91" s="27">
        <f>IF(G91="","",MAX(0,IF(H91&lt;&gt;"",H91-G91,IF(I91="Completed",0,TODAY()-G91))))</f>
        <v/>
      </c>
      <c r="N91" s="27" t="inlineStr"/>
    </row>
    <row r="92">
      <c r="A92" s="27" t="inlineStr"/>
      <c r="B92" s="27" t="inlineStr"/>
      <c r="C92" s="27" t="inlineStr"/>
      <c r="D92" s="27" t="inlineStr"/>
      <c r="E92" s="27" t="inlineStr"/>
      <c r="F92" s="36" t="inlineStr"/>
      <c r="G92" s="36" t="inlineStr"/>
      <c r="H92" s="36" t="inlineStr"/>
      <c r="I92" s="27" t="inlineStr"/>
      <c r="J92" s="27" t="inlineStr"/>
      <c r="K92" s="27" t="inlineStr"/>
      <c r="L92" s="29" t="inlineStr"/>
      <c r="M92" s="27">
        <f>IF(G92="","",MAX(0,IF(H92&lt;&gt;"",H92-G92,IF(I92="Completed",0,TODAY()-G92))))</f>
        <v/>
      </c>
      <c r="N92" s="27" t="inlineStr"/>
    </row>
    <row r="93">
      <c r="A93" s="27" t="inlineStr"/>
      <c r="B93" s="27" t="inlineStr"/>
      <c r="C93" s="27" t="inlineStr"/>
      <c r="D93" s="27" t="inlineStr"/>
      <c r="E93" s="27" t="inlineStr"/>
      <c r="F93" s="36" t="inlineStr"/>
      <c r="G93" s="36" t="inlineStr"/>
      <c r="H93" s="36" t="inlineStr"/>
      <c r="I93" s="27" t="inlineStr"/>
      <c r="J93" s="27" t="inlineStr"/>
      <c r="K93" s="27" t="inlineStr"/>
      <c r="L93" s="29" t="inlineStr"/>
      <c r="M93" s="27">
        <f>IF(G93="","",MAX(0,IF(H93&lt;&gt;"",H93-G93,IF(I93="Completed",0,TODAY()-G93))))</f>
        <v/>
      </c>
      <c r="N93" s="27" t="inlineStr"/>
    </row>
    <row r="94">
      <c r="A94" s="27" t="inlineStr"/>
      <c r="B94" s="27" t="inlineStr"/>
      <c r="C94" s="27" t="inlineStr"/>
      <c r="D94" s="27" t="inlineStr"/>
      <c r="E94" s="27" t="inlineStr"/>
      <c r="F94" s="36" t="inlineStr"/>
      <c r="G94" s="36" t="inlineStr"/>
      <c r="H94" s="36" t="inlineStr"/>
      <c r="I94" s="27" t="inlineStr"/>
      <c r="J94" s="27" t="inlineStr"/>
      <c r="K94" s="27" t="inlineStr"/>
      <c r="L94" s="29" t="inlineStr"/>
      <c r="M94" s="27">
        <f>IF(G94="","",MAX(0,IF(H94&lt;&gt;"",H94-G94,IF(I94="Completed",0,TODAY()-G94))))</f>
        <v/>
      </c>
      <c r="N94" s="27" t="inlineStr"/>
    </row>
    <row r="95">
      <c r="A95" s="27" t="inlineStr"/>
      <c r="B95" s="27" t="inlineStr"/>
      <c r="C95" s="27" t="inlineStr"/>
      <c r="D95" s="27" t="inlineStr"/>
      <c r="E95" s="27" t="inlineStr"/>
      <c r="F95" s="36" t="inlineStr"/>
      <c r="G95" s="36" t="inlineStr"/>
      <c r="H95" s="36" t="inlineStr"/>
      <c r="I95" s="27" t="inlineStr"/>
      <c r="J95" s="27" t="inlineStr"/>
      <c r="K95" s="27" t="inlineStr"/>
      <c r="L95" s="29" t="inlineStr"/>
      <c r="M95" s="27">
        <f>IF(G95="","",MAX(0,IF(H95&lt;&gt;"",H95-G95,IF(I95="Completed",0,TODAY()-G95))))</f>
        <v/>
      </c>
      <c r="N95" s="27" t="inlineStr"/>
    </row>
    <row r="96">
      <c r="A96" s="27" t="inlineStr"/>
      <c r="B96" s="27" t="inlineStr"/>
      <c r="C96" s="27" t="inlineStr"/>
      <c r="D96" s="27" t="inlineStr"/>
      <c r="E96" s="27" t="inlineStr"/>
      <c r="F96" s="36" t="inlineStr"/>
      <c r="G96" s="36" t="inlineStr"/>
      <c r="H96" s="36" t="inlineStr"/>
      <c r="I96" s="27" t="inlineStr"/>
      <c r="J96" s="27" t="inlineStr"/>
      <c r="K96" s="27" t="inlineStr"/>
      <c r="L96" s="29" t="inlineStr"/>
      <c r="M96" s="27">
        <f>IF(G96="","",MAX(0,IF(H96&lt;&gt;"",H96-G96,IF(I96="Completed",0,TODAY()-G96))))</f>
        <v/>
      </c>
      <c r="N96" s="27" t="inlineStr"/>
    </row>
    <row r="97">
      <c r="A97" s="27" t="inlineStr"/>
      <c r="B97" s="27" t="inlineStr"/>
      <c r="C97" s="27" t="inlineStr"/>
      <c r="D97" s="27" t="inlineStr"/>
      <c r="E97" s="27" t="inlineStr"/>
      <c r="F97" s="36" t="inlineStr"/>
      <c r="G97" s="36" t="inlineStr"/>
      <c r="H97" s="36" t="inlineStr"/>
      <c r="I97" s="27" t="inlineStr"/>
      <c r="J97" s="27" t="inlineStr"/>
      <c r="K97" s="27" t="inlineStr"/>
      <c r="L97" s="29" t="inlineStr"/>
      <c r="M97" s="27">
        <f>IF(G97="","",MAX(0,IF(H97&lt;&gt;"",H97-G97,IF(I97="Completed",0,TODAY()-G97))))</f>
        <v/>
      </c>
      <c r="N97" s="27" t="inlineStr"/>
    </row>
    <row r="98">
      <c r="A98" s="27" t="inlineStr"/>
      <c r="B98" s="27" t="inlineStr"/>
      <c r="C98" s="27" t="inlineStr"/>
      <c r="D98" s="27" t="inlineStr"/>
      <c r="E98" s="27" t="inlineStr"/>
      <c r="F98" s="36" t="inlineStr"/>
      <c r="G98" s="36" t="inlineStr"/>
      <c r="H98" s="36" t="inlineStr"/>
      <c r="I98" s="27" t="inlineStr"/>
      <c r="J98" s="27" t="inlineStr"/>
      <c r="K98" s="27" t="inlineStr"/>
      <c r="L98" s="29" t="inlineStr"/>
      <c r="M98" s="27">
        <f>IF(G98="","",MAX(0,IF(H98&lt;&gt;"",H98-G98,IF(I98="Completed",0,TODAY()-G98))))</f>
        <v/>
      </c>
      <c r="N98" s="27" t="inlineStr"/>
    </row>
    <row r="99">
      <c r="A99" s="27" t="inlineStr"/>
      <c r="B99" s="27" t="inlineStr"/>
      <c r="C99" s="27" t="inlineStr"/>
      <c r="D99" s="27" t="inlineStr"/>
      <c r="E99" s="27" t="inlineStr"/>
      <c r="F99" s="36" t="inlineStr"/>
      <c r="G99" s="36" t="inlineStr"/>
      <c r="H99" s="36" t="inlineStr"/>
      <c r="I99" s="27" t="inlineStr"/>
      <c r="J99" s="27" t="inlineStr"/>
      <c r="K99" s="27" t="inlineStr"/>
      <c r="L99" s="29" t="inlineStr"/>
      <c r="M99" s="27">
        <f>IF(G99="","",MAX(0,IF(H99&lt;&gt;"",H99-G99,IF(I99="Completed",0,TODAY()-G99))))</f>
        <v/>
      </c>
      <c r="N99" s="27" t="inlineStr"/>
    </row>
    <row r="100">
      <c r="A100" s="27" t="inlineStr"/>
      <c r="B100" s="27" t="inlineStr"/>
      <c r="C100" s="27" t="inlineStr"/>
      <c r="D100" s="27" t="inlineStr"/>
      <c r="E100" s="27" t="inlineStr"/>
      <c r="F100" s="36" t="inlineStr"/>
      <c r="G100" s="36" t="inlineStr"/>
      <c r="H100" s="36" t="inlineStr"/>
      <c r="I100" s="27" t="inlineStr"/>
      <c r="J100" s="27" t="inlineStr"/>
      <c r="K100" s="27" t="inlineStr"/>
      <c r="L100" s="29" t="inlineStr"/>
      <c r="M100" s="27">
        <f>IF(G100="","",MAX(0,IF(H100&lt;&gt;"",H100-G100,IF(I100="Completed",0,TODAY()-G100))))</f>
        <v/>
      </c>
      <c r="N100" s="27" t="inlineStr"/>
    </row>
    <row r="101">
      <c r="A101" s="27" t="inlineStr"/>
      <c r="B101" s="27" t="inlineStr"/>
      <c r="C101" s="27" t="inlineStr"/>
      <c r="D101" s="27" t="inlineStr"/>
      <c r="E101" s="27" t="inlineStr"/>
      <c r="F101" s="36" t="inlineStr"/>
      <c r="G101" s="36" t="inlineStr"/>
      <c r="H101" s="36" t="inlineStr"/>
      <c r="I101" s="27" t="inlineStr"/>
      <c r="J101" s="27" t="inlineStr"/>
      <c r="K101" s="27" t="inlineStr"/>
      <c r="L101" s="29" t="inlineStr"/>
      <c r="M101" s="27">
        <f>IF(G101="","",MAX(0,IF(H101&lt;&gt;"",H101-G101,IF(I101="Completed",0,TODAY()-G101))))</f>
        <v/>
      </c>
      <c r="N101" s="27" t="inlineStr"/>
    </row>
    <row r="102">
      <c r="A102" s="27" t="inlineStr"/>
      <c r="B102" s="27" t="inlineStr"/>
      <c r="C102" s="27" t="inlineStr"/>
      <c r="D102" s="27" t="inlineStr"/>
      <c r="E102" s="27" t="inlineStr"/>
      <c r="F102" s="36" t="inlineStr"/>
      <c r="G102" s="36" t="inlineStr"/>
      <c r="H102" s="36" t="inlineStr"/>
      <c r="I102" s="27" t="inlineStr"/>
      <c r="J102" s="27" t="inlineStr"/>
      <c r="K102" s="27" t="inlineStr"/>
      <c r="L102" s="29" t="inlineStr"/>
      <c r="M102" s="27">
        <f>IF(G102="","",MAX(0,IF(H102&lt;&gt;"",H102-G102,IF(I102="Completed",0,TODAY()-G102))))</f>
        <v/>
      </c>
      <c r="N102" s="27" t="inlineStr"/>
    </row>
    <row r="103">
      <c r="A103" s="27" t="inlineStr"/>
      <c r="B103" s="27" t="inlineStr"/>
      <c r="C103" s="27" t="inlineStr"/>
      <c r="D103" s="27" t="inlineStr"/>
      <c r="E103" s="27" t="inlineStr"/>
      <c r="F103" s="36" t="inlineStr"/>
      <c r="G103" s="36" t="inlineStr"/>
      <c r="H103" s="36" t="inlineStr"/>
      <c r="I103" s="27" t="inlineStr"/>
      <c r="J103" s="27" t="inlineStr"/>
      <c r="K103" s="27" t="inlineStr"/>
      <c r="L103" s="29" t="inlineStr"/>
      <c r="M103" s="27">
        <f>IF(G103="","",MAX(0,IF(H103&lt;&gt;"",H103-G103,IF(I103="Completed",0,TODAY()-G103))))</f>
        <v/>
      </c>
      <c r="N103" s="27" t="inlineStr"/>
    </row>
    <row r="104">
      <c r="A104" s="27" t="inlineStr"/>
      <c r="B104" s="27" t="inlineStr"/>
      <c r="C104" s="27" t="inlineStr"/>
      <c r="D104" s="27" t="inlineStr"/>
      <c r="E104" s="27" t="inlineStr"/>
      <c r="F104" s="36" t="inlineStr"/>
      <c r="G104" s="36" t="inlineStr"/>
      <c r="H104" s="36" t="inlineStr"/>
      <c r="I104" s="27" t="inlineStr"/>
      <c r="J104" s="27" t="inlineStr"/>
      <c r="K104" s="27" t="inlineStr"/>
      <c r="L104" s="29" t="inlineStr"/>
      <c r="M104" s="27">
        <f>IF(G104="","",MAX(0,IF(H104&lt;&gt;"",H104-G104,IF(I104="Completed",0,TODAY()-G104))))</f>
        <v/>
      </c>
      <c r="N104" s="27" t="inlineStr"/>
    </row>
    <row r="105">
      <c r="A105" s="27" t="inlineStr"/>
      <c r="B105" s="27" t="inlineStr"/>
      <c r="C105" s="27" t="inlineStr"/>
      <c r="D105" s="27" t="inlineStr"/>
      <c r="E105" s="27" t="inlineStr"/>
      <c r="F105" s="36" t="inlineStr"/>
      <c r="G105" s="36" t="inlineStr"/>
      <c r="H105" s="36" t="inlineStr"/>
      <c r="I105" s="27" t="inlineStr"/>
      <c r="J105" s="27" t="inlineStr"/>
      <c r="K105" s="27" t="inlineStr"/>
      <c r="L105" s="29" t="inlineStr"/>
      <c r="M105" s="27">
        <f>IF(G105="","",MAX(0,IF(H105&lt;&gt;"",H105-G105,IF(I105="Completed",0,TODAY()-G105))))</f>
        <v/>
      </c>
      <c r="N105" s="27" t="inlineStr"/>
    </row>
    <row r="106">
      <c r="A106" s="27" t="inlineStr"/>
      <c r="B106" s="27" t="inlineStr"/>
      <c r="C106" s="27" t="inlineStr"/>
      <c r="D106" s="27" t="inlineStr"/>
      <c r="E106" s="27" t="inlineStr"/>
      <c r="F106" s="36" t="inlineStr"/>
      <c r="G106" s="36" t="inlineStr"/>
      <c r="H106" s="36" t="inlineStr"/>
      <c r="I106" s="27" t="inlineStr"/>
      <c r="J106" s="27" t="inlineStr"/>
      <c r="K106" s="27" t="inlineStr"/>
      <c r="L106" s="29" t="inlineStr"/>
      <c r="M106" s="27">
        <f>IF(G106="","",MAX(0,IF(H106&lt;&gt;"",H106-G106,IF(I106="Completed",0,TODAY()-G106))))</f>
        <v/>
      </c>
      <c r="N106" s="27" t="inlineStr"/>
    </row>
    <row r="107">
      <c r="A107" s="27" t="inlineStr"/>
      <c r="B107" s="27" t="inlineStr"/>
      <c r="C107" s="27" t="inlineStr"/>
      <c r="D107" s="27" t="inlineStr"/>
      <c r="E107" s="27" t="inlineStr"/>
      <c r="F107" s="36" t="inlineStr"/>
      <c r="G107" s="36" t="inlineStr"/>
      <c r="H107" s="36" t="inlineStr"/>
      <c r="I107" s="27" t="inlineStr"/>
      <c r="J107" s="27" t="inlineStr"/>
      <c r="K107" s="27" t="inlineStr"/>
      <c r="L107" s="29" t="inlineStr"/>
      <c r="M107" s="27">
        <f>IF(G107="","",MAX(0,IF(H107&lt;&gt;"",H107-G107,IF(I107="Completed",0,TODAY()-G107))))</f>
        <v/>
      </c>
      <c r="N107" s="27" t="inlineStr"/>
    </row>
    <row r="108">
      <c r="A108" s="27" t="inlineStr"/>
      <c r="B108" s="27" t="inlineStr"/>
      <c r="C108" s="27" t="inlineStr"/>
      <c r="D108" s="27" t="inlineStr"/>
      <c r="E108" s="27" t="inlineStr"/>
      <c r="F108" s="36" t="inlineStr"/>
      <c r="G108" s="36" t="inlineStr"/>
      <c r="H108" s="36" t="inlineStr"/>
      <c r="I108" s="27" t="inlineStr"/>
      <c r="J108" s="27" t="inlineStr"/>
      <c r="K108" s="27" t="inlineStr"/>
      <c r="L108" s="29" t="inlineStr"/>
      <c r="M108" s="27">
        <f>IF(G108="","",MAX(0,IF(H108&lt;&gt;"",H108-G108,IF(I108="Completed",0,TODAY()-G108))))</f>
        <v/>
      </c>
      <c r="N108" s="27" t="inlineStr"/>
    </row>
    <row r="109">
      <c r="A109" s="27" t="inlineStr"/>
      <c r="B109" s="27" t="inlineStr"/>
      <c r="C109" s="27" t="inlineStr"/>
      <c r="D109" s="27" t="inlineStr"/>
      <c r="E109" s="27" t="inlineStr"/>
      <c r="F109" s="36" t="inlineStr"/>
      <c r="G109" s="36" t="inlineStr"/>
      <c r="H109" s="36" t="inlineStr"/>
      <c r="I109" s="27" t="inlineStr"/>
      <c r="J109" s="27" t="inlineStr"/>
      <c r="K109" s="27" t="inlineStr"/>
      <c r="L109" s="29" t="inlineStr"/>
      <c r="M109" s="27">
        <f>IF(G109="","",MAX(0,IF(H109&lt;&gt;"",H109-G109,IF(I109="Completed",0,TODAY()-G109))))</f>
        <v/>
      </c>
      <c r="N109" s="27" t="inlineStr"/>
    </row>
    <row r="110">
      <c r="A110" s="27" t="inlineStr"/>
      <c r="B110" s="27" t="inlineStr"/>
      <c r="C110" s="27" t="inlineStr"/>
      <c r="D110" s="27" t="inlineStr"/>
      <c r="E110" s="27" t="inlineStr"/>
      <c r="F110" s="36" t="inlineStr"/>
      <c r="G110" s="36" t="inlineStr"/>
      <c r="H110" s="36" t="inlineStr"/>
      <c r="I110" s="27" t="inlineStr"/>
      <c r="J110" s="27" t="inlineStr"/>
      <c r="K110" s="27" t="inlineStr"/>
      <c r="L110" s="29" t="inlineStr"/>
      <c r="M110" s="27">
        <f>IF(G110="","",MAX(0,IF(H110&lt;&gt;"",H110-G110,IF(I110="Completed",0,TODAY()-G110))))</f>
        <v/>
      </c>
      <c r="N110" s="27" t="inlineStr"/>
    </row>
    <row r="111">
      <c r="A111" s="27" t="inlineStr"/>
      <c r="B111" s="27" t="inlineStr"/>
      <c r="C111" s="27" t="inlineStr"/>
      <c r="D111" s="27" t="inlineStr"/>
      <c r="E111" s="27" t="inlineStr"/>
      <c r="F111" s="36" t="inlineStr"/>
      <c r="G111" s="36" t="inlineStr"/>
      <c r="H111" s="36" t="inlineStr"/>
      <c r="I111" s="27" t="inlineStr"/>
      <c r="J111" s="27" t="inlineStr"/>
      <c r="K111" s="27" t="inlineStr"/>
      <c r="L111" s="29" t="inlineStr"/>
      <c r="M111" s="27">
        <f>IF(G111="","",MAX(0,IF(H111&lt;&gt;"",H111-G111,IF(I111="Completed",0,TODAY()-G111))))</f>
        <v/>
      </c>
      <c r="N111" s="27" t="inlineStr"/>
    </row>
    <row r="112">
      <c r="A112" s="27" t="inlineStr"/>
      <c r="B112" s="27" t="inlineStr"/>
      <c r="C112" s="27" t="inlineStr"/>
      <c r="D112" s="27" t="inlineStr"/>
      <c r="E112" s="27" t="inlineStr"/>
      <c r="F112" s="36" t="inlineStr"/>
      <c r="G112" s="36" t="inlineStr"/>
      <c r="H112" s="36" t="inlineStr"/>
      <c r="I112" s="27" t="inlineStr"/>
      <c r="J112" s="27" t="inlineStr"/>
      <c r="K112" s="27" t="inlineStr"/>
      <c r="L112" s="29" t="inlineStr"/>
      <c r="M112" s="27">
        <f>IF(G112="","",MAX(0,IF(H112&lt;&gt;"",H112-G112,IF(I112="Completed",0,TODAY()-G112))))</f>
        <v/>
      </c>
      <c r="N112" s="27" t="inlineStr"/>
    </row>
    <row r="113">
      <c r="A113" s="27" t="inlineStr"/>
      <c r="B113" s="27" t="inlineStr"/>
      <c r="C113" s="27" t="inlineStr"/>
      <c r="D113" s="27" t="inlineStr"/>
      <c r="E113" s="27" t="inlineStr"/>
      <c r="F113" s="36" t="inlineStr"/>
      <c r="G113" s="36" t="inlineStr"/>
      <c r="H113" s="36" t="inlineStr"/>
      <c r="I113" s="27" t="inlineStr"/>
      <c r="J113" s="27" t="inlineStr"/>
      <c r="K113" s="27" t="inlineStr"/>
      <c r="L113" s="29" t="inlineStr"/>
      <c r="M113" s="27">
        <f>IF(G113="","",MAX(0,IF(H113&lt;&gt;"",H113-G113,IF(I113="Completed",0,TODAY()-G113))))</f>
        <v/>
      </c>
      <c r="N113" s="27" t="inlineStr"/>
    </row>
    <row r="114">
      <c r="A114" s="27" t="inlineStr"/>
      <c r="B114" s="27" t="inlineStr"/>
      <c r="C114" s="27" t="inlineStr"/>
      <c r="D114" s="27" t="inlineStr"/>
      <c r="E114" s="27" t="inlineStr"/>
      <c r="F114" s="36" t="inlineStr"/>
      <c r="G114" s="36" t="inlineStr"/>
      <c r="H114" s="36" t="inlineStr"/>
      <c r="I114" s="27" t="inlineStr"/>
      <c r="J114" s="27" t="inlineStr"/>
      <c r="K114" s="27" t="inlineStr"/>
      <c r="L114" s="29" t="inlineStr"/>
      <c r="M114" s="27">
        <f>IF(G114="","",MAX(0,IF(H114&lt;&gt;"",H114-G114,IF(I114="Completed",0,TODAY()-G114))))</f>
        <v/>
      </c>
      <c r="N114" s="27" t="inlineStr"/>
    </row>
    <row r="115">
      <c r="A115" s="27" t="inlineStr"/>
      <c r="B115" s="27" t="inlineStr"/>
      <c r="C115" s="27" t="inlineStr"/>
      <c r="D115" s="27" t="inlineStr"/>
      <c r="E115" s="27" t="inlineStr"/>
      <c r="F115" s="36" t="inlineStr"/>
      <c r="G115" s="36" t="inlineStr"/>
      <c r="H115" s="36" t="inlineStr"/>
      <c r="I115" s="27" t="inlineStr"/>
      <c r="J115" s="27" t="inlineStr"/>
      <c r="K115" s="27" t="inlineStr"/>
      <c r="L115" s="29" t="inlineStr"/>
      <c r="M115" s="27">
        <f>IF(G115="","",MAX(0,IF(H115&lt;&gt;"",H115-G115,IF(I115="Completed",0,TODAY()-G115))))</f>
        <v/>
      </c>
      <c r="N115" s="27" t="inlineStr"/>
    </row>
    <row r="116">
      <c r="A116" s="27" t="inlineStr"/>
      <c r="B116" s="27" t="inlineStr"/>
      <c r="C116" s="27" t="inlineStr"/>
      <c r="D116" s="27" t="inlineStr"/>
      <c r="E116" s="27" t="inlineStr"/>
      <c r="F116" s="36" t="inlineStr"/>
      <c r="G116" s="36" t="inlineStr"/>
      <c r="H116" s="36" t="inlineStr"/>
      <c r="I116" s="27" t="inlineStr"/>
      <c r="J116" s="27" t="inlineStr"/>
      <c r="K116" s="27" t="inlineStr"/>
      <c r="L116" s="29" t="inlineStr"/>
      <c r="M116" s="27">
        <f>IF(G116="","",MAX(0,IF(H116&lt;&gt;"",H116-G116,IF(I116="Completed",0,TODAY()-G116))))</f>
        <v/>
      </c>
      <c r="N116" s="27" t="inlineStr"/>
    </row>
    <row r="117">
      <c r="A117" s="27" t="inlineStr"/>
      <c r="B117" s="27" t="inlineStr"/>
      <c r="C117" s="27" t="inlineStr"/>
      <c r="D117" s="27" t="inlineStr"/>
      <c r="E117" s="27" t="inlineStr"/>
      <c r="F117" s="36" t="inlineStr"/>
      <c r="G117" s="36" t="inlineStr"/>
      <c r="H117" s="36" t="inlineStr"/>
      <c r="I117" s="27" t="inlineStr"/>
      <c r="J117" s="27" t="inlineStr"/>
      <c r="K117" s="27" t="inlineStr"/>
      <c r="L117" s="29" t="inlineStr"/>
      <c r="M117" s="27">
        <f>IF(G117="","",MAX(0,IF(H117&lt;&gt;"",H117-G117,IF(I117="Completed",0,TODAY()-G117))))</f>
        <v/>
      </c>
      <c r="N117" s="27" t="inlineStr"/>
    </row>
    <row r="118">
      <c r="A118" s="27" t="inlineStr"/>
      <c r="B118" s="27" t="inlineStr"/>
      <c r="C118" s="27" t="inlineStr"/>
      <c r="D118" s="27" t="inlineStr"/>
      <c r="E118" s="27" t="inlineStr"/>
      <c r="F118" s="36" t="inlineStr"/>
      <c r="G118" s="36" t="inlineStr"/>
      <c r="H118" s="36" t="inlineStr"/>
      <c r="I118" s="27" t="inlineStr"/>
      <c r="J118" s="27" t="inlineStr"/>
      <c r="K118" s="27" t="inlineStr"/>
      <c r="L118" s="29" t="inlineStr"/>
      <c r="M118" s="27">
        <f>IF(G118="","",MAX(0,IF(H118&lt;&gt;"",H118-G118,IF(I118="Completed",0,TODAY()-G118))))</f>
        <v/>
      </c>
      <c r="N118" s="27" t="inlineStr"/>
    </row>
    <row r="119">
      <c r="A119" s="27" t="inlineStr"/>
      <c r="B119" s="27" t="inlineStr"/>
      <c r="C119" s="27" t="inlineStr"/>
      <c r="D119" s="27" t="inlineStr"/>
      <c r="E119" s="27" t="inlineStr"/>
      <c r="F119" s="36" t="inlineStr"/>
      <c r="G119" s="36" t="inlineStr"/>
      <c r="H119" s="36" t="inlineStr"/>
      <c r="I119" s="27" t="inlineStr"/>
      <c r="J119" s="27" t="inlineStr"/>
      <c r="K119" s="27" t="inlineStr"/>
      <c r="L119" s="29" t="inlineStr"/>
      <c r="M119" s="27">
        <f>IF(G119="","",MAX(0,IF(H119&lt;&gt;"",H119-G119,IF(I119="Completed",0,TODAY()-G119))))</f>
        <v/>
      </c>
      <c r="N119" s="27" t="inlineStr"/>
    </row>
    <row r="120">
      <c r="A120" s="27" t="inlineStr"/>
      <c r="B120" s="27" t="inlineStr"/>
      <c r="C120" s="27" t="inlineStr"/>
      <c r="D120" s="27" t="inlineStr"/>
      <c r="E120" s="27" t="inlineStr"/>
      <c r="F120" s="36" t="inlineStr"/>
      <c r="G120" s="36" t="inlineStr"/>
      <c r="H120" s="36" t="inlineStr"/>
      <c r="I120" s="27" t="inlineStr"/>
      <c r="J120" s="27" t="inlineStr"/>
      <c r="K120" s="27" t="inlineStr"/>
      <c r="L120" s="29" t="inlineStr"/>
      <c r="M120" s="27">
        <f>IF(G120="","",MAX(0,IF(H120&lt;&gt;"",H120-G120,IF(I120="Completed",0,TODAY()-G120))))</f>
        <v/>
      </c>
      <c r="N120" s="27" t="inlineStr"/>
    </row>
    <row r="121">
      <c r="A121" s="27" t="inlineStr"/>
      <c r="B121" s="27" t="inlineStr"/>
      <c r="C121" s="27" t="inlineStr"/>
      <c r="D121" s="27" t="inlineStr"/>
      <c r="E121" s="27" t="inlineStr"/>
      <c r="F121" s="36" t="inlineStr"/>
      <c r="G121" s="36" t="inlineStr"/>
      <c r="H121" s="36" t="inlineStr"/>
      <c r="I121" s="27" t="inlineStr"/>
      <c r="J121" s="27" t="inlineStr"/>
      <c r="K121" s="27" t="inlineStr"/>
      <c r="L121" s="29" t="inlineStr"/>
      <c r="M121" s="27">
        <f>IF(G121="","",MAX(0,IF(H121&lt;&gt;"",H121-G121,IF(I121="Completed",0,TODAY()-G121))))</f>
        <v/>
      </c>
      <c r="N121" s="27" t="inlineStr"/>
    </row>
    <row r="122">
      <c r="A122" s="27" t="inlineStr"/>
      <c r="B122" s="27" t="inlineStr"/>
      <c r="C122" s="27" t="inlineStr"/>
      <c r="D122" s="27" t="inlineStr"/>
      <c r="E122" s="27" t="inlineStr"/>
      <c r="F122" s="36" t="inlineStr"/>
      <c r="G122" s="36" t="inlineStr"/>
      <c r="H122" s="36" t="inlineStr"/>
      <c r="I122" s="27" t="inlineStr"/>
      <c r="J122" s="27" t="inlineStr"/>
      <c r="K122" s="27" t="inlineStr"/>
      <c r="L122" s="29" t="inlineStr"/>
      <c r="M122" s="27">
        <f>IF(G122="","",MAX(0,IF(H122&lt;&gt;"",H122-G122,IF(I122="Completed",0,TODAY()-G122))))</f>
        <v/>
      </c>
      <c r="N122" s="27" t="inlineStr"/>
    </row>
    <row r="123">
      <c r="A123" s="27" t="inlineStr"/>
      <c r="B123" s="27" t="inlineStr"/>
      <c r="C123" s="27" t="inlineStr"/>
      <c r="D123" s="27" t="inlineStr"/>
      <c r="E123" s="27" t="inlineStr"/>
      <c r="F123" s="36" t="inlineStr"/>
      <c r="G123" s="36" t="inlineStr"/>
      <c r="H123" s="36" t="inlineStr"/>
      <c r="I123" s="27" t="inlineStr"/>
      <c r="J123" s="27" t="inlineStr"/>
      <c r="K123" s="27" t="inlineStr"/>
      <c r="L123" s="29" t="inlineStr"/>
      <c r="M123" s="27">
        <f>IF(G123="","",MAX(0,IF(H123&lt;&gt;"",H123-G123,IF(I123="Completed",0,TODAY()-G123))))</f>
        <v/>
      </c>
      <c r="N123" s="27" t="inlineStr"/>
    </row>
    <row r="124">
      <c r="A124" s="27" t="inlineStr"/>
      <c r="B124" s="27" t="inlineStr"/>
      <c r="C124" s="27" t="inlineStr"/>
      <c r="D124" s="27" t="inlineStr"/>
      <c r="E124" s="27" t="inlineStr"/>
      <c r="F124" s="36" t="inlineStr"/>
      <c r="G124" s="36" t="inlineStr"/>
      <c r="H124" s="36" t="inlineStr"/>
      <c r="I124" s="27" t="inlineStr"/>
      <c r="J124" s="27" t="inlineStr"/>
      <c r="K124" s="27" t="inlineStr"/>
      <c r="L124" s="29" t="inlineStr"/>
      <c r="M124" s="27">
        <f>IF(G124="","",MAX(0,IF(H124&lt;&gt;"",H124-G124,IF(I124="Completed",0,TODAY()-G124))))</f>
        <v/>
      </c>
      <c r="N124" s="27" t="inlineStr"/>
    </row>
    <row r="125">
      <c r="A125" s="27" t="inlineStr"/>
      <c r="B125" s="27" t="inlineStr"/>
      <c r="C125" s="27" t="inlineStr"/>
      <c r="D125" s="27" t="inlineStr"/>
      <c r="E125" s="27" t="inlineStr"/>
      <c r="F125" s="36" t="inlineStr"/>
      <c r="G125" s="36" t="inlineStr"/>
      <c r="H125" s="36" t="inlineStr"/>
      <c r="I125" s="27" t="inlineStr"/>
      <c r="J125" s="27" t="inlineStr"/>
      <c r="K125" s="27" t="inlineStr"/>
      <c r="L125" s="29" t="inlineStr"/>
      <c r="M125" s="27">
        <f>IF(G125="","",MAX(0,IF(H125&lt;&gt;"",H125-G125,IF(I125="Completed",0,TODAY()-G125))))</f>
        <v/>
      </c>
      <c r="N125" s="27" t="inlineStr"/>
    </row>
    <row r="126">
      <c r="A126" s="27" t="inlineStr"/>
      <c r="B126" s="27" t="inlineStr"/>
      <c r="C126" s="27" t="inlineStr"/>
      <c r="D126" s="27" t="inlineStr"/>
      <c r="E126" s="27" t="inlineStr"/>
      <c r="F126" s="36" t="inlineStr"/>
      <c r="G126" s="36" t="inlineStr"/>
      <c r="H126" s="36" t="inlineStr"/>
      <c r="I126" s="27" t="inlineStr"/>
      <c r="J126" s="27" t="inlineStr"/>
      <c r="K126" s="27" t="inlineStr"/>
      <c r="L126" s="29" t="inlineStr"/>
      <c r="M126" s="27">
        <f>IF(G126="","",MAX(0,IF(H126&lt;&gt;"",H126-G126,IF(I126="Completed",0,TODAY()-G126))))</f>
        <v/>
      </c>
      <c r="N126" s="27" t="inlineStr"/>
    </row>
    <row r="127">
      <c r="A127" s="27" t="inlineStr"/>
      <c r="B127" s="27" t="inlineStr"/>
      <c r="C127" s="27" t="inlineStr"/>
      <c r="D127" s="27" t="inlineStr"/>
      <c r="E127" s="27" t="inlineStr"/>
      <c r="F127" s="36" t="inlineStr"/>
      <c r="G127" s="36" t="inlineStr"/>
      <c r="H127" s="36" t="inlineStr"/>
      <c r="I127" s="27" t="inlineStr"/>
      <c r="J127" s="27" t="inlineStr"/>
      <c r="K127" s="27" t="inlineStr"/>
      <c r="L127" s="29" t="inlineStr"/>
      <c r="M127" s="27">
        <f>IF(G127="","",MAX(0,IF(H127&lt;&gt;"",H127-G127,IF(I127="Completed",0,TODAY()-G127))))</f>
        <v/>
      </c>
      <c r="N127" s="27" t="inlineStr"/>
    </row>
    <row r="128">
      <c r="A128" s="27" t="inlineStr"/>
      <c r="B128" s="27" t="inlineStr"/>
      <c r="C128" s="27" t="inlineStr"/>
      <c r="D128" s="27" t="inlineStr"/>
      <c r="E128" s="27" t="inlineStr"/>
      <c r="F128" s="36" t="inlineStr"/>
      <c r="G128" s="36" t="inlineStr"/>
      <c r="H128" s="36" t="inlineStr"/>
      <c r="I128" s="27" t="inlineStr"/>
      <c r="J128" s="27" t="inlineStr"/>
      <c r="K128" s="27" t="inlineStr"/>
      <c r="L128" s="29" t="inlineStr"/>
      <c r="M128" s="27">
        <f>IF(G128="","",MAX(0,IF(H128&lt;&gt;"",H128-G128,IF(I128="Completed",0,TODAY()-G128))))</f>
        <v/>
      </c>
      <c r="N128" s="27" t="inlineStr"/>
    </row>
    <row r="129">
      <c r="A129" s="27" t="inlineStr"/>
      <c r="B129" s="27" t="inlineStr"/>
      <c r="C129" s="27" t="inlineStr"/>
      <c r="D129" s="27" t="inlineStr"/>
      <c r="E129" s="27" t="inlineStr"/>
      <c r="F129" s="36" t="inlineStr"/>
      <c r="G129" s="36" t="inlineStr"/>
      <c r="H129" s="36" t="inlineStr"/>
      <c r="I129" s="27" t="inlineStr"/>
      <c r="J129" s="27" t="inlineStr"/>
      <c r="K129" s="27" t="inlineStr"/>
      <c r="L129" s="29" t="inlineStr"/>
      <c r="M129" s="27">
        <f>IF(G129="","",MAX(0,IF(H129&lt;&gt;"",H129-G129,IF(I129="Completed",0,TODAY()-G129))))</f>
        <v/>
      </c>
      <c r="N129" s="27" t="inlineStr"/>
    </row>
    <row r="130">
      <c r="A130" s="27" t="inlineStr"/>
      <c r="B130" s="27" t="inlineStr"/>
      <c r="C130" s="27" t="inlineStr"/>
      <c r="D130" s="27" t="inlineStr"/>
      <c r="E130" s="27" t="inlineStr"/>
      <c r="F130" s="36" t="inlineStr"/>
      <c r="G130" s="36" t="inlineStr"/>
      <c r="H130" s="36" t="inlineStr"/>
      <c r="I130" s="27" t="inlineStr"/>
      <c r="J130" s="27" t="inlineStr"/>
      <c r="K130" s="27" t="inlineStr"/>
      <c r="L130" s="29" t="inlineStr"/>
      <c r="M130" s="27">
        <f>IF(G130="","",MAX(0,IF(H130&lt;&gt;"",H130-G130,IF(I130="Completed",0,TODAY()-G130))))</f>
        <v/>
      </c>
      <c r="N130" s="27" t="inlineStr"/>
    </row>
    <row r="131">
      <c r="A131" s="27" t="inlineStr"/>
      <c r="B131" s="27" t="inlineStr"/>
      <c r="C131" s="27" t="inlineStr"/>
      <c r="D131" s="27" t="inlineStr"/>
      <c r="E131" s="27" t="inlineStr"/>
      <c r="F131" s="36" t="inlineStr"/>
      <c r="G131" s="36" t="inlineStr"/>
      <c r="H131" s="36" t="inlineStr"/>
      <c r="I131" s="27" t="inlineStr"/>
      <c r="J131" s="27" t="inlineStr"/>
      <c r="K131" s="27" t="inlineStr"/>
      <c r="L131" s="29" t="inlineStr"/>
      <c r="M131" s="27">
        <f>IF(G131="","",MAX(0,IF(H131&lt;&gt;"",H131-G131,IF(I131="Completed",0,TODAY()-G131))))</f>
        <v/>
      </c>
      <c r="N131" s="27" t="inlineStr"/>
    </row>
    <row r="132">
      <c r="A132" s="27" t="inlineStr"/>
      <c r="B132" s="27" t="inlineStr"/>
      <c r="C132" s="27" t="inlineStr"/>
      <c r="D132" s="27" t="inlineStr"/>
      <c r="E132" s="27" t="inlineStr"/>
      <c r="F132" s="36" t="inlineStr"/>
      <c r="G132" s="36" t="inlineStr"/>
      <c r="H132" s="36" t="inlineStr"/>
      <c r="I132" s="27" t="inlineStr"/>
      <c r="J132" s="27" t="inlineStr"/>
      <c r="K132" s="27" t="inlineStr"/>
      <c r="L132" s="29" t="inlineStr"/>
      <c r="M132" s="27">
        <f>IF(G132="","",MAX(0,IF(H132&lt;&gt;"",H132-G132,IF(I132="Completed",0,TODAY()-G132))))</f>
        <v/>
      </c>
      <c r="N132" s="27" t="inlineStr"/>
    </row>
    <row r="133">
      <c r="A133" s="27" t="inlineStr"/>
      <c r="B133" s="27" t="inlineStr"/>
      <c r="C133" s="27" t="inlineStr"/>
      <c r="D133" s="27" t="inlineStr"/>
      <c r="E133" s="27" t="inlineStr"/>
      <c r="F133" s="36" t="inlineStr"/>
      <c r="G133" s="36" t="inlineStr"/>
      <c r="H133" s="36" t="inlineStr"/>
      <c r="I133" s="27" t="inlineStr"/>
      <c r="J133" s="27" t="inlineStr"/>
      <c r="K133" s="27" t="inlineStr"/>
      <c r="L133" s="29" t="inlineStr"/>
      <c r="M133" s="27">
        <f>IF(G133="","",MAX(0,IF(H133&lt;&gt;"",H133-G133,IF(I133="Completed",0,TODAY()-G133))))</f>
        <v/>
      </c>
      <c r="N133" s="27" t="inlineStr"/>
    </row>
    <row r="134">
      <c r="A134" s="27" t="inlineStr"/>
      <c r="B134" s="27" t="inlineStr"/>
      <c r="C134" s="27" t="inlineStr"/>
      <c r="D134" s="27" t="inlineStr"/>
      <c r="E134" s="27" t="inlineStr"/>
      <c r="F134" s="36" t="inlineStr"/>
      <c r="G134" s="36" t="inlineStr"/>
      <c r="H134" s="36" t="inlineStr"/>
      <c r="I134" s="27" t="inlineStr"/>
      <c r="J134" s="27" t="inlineStr"/>
      <c r="K134" s="27" t="inlineStr"/>
      <c r="L134" s="29" t="inlineStr"/>
      <c r="M134" s="27">
        <f>IF(G134="","",MAX(0,IF(H134&lt;&gt;"",H134-G134,IF(I134="Completed",0,TODAY()-G134))))</f>
        <v/>
      </c>
      <c r="N134" s="27" t="inlineStr"/>
    </row>
    <row r="135">
      <c r="A135" s="27" t="inlineStr"/>
      <c r="B135" s="27" t="inlineStr"/>
      <c r="C135" s="27" t="inlineStr"/>
      <c r="D135" s="27" t="inlineStr"/>
      <c r="E135" s="27" t="inlineStr"/>
      <c r="F135" s="36" t="inlineStr"/>
      <c r="G135" s="36" t="inlineStr"/>
      <c r="H135" s="36" t="inlineStr"/>
      <c r="I135" s="27" t="inlineStr"/>
      <c r="J135" s="27" t="inlineStr"/>
      <c r="K135" s="27" t="inlineStr"/>
      <c r="L135" s="29" t="inlineStr"/>
      <c r="M135" s="27">
        <f>IF(G135="","",MAX(0,IF(H135&lt;&gt;"",H135-G135,IF(I135="Completed",0,TODAY()-G135))))</f>
        <v/>
      </c>
      <c r="N135" s="27" t="inlineStr"/>
    </row>
    <row r="136">
      <c r="A136" s="27" t="inlineStr"/>
      <c r="B136" s="27" t="inlineStr"/>
      <c r="C136" s="27" t="inlineStr"/>
      <c r="D136" s="27" t="inlineStr"/>
      <c r="E136" s="27" t="inlineStr"/>
      <c r="F136" s="36" t="inlineStr"/>
      <c r="G136" s="36" t="inlineStr"/>
      <c r="H136" s="36" t="inlineStr"/>
      <c r="I136" s="27" t="inlineStr"/>
      <c r="J136" s="27" t="inlineStr"/>
      <c r="K136" s="27" t="inlineStr"/>
      <c r="L136" s="29" t="inlineStr"/>
      <c r="M136" s="27">
        <f>IF(G136="","",MAX(0,IF(H136&lt;&gt;"",H136-G136,IF(I136="Completed",0,TODAY()-G136))))</f>
        <v/>
      </c>
      <c r="N136" s="27" t="inlineStr"/>
    </row>
    <row r="137">
      <c r="A137" s="27" t="inlineStr"/>
      <c r="B137" s="27" t="inlineStr"/>
      <c r="C137" s="27" t="inlineStr"/>
      <c r="D137" s="27" t="inlineStr"/>
      <c r="E137" s="27" t="inlineStr"/>
      <c r="F137" s="36" t="inlineStr"/>
      <c r="G137" s="36" t="inlineStr"/>
      <c r="H137" s="36" t="inlineStr"/>
      <c r="I137" s="27" t="inlineStr"/>
      <c r="J137" s="27" t="inlineStr"/>
      <c r="K137" s="27" t="inlineStr"/>
      <c r="L137" s="29" t="inlineStr"/>
      <c r="M137" s="27">
        <f>IF(G137="","",MAX(0,IF(H137&lt;&gt;"",H137-G137,IF(I137="Completed",0,TODAY()-G137))))</f>
        <v/>
      </c>
      <c r="N137" s="27" t="inlineStr"/>
    </row>
    <row r="138">
      <c r="A138" s="27" t="inlineStr"/>
      <c r="B138" s="27" t="inlineStr"/>
      <c r="C138" s="27" t="inlineStr"/>
      <c r="D138" s="27" t="inlineStr"/>
      <c r="E138" s="27" t="inlineStr"/>
      <c r="F138" s="36" t="inlineStr"/>
      <c r="G138" s="36" t="inlineStr"/>
      <c r="H138" s="36" t="inlineStr"/>
      <c r="I138" s="27" t="inlineStr"/>
      <c r="J138" s="27" t="inlineStr"/>
      <c r="K138" s="27" t="inlineStr"/>
      <c r="L138" s="29" t="inlineStr"/>
      <c r="M138" s="27">
        <f>IF(G138="","",MAX(0,IF(H138&lt;&gt;"",H138-G138,IF(I138="Completed",0,TODAY()-G138))))</f>
        <v/>
      </c>
      <c r="N138" s="27" t="inlineStr"/>
    </row>
    <row r="139">
      <c r="A139" s="27" t="inlineStr"/>
      <c r="B139" s="27" t="inlineStr"/>
      <c r="C139" s="27" t="inlineStr"/>
      <c r="D139" s="27" t="inlineStr"/>
      <c r="E139" s="27" t="inlineStr"/>
      <c r="F139" s="36" t="inlineStr"/>
      <c r="G139" s="36" t="inlineStr"/>
      <c r="H139" s="36" t="inlineStr"/>
      <c r="I139" s="27" t="inlineStr"/>
      <c r="J139" s="27" t="inlineStr"/>
      <c r="K139" s="27" t="inlineStr"/>
      <c r="L139" s="29" t="inlineStr"/>
      <c r="M139" s="27">
        <f>IF(G139="","",MAX(0,IF(H139&lt;&gt;"",H139-G139,IF(I139="Completed",0,TODAY()-G139))))</f>
        <v/>
      </c>
      <c r="N139" s="27" t="inlineStr"/>
    </row>
    <row r="140">
      <c r="A140" s="27" t="inlineStr"/>
      <c r="B140" s="27" t="inlineStr"/>
      <c r="C140" s="27" t="inlineStr"/>
      <c r="D140" s="27" t="inlineStr"/>
      <c r="E140" s="27" t="inlineStr"/>
      <c r="F140" s="36" t="inlineStr"/>
      <c r="G140" s="36" t="inlineStr"/>
      <c r="H140" s="36" t="inlineStr"/>
      <c r="I140" s="27" t="inlineStr"/>
      <c r="J140" s="27" t="inlineStr"/>
      <c r="K140" s="27" t="inlineStr"/>
      <c r="L140" s="29" t="inlineStr"/>
      <c r="M140" s="27">
        <f>IF(G140="","",MAX(0,IF(H140&lt;&gt;"",H140-G140,IF(I140="Completed",0,TODAY()-G140))))</f>
        <v/>
      </c>
      <c r="N140" s="27" t="inlineStr"/>
    </row>
    <row r="141">
      <c r="A141" s="27" t="inlineStr"/>
      <c r="B141" s="27" t="inlineStr"/>
      <c r="C141" s="27" t="inlineStr"/>
      <c r="D141" s="27" t="inlineStr"/>
      <c r="E141" s="27" t="inlineStr"/>
      <c r="F141" s="36" t="inlineStr"/>
      <c r="G141" s="36" t="inlineStr"/>
      <c r="H141" s="36" t="inlineStr"/>
      <c r="I141" s="27" t="inlineStr"/>
      <c r="J141" s="27" t="inlineStr"/>
      <c r="K141" s="27" t="inlineStr"/>
      <c r="L141" s="29" t="inlineStr"/>
      <c r="M141" s="27">
        <f>IF(G141="","",MAX(0,IF(H141&lt;&gt;"",H141-G141,IF(I141="Completed",0,TODAY()-G141))))</f>
        <v/>
      </c>
      <c r="N141" s="27" t="inlineStr"/>
    </row>
    <row r="142">
      <c r="A142" s="27" t="inlineStr"/>
      <c r="B142" s="27" t="inlineStr"/>
      <c r="C142" s="27" t="inlineStr"/>
      <c r="D142" s="27" t="inlineStr"/>
      <c r="E142" s="27" t="inlineStr"/>
      <c r="F142" s="36" t="inlineStr"/>
      <c r="G142" s="36" t="inlineStr"/>
      <c r="H142" s="36" t="inlineStr"/>
      <c r="I142" s="27" t="inlineStr"/>
      <c r="J142" s="27" t="inlineStr"/>
      <c r="K142" s="27" t="inlineStr"/>
      <c r="L142" s="29" t="inlineStr"/>
      <c r="M142" s="27">
        <f>IF(G142="","",MAX(0,IF(H142&lt;&gt;"",H142-G142,IF(I142="Completed",0,TODAY()-G142))))</f>
        <v/>
      </c>
      <c r="N142" s="27" t="inlineStr"/>
    </row>
    <row r="143">
      <c r="A143" s="27" t="inlineStr"/>
      <c r="B143" s="27" t="inlineStr"/>
      <c r="C143" s="27" t="inlineStr"/>
      <c r="D143" s="27" t="inlineStr"/>
      <c r="E143" s="27" t="inlineStr"/>
      <c r="F143" s="36" t="inlineStr"/>
      <c r="G143" s="36" t="inlineStr"/>
      <c r="H143" s="36" t="inlineStr"/>
      <c r="I143" s="27" t="inlineStr"/>
      <c r="J143" s="27" t="inlineStr"/>
      <c r="K143" s="27" t="inlineStr"/>
      <c r="L143" s="29" t="inlineStr"/>
      <c r="M143" s="27">
        <f>IF(G143="","",MAX(0,IF(H143&lt;&gt;"",H143-G143,IF(I143="Completed",0,TODAY()-G143))))</f>
        <v/>
      </c>
      <c r="N143" s="27" t="inlineStr"/>
    </row>
    <row r="144">
      <c r="A144" s="27" t="inlineStr"/>
      <c r="B144" s="27" t="inlineStr"/>
      <c r="C144" s="27" t="inlineStr"/>
      <c r="D144" s="27" t="inlineStr"/>
      <c r="E144" s="27" t="inlineStr"/>
      <c r="F144" s="36" t="inlineStr"/>
      <c r="G144" s="36" t="inlineStr"/>
      <c r="H144" s="36" t="inlineStr"/>
      <c r="I144" s="27" t="inlineStr"/>
      <c r="J144" s="27" t="inlineStr"/>
      <c r="K144" s="27" t="inlineStr"/>
      <c r="L144" s="29" t="inlineStr"/>
      <c r="M144" s="27">
        <f>IF(G144="","",MAX(0,IF(H144&lt;&gt;"",H144-G144,IF(I144="Completed",0,TODAY()-G144))))</f>
        <v/>
      </c>
      <c r="N144" s="27" t="inlineStr"/>
    </row>
    <row r="145">
      <c r="A145" s="27" t="inlineStr"/>
      <c r="B145" s="27" t="inlineStr"/>
      <c r="C145" s="27" t="inlineStr"/>
      <c r="D145" s="27" t="inlineStr"/>
      <c r="E145" s="27" t="inlineStr"/>
      <c r="F145" s="36" t="inlineStr"/>
      <c r="G145" s="36" t="inlineStr"/>
      <c r="H145" s="36" t="inlineStr"/>
      <c r="I145" s="27" t="inlineStr"/>
      <c r="J145" s="27" t="inlineStr"/>
      <c r="K145" s="27" t="inlineStr"/>
      <c r="L145" s="29" t="inlineStr"/>
      <c r="M145" s="27">
        <f>IF(G145="","",MAX(0,IF(H145&lt;&gt;"",H145-G145,IF(I145="Completed",0,TODAY()-G145))))</f>
        <v/>
      </c>
      <c r="N145" s="27" t="inlineStr"/>
    </row>
    <row r="146">
      <c r="A146" s="27" t="inlineStr"/>
      <c r="B146" s="27" t="inlineStr"/>
      <c r="C146" s="27" t="inlineStr"/>
      <c r="D146" s="27" t="inlineStr"/>
      <c r="E146" s="27" t="inlineStr"/>
      <c r="F146" s="36" t="inlineStr"/>
      <c r="G146" s="36" t="inlineStr"/>
      <c r="H146" s="36" t="inlineStr"/>
      <c r="I146" s="27" t="inlineStr"/>
      <c r="J146" s="27" t="inlineStr"/>
      <c r="K146" s="27" t="inlineStr"/>
      <c r="L146" s="29" t="inlineStr"/>
      <c r="M146" s="27">
        <f>IF(G146="","",MAX(0,IF(H146&lt;&gt;"",H146-G146,IF(I146="Completed",0,TODAY()-G146))))</f>
        <v/>
      </c>
      <c r="N146" s="27" t="inlineStr"/>
    </row>
    <row r="147">
      <c r="A147" s="27" t="inlineStr"/>
      <c r="B147" s="27" t="inlineStr"/>
      <c r="C147" s="27" t="inlineStr"/>
      <c r="D147" s="27" t="inlineStr"/>
      <c r="E147" s="27" t="inlineStr"/>
      <c r="F147" s="36" t="inlineStr"/>
      <c r="G147" s="36" t="inlineStr"/>
      <c r="H147" s="36" t="inlineStr"/>
      <c r="I147" s="27" t="inlineStr"/>
      <c r="J147" s="27" t="inlineStr"/>
      <c r="K147" s="27" t="inlineStr"/>
      <c r="L147" s="29" t="inlineStr"/>
      <c r="M147" s="27">
        <f>IF(G147="","",MAX(0,IF(H147&lt;&gt;"",H147-G147,IF(I147="Completed",0,TODAY()-G147))))</f>
        <v/>
      </c>
      <c r="N147" s="27" t="inlineStr"/>
    </row>
    <row r="148">
      <c r="A148" s="27" t="inlineStr"/>
      <c r="B148" s="27" t="inlineStr"/>
      <c r="C148" s="27" t="inlineStr"/>
      <c r="D148" s="27" t="inlineStr"/>
      <c r="E148" s="27" t="inlineStr"/>
      <c r="F148" s="36" t="inlineStr"/>
      <c r="G148" s="36" t="inlineStr"/>
      <c r="H148" s="36" t="inlineStr"/>
      <c r="I148" s="27" t="inlineStr"/>
      <c r="J148" s="27" t="inlineStr"/>
      <c r="K148" s="27" t="inlineStr"/>
      <c r="L148" s="29" t="inlineStr"/>
      <c r="M148" s="27">
        <f>IF(G148="","",MAX(0,IF(H148&lt;&gt;"",H148-G148,IF(I148="Completed",0,TODAY()-G148))))</f>
        <v/>
      </c>
      <c r="N148" s="27" t="inlineStr"/>
    </row>
    <row r="149">
      <c r="A149" s="27" t="inlineStr"/>
      <c r="B149" s="27" t="inlineStr"/>
      <c r="C149" s="27" t="inlineStr"/>
      <c r="D149" s="27" t="inlineStr"/>
      <c r="E149" s="27" t="inlineStr"/>
      <c r="F149" s="36" t="inlineStr"/>
      <c r="G149" s="36" t="inlineStr"/>
      <c r="H149" s="36" t="inlineStr"/>
      <c r="I149" s="27" t="inlineStr"/>
      <c r="J149" s="27" t="inlineStr"/>
      <c r="K149" s="27" t="inlineStr"/>
      <c r="L149" s="29" t="inlineStr"/>
      <c r="M149" s="27">
        <f>IF(G149="","",MAX(0,IF(H149&lt;&gt;"",H149-G149,IF(I149="Completed",0,TODAY()-G149))))</f>
        <v/>
      </c>
      <c r="N149" s="27" t="inlineStr"/>
    </row>
    <row r="150">
      <c r="A150" s="27" t="inlineStr"/>
      <c r="B150" s="27" t="inlineStr"/>
      <c r="C150" s="27" t="inlineStr"/>
      <c r="D150" s="27" t="inlineStr"/>
      <c r="E150" s="27" t="inlineStr"/>
      <c r="F150" s="36" t="inlineStr"/>
      <c r="G150" s="36" t="inlineStr"/>
      <c r="H150" s="36" t="inlineStr"/>
      <c r="I150" s="27" t="inlineStr"/>
      <c r="J150" s="27" t="inlineStr"/>
      <c r="K150" s="27" t="inlineStr"/>
      <c r="L150" s="29" t="inlineStr"/>
      <c r="M150" s="27">
        <f>IF(G150="","",MAX(0,IF(H150&lt;&gt;"",H150-G150,IF(I150="Completed",0,TODAY()-G150))))</f>
        <v/>
      </c>
      <c r="N150" s="27" t="inlineStr"/>
    </row>
    <row r="151">
      <c r="A151" s="27" t="inlineStr"/>
      <c r="B151" s="27" t="inlineStr"/>
      <c r="C151" s="27" t="inlineStr"/>
      <c r="D151" s="27" t="inlineStr"/>
      <c r="E151" s="27" t="inlineStr"/>
      <c r="F151" s="36" t="inlineStr"/>
      <c r="G151" s="36" t="inlineStr"/>
      <c r="H151" s="36" t="inlineStr"/>
      <c r="I151" s="27" t="inlineStr"/>
      <c r="J151" s="27" t="inlineStr"/>
      <c r="K151" s="27" t="inlineStr"/>
      <c r="L151" s="29" t="inlineStr"/>
      <c r="M151" s="27">
        <f>IF(G151="","",MAX(0,IF(H151&lt;&gt;"",H151-G151,IF(I151="Completed",0,TODAY()-G151))))</f>
        <v/>
      </c>
      <c r="N151" s="27" t="inlineStr"/>
    </row>
    <row r="152">
      <c r="A152" s="27" t="inlineStr"/>
      <c r="B152" s="27" t="inlineStr"/>
      <c r="C152" s="27" t="inlineStr"/>
      <c r="D152" s="27" t="inlineStr"/>
      <c r="E152" s="27" t="inlineStr"/>
      <c r="F152" s="36" t="inlineStr"/>
      <c r="G152" s="36" t="inlineStr"/>
      <c r="H152" s="36" t="inlineStr"/>
      <c r="I152" s="27" t="inlineStr"/>
      <c r="J152" s="27" t="inlineStr"/>
      <c r="K152" s="27" t="inlineStr"/>
      <c r="L152" s="29" t="inlineStr"/>
      <c r="M152" s="27">
        <f>IF(G152="","",MAX(0,IF(H152&lt;&gt;"",H152-G152,IF(I152="Completed",0,TODAY()-G152))))</f>
        <v/>
      </c>
      <c r="N152" s="27" t="inlineStr"/>
    </row>
    <row r="153">
      <c r="A153" s="27" t="inlineStr"/>
      <c r="B153" s="27" t="inlineStr"/>
      <c r="C153" s="27" t="inlineStr"/>
      <c r="D153" s="27" t="inlineStr"/>
      <c r="E153" s="27" t="inlineStr"/>
      <c r="F153" s="36" t="inlineStr"/>
      <c r="G153" s="36" t="inlineStr"/>
      <c r="H153" s="36" t="inlineStr"/>
      <c r="I153" s="27" t="inlineStr"/>
      <c r="J153" s="27" t="inlineStr"/>
      <c r="K153" s="27" t="inlineStr"/>
      <c r="L153" s="29" t="inlineStr"/>
      <c r="M153" s="27">
        <f>IF(G153="","",MAX(0,IF(H153&lt;&gt;"",H153-G153,IF(I153="Completed",0,TODAY()-G153))))</f>
        <v/>
      </c>
      <c r="N153" s="27" t="inlineStr"/>
    </row>
    <row r="154">
      <c r="A154" s="27" t="inlineStr"/>
      <c r="B154" s="27" t="inlineStr"/>
      <c r="C154" s="27" t="inlineStr"/>
      <c r="D154" s="27" t="inlineStr"/>
      <c r="E154" s="27" t="inlineStr"/>
      <c r="F154" s="36" t="inlineStr"/>
      <c r="G154" s="36" t="inlineStr"/>
      <c r="H154" s="36" t="inlineStr"/>
      <c r="I154" s="27" t="inlineStr"/>
      <c r="J154" s="27" t="inlineStr"/>
      <c r="K154" s="27" t="inlineStr"/>
      <c r="L154" s="29" t="inlineStr"/>
      <c r="M154" s="27">
        <f>IF(G154="","",MAX(0,IF(H154&lt;&gt;"",H154-G154,IF(I154="Completed",0,TODAY()-G154))))</f>
        <v/>
      </c>
      <c r="N154" s="27" t="inlineStr"/>
    </row>
    <row r="155">
      <c r="A155" s="27" t="inlineStr"/>
      <c r="B155" s="27" t="inlineStr"/>
      <c r="C155" s="27" t="inlineStr"/>
      <c r="D155" s="27" t="inlineStr"/>
      <c r="E155" s="27" t="inlineStr"/>
      <c r="F155" s="36" t="inlineStr"/>
      <c r="G155" s="36" t="inlineStr"/>
      <c r="H155" s="36" t="inlineStr"/>
      <c r="I155" s="27" t="inlineStr"/>
      <c r="J155" s="27" t="inlineStr"/>
      <c r="K155" s="27" t="inlineStr"/>
      <c r="L155" s="29" t="inlineStr"/>
      <c r="M155" s="27">
        <f>IF(G155="","",MAX(0,IF(H155&lt;&gt;"",H155-G155,IF(I155="Completed",0,TODAY()-G155))))</f>
        <v/>
      </c>
      <c r="N155" s="27" t="inlineStr"/>
    </row>
    <row r="156">
      <c r="A156" s="27" t="inlineStr"/>
      <c r="B156" s="27" t="inlineStr"/>
      <c r="C156" s="27" t="inlineStr"/>
      <c r="D156" s="27" t="inlineStr"/>
      <c r="E156" s="27" t="inlineStr"/>
      <c r="F156" s="36" t="inlineStr"/>
      <c r="G156" s="36" t="inlineStr"/>
      <c r="H156" s="36" t="inlineStr"/>
      <c r="I156" s="27" t="inlineStr"/>
      <c r="J156" s="27" t="inlineStr"/>
      <c r="K156" s="27" t="inlineStr"/>
      <c r="L156" s="29" t="inlineStr"/>
      <c r="M156" s="27">
        <f>IF(G156="","",MAX(0,IF(H156&lt;&gt;"",H156-G156,IF(I156="Completed",0,TODAY()-G156))))</f>
        <v/>
      </c>
      <c r="N156" s="27" t="inlineStr"/>
    </row>
    <row r="157">
      <c r="A157" s="27" t="inlineStr"/>
      <c r="B157" s="27" t="inlineStr"/>
      <c r="C157" s="27" t="inlineStr"/>
      <c r="D157" s="27" t="inlineStr"/>
      <c r="E157" s="27" t="inlineStr"/>
      <c r="F157" s="36" t="inlineStr"/>
      <c r="G157" s="36" t="inlineStr"/>
      <c r="H157" s="36" t="inlineStr"/>
      <c r="I157" s="27" t="inlineStr"/>
      <c r="J157" s="27" t="inlineStr"/>
      <c r="K157" s="27" t="inlineStr"/>
      <c r="L157" s="29" t="inlineStr"/>
      <c r="M157" s="27">
        <f>IF(G157="","",MAX(0,IF(H157&lt;&gt;"",H157-G157,IF(I157="Completed",0,TODAY()-G157))))</f>
        <v/>
      </c>
      <c r="N157" s="27" t="inlineStr"/>
    </row>
    <row r="158">
      <c r="A158" s="27" t="inlineStr"/>
      <c r="B158" s="27" t="inlineStr"/>
      <c r="C158" s="27" t="inlineStr"/>
      <c r="D158" s="27" t="inlineStr"/>
      <c r="E158" s="27" t="inlineStr"/>
      <c r="F158" s="36" t="inlineStr"/>
      <c r="G158" s="36" t="inlineStr"/>
      <c r="H158" s="36" t="inlineStr"/>
      <c r="I158" s="27" t="inlineStr"/>
      <c r="J158" s="27" t="inlineStr"/>
      <c r="K158" s="27" t="inlineStr"/>
      <c r="L158" s="29" t="inlineStr"/>
      <c r="M158" s="27">
        <f>IF(G158="","",MAX(0,IF(H158&lt;&gt;"",H158-G158,IF(I158="Completed",0,TODAY()-G158))))</f>
        <v/>
      </c>
      <c r="N158" s="27" t="inlineStr"/>
    </row>
    <row r="159">
      <c r="A159" s="27" t="inlineStr"/>
      <c r="B159" s="27" t="inlineStr"/>
      <c r="C159" s="27" t="inlineStr"/>
      <c r="D159" s="27" t="inlineStr"/>
      <c r="E159" s="27" t="inlineStr"/>
      <c r="F159" s="36" t="inlineStr"/>
      <c r="G159" s="36" t="inlineStr"/>
      <c r="H159" s="36" t="inlineStr"/>
      <c r="I159" s="27" t="inlineStr"/>
      <c r="J159" s="27" t="inlineStr"/>
      <c r="K159" s="27" t="inlineStr"/>
      <c r="L159" s="29" t="inlineStr"/>
      <c r="M159" s="27">
        <f>IF(G159="","",MAX(0,IF(H159&lt;&gt;"",H159-G159,IF(I159="Completed",0,TODAY()-G159))))</f>
        <v/>
      </c>
      <c r="N159" s="27" t="inlineStr"/>
    </row>
    <row r="160">
      <c r="A160" s="27" t="inlineStr"/>
      <c r="B160" s="27" t="inlineStr"/>
      <c r="C160" s="27" t="inlineStr"/>
      <c r="D160" s="27" t="inlineStr"/>
      <c r="E160" s="27" t="inlineStr"/>
      <c r="F160" s="36" t="inlineStr"/>
      <c r="G160" s="36" t="inlineStr"/>
      <c r="H160" s="36" t="inlineStr"/>
      <c r="I160" s="27" t="inlineStr"/>
      <c r="J160" s="27" t="inlineStr"/>
      <c r="K160" s="27" t="inlineStr"/>
      <c r="L160" s="29" t="inlineStr"/>
      <c r="M160" s="27">
        <f>IF(G160="","",MAX(0,IF(H160&lt;&gt;"",H160-G160,IF(I160="Completed",0,TODAY()-G160))))</f>
        <v/>
      </c>
      <c r="N160" s="27" t="inlineStr"/>
    </row>
    <row r="161">
      <c r="A161" s="27" t="inlineStr"/>
      <c r="B161" s="27" t="inlineStr"/>
      <c r="C161" s="27" t="inlineStr"/>
      <c r="D161" s="27" t="inlineStr"/>
      <c r="E161" s="27" t="inlineStr"/>
      <c r="F161" s="36" t="inlineStr"/>
      <c r="G161" s="36" t="inlineStr"/>
      <c r="H161" s="36" t="inlineStr"/>
      <c r="I161" s="27" t="inlineStr"/>
      <c r="J161" s="27" t="inlineStr"/>
      <c r="K161" s="27" t="inlineStr"/>
      <c r="L161" s="29" t="inlineStr"/>
      <c r="M161" s="27">
        <f>IF(G161="","",MAX(0,IF(H161&lt;&gt;"",H161-G161,IF(I161="Completed",0,TODAY()-G161))))</f>
        <v/>
      </c>
      <c r="N161" s="27" t="inlineStr"/>
    </row>
    <row r="162">
      <c r="A162" s="27" t="inlineStr"/>
      <c r="B162" s="27" t="inlineStr"/>
      <c r="C162" s="27" t="inlineStr"/>
      <c r="D162" s="27" t="inlineStr"/>
      <c r="E162" s="27" t="inlineStr"/>
      <c r="F162" s="36" t="inlineStr"/>
      <c r="G162" s="36" t="inlineStr"/>
      <c r="H162" s="36" t="inlineStr"/>
      <c r="I162" s="27" t="inlineStr"/>
      <c r="J162" s="27" t="inlineStr"/>
      <c r="K162" s="27" t="inlineStr"/>
      <c r="L162" s="29" t="inlineStr"/>
      <c r="M162" s="27">
        <f>IF(G162="","",MAX(0,IF(H162&lt;&gt;"",H162-G162,IF(I162="Completed",0,TODAY()-G162))))</f>
        <v/>
      </c>
      <c r="N162" s="27" t="inlineStr"/>
    </row>
    <row r="163">
      <c r="A163" s="27" t="inlineStr"/>
      <c r="B163" s="27" t="inlineStr"/>
      <c r="C163" s="27" t="inlineStr"/>
      <c r="D163" s="27" t="inlineStr"/>
      <c r="E163" s="27" t="inlineStr"/>
      <c r="F163" s="36" t="inlineStr"/>
      <c r="G163" s="36" t="inlineStr"/>
      <c r="H163" s="36" t="inlineStr"/>
      <c r="I163" s="27" t="inlineStr"/>
      <c r="J163" s="27" t="inlineStr"/>
      <c r="K163" s="27" t="inlineStr"/>
      <c r="L163" s="29" t="inlineStr"/>
      <c r="M163" s="27">
        <f>IF(G163="","",MAX(0,IF(H163&lt;&gt;"",H163-G163,IF(I163="Completed",0,TODAY()-G163))))</f>
        <v/>
      </c>
      <c r="N163" s="27" t="inlineStr"/>
    </row>
    <row r="164">
      <c r="A164" s="27" t="inlineStr"/>
      <c r="B164" s="27" t="inlineStr"/>
      <c r="C164" s="27" t="inlineStr"/>
      <c r="D164" s="27" t="inlineStr"/>
      <c r="E164" s="27" t="inlineStr"/>
      <c r="F164" s="36" t="inlineStr"/>
      <c r="G164" s="36" t="inlineStr"/>
      <c r="H164" s="36" t="inlineStr"/>
      <c r="I164" s="27" t="inlineStr"/>
      <c r="J164" s="27" t="inlineStr"/>
      <c r="K164" s="27" t="inlineStr"/>
      <c r="L164" s="29" t="inlineStr"/>
      <c r="M164" s="27">
        <f>IF(G164="","",MAX(0,IF(H164&lt;&gt;"",H164-G164,IF(I164="Completed",0,TODAY()-G164))))</f>
        <v/>
      </c>
      <c r="N164" s="27" t="inlineStr"/>
    </row>
    <row r="165">
      <c r="A165" s="27" t="inlineStr"/>
      <c r="B165" s="27" t="inlineStr"/>
      <c r="C165" s="27" t="inlineStr"/>
      <c r="D165" s="27" t="inlineStr"/>
      <c r="E165" s="27" t="inlineStr"/>
      <c r="F165" s="36" t="inlineStr"/>
      <c r="G165" s="36" t="inlineStr"/>
      <c r="H165" s="36" t="inlineStr"/>
      <c r="I165" s="27" t="inlineStr"/>
      <c r="J165" s="27" t="inlineStr"/>
      <c r="K165" s="27" t="inlineStr"/>
      <c r="L165" s="29" t="inlineStr"/>
      <c r="M165" s="27">
        <f>IF(G165="","",MAX(0,IF(H165&lt;&gt;"",H165-G165,IF(I165="Completed",0,TODAY()-G165))))</f>
        <v/>
      </c>
      <c r="N165" s="27" t="inlineStr"/>
    </row>
    <row r="166">
      <c r="A166" s="27" t="inlineStr"/>
      <c r="B166" s="27" t="inlineStr"/>
      <c r="C166" s="27" t="inlineStr"/>
      <c r="D166" s="27" t="inlineStr"/>
      <c r="E166" s="27" t="inlineStr"/>
      <c r="F166" s="36" t="inlineStr"/>
      <c r="G166" s="36" t="inlineStr"/>
      <c r="H166" s="36" t="inlineStr"/>
      <c r="I166" s="27" t="inlineStr"/>
      <c r="J166" s="27" t="inlineStr"/>
      <c r="K166" s="27" t="inlineStr"/>
      <c r="L166" s="29" t="inlineStr"/>
      <c r="M166" s="27">
        <f>IF(G166="","",MAX(0,IF(H166&lt;&gt;"",H166-G166,IF(I166="Completed",0,TODAY()-G166))))</f>
        <v/>
      </c>
      <c r="N166" s="27" t="inlineStr"/>
    </row>
    <row r="167">
      <c r="A167" s="27" t="inlineStr"/>
      <c r="B167" s="27" t="inlineStr"/>
      <c r="C167" s="27" t="inlineStr"/>
      <c r="D167" s="27" t="inlineStr"/>
      <c r="E167" s="27" t="inlineStr"/>
      <c r="F167" s="36" t="inlineStr"/>
      <c r="G167" s="36" t="inlineStr"/>
      <c r="H167" s="36" t="inlineStr"/>
      <c r="I167" s="27" t="inlineStr"/>
      <c r="J167" s="27" t="inlineStr"/>
      <c r="K167" s="27" t="inlineStr"/>
      <c r="L167" s="29" t="inlineStr"/>
      <c r="M167" s="27">
        <f>IF(G167="","",MAX(0,IF(H167&lt;&gt;"",H167-G167,IF(I167="Completed",0,TODAY()-G167))))</f>
        <v/>
      </c>
      <c r="N167" s="27" t="inlineStr"/>
    </row>
    <row r="168">
      <c r="A168" s="27" t="inlineStr"/>
      <c r="B168" s="27" t="inlineStr"/>
      <c r="C168" s="27" t="inlineStr"/>
      <c r="D168" s="27" t="inlineStr"/>
      <c r="E168" s="27" t="inlineStr"/>
      <c r="F168" s="36" t="inlineStr"/>
      <c r="G168" s="36" t="inlineStr"/>
      <c r="H168" s="36" t="inlineStr"/>
      <c r="I168" s="27" t="inlineStr"/>
      <c r="J168" s="27" t="inlineStr"/>
      <c r="K168" s="27" t="inlineStr"/>
      <c r="L168" s="29" t="inlineStr"/>
      <c r="M168" s="27">
        <f>IF(G168="","",MAX(0,IF(H168&lt;&gt;"",H168-G168,IF(I168="Completed",0,TODAY()-G168))))</f>
        <v/>
      </c>
      <c r="N168" s="27" t="inlineStr"/>
    </row>
    <row r="169">
      <c r="A169" s="27" t="inlineStr"/>
      <c r="B169" s="27" t="inlineStr"/>
      <c r="C169" s="27" t="inlineStr"/>
      <c r="D169" s="27" t="inlineStr"/>
      <c r="E169" s="27" t="inlineStr"/>
      <c r="F169" s="36" t="inlineStr"/>
      <c r="G169" s="36" t="inlineStr"/>
      <c r="H169" s="36" t="inlineStr"/>
      <c r="I169" s="27" t="inlineStr"/>
      <c r="J169" s="27" t="inlineStr"/>
      <c r="K169" s="27" t="inlineStr"/>
      <c r="L169" s="29" t="inlineStr"/>
      <c r="M169" s="27">
        <f>IF(G169="","",MAX(0,IF(H169&lt;&gt;"",H169-G169,IF(I169="Completed",0,TODAY()-G169))))</f>
        <v/>
      </c>
      <c r="N169" s="27" t="inlineStr"/>
    </row>
    <row r="170">
      <c r="A170" s="27" t="inlineStr"/>
      <c r="B170" s="27" t="inlineStr"/>
      <c r="C170" s="27" t="inlineStr"/>
      <c r="D170" s="27" t="inlineStr"/>
      <c r="E170" s="27" t="inlineStr"/>
      <c r="F170" s="36" t="inlineStr"/>
      <c r="G170" s="36" t="inlineStr"/>
      <c r="H170" s="36" t="inlineStr"/>
      <c r="I170" s="27" t="inlineStr"/>
      <c r="J170" s="27" t="inlineStr"/>
      <c r="K170" s="27" t="inlineStr"/>
      <c r="L170" s="29" t="inlineStr"/>
      <c r="M170" s="27">
        <f>IF(G170="","",MAX(0,IF(H170&lt;&gt;"",H170-G170,IF(I170="Completed",0,TODAY()-G170))))</f>
        <v/>
      </c>
      <c r="N170" s="27" t="inlineStr"/>
    </row>
    <row r="171">
      <c r="A171" s="27" t="inlineStr"/>
      <c r="B171" s="27" t="inlineStr"/>
      <c r="C171" s="27" t="inlineStr"/>
      <c r="D171" s="27" t="inlineStr"/>
      <c r="E171" s="27" t="inlineStr"/>
      <c r="F171" s="36" t="inlineStr"/>
      <c r="G171" s="36" t="inlineStr"/>
      <c r="H171" s="36" t="inlineStr"/>
      <c r="I171" s="27" t="inlineStr"/>
      <c r="J171" s="27" t="inlineStr"/>
      <c r="K171" s="27" t="inlineStr"/>
      <c r="L171" s="29" t="inlineStr"/>
      <c r="M171" s="27">
        <f>IF(G171="","",MAX(0,IF(H171&lt;&gt;"",H171-G171,IF(I171="Completed",0,TODAY()-G171))))</f>
        <v/>
      </c>
      <c r="N171" s="27" t="inlineStr"/>
    </row>
    <row r="172">
      <c r="A172" s="27" t="inlineStr"/>
      <c r="B172" s="27" t="inlineStr"/>
      <c r="C172" s="27" t="inlineStr"/>
      <c r="D172" s="27" t="inlineStr"/>
      <c r="E172" s="27" t="inlineStr"/>
      <c r="F172" s="36" t="inlineStr"/>
      <c r="G172" s="36" t="inlineStr"/>
      <c r="H172" s="36" t="inlineStr"/>
      <c r="I172" s="27" t="inlineStr"/>
      <c r="J172" s="27" t="inlineStr"/>
      <c r="K172" s="27" t="inlineStr"/>
      <c r="L172" s="29" t="inlineStr"/>
      <c r="M172" s="27">
        <f>IF(G172="","",MAX(0,IF(H172&lt;&gt;"",H172-G172,IF(I172="Completed",0,TODAY()-G172))))</f>
        <v/>
      </c>
      <c r="N172" s="27" t="inlineStr"/>
    </row>
    <row r="173">
      <c r="A173" s="27" t="inlineStr"/>
      <c r="B173" s="27" t="inlineStr"/>
      <c r="C173" s="27" t="inlineStr"/>
      <c r="D173" s="27" t="inlineStr"/>
      <c r="E173" s="27" t="inlineStr"/>
      <c r="F173" s="36" t="inlineStr"/>
      <c r="G173" s="36" t="inlineStr"/>
      <c r="H173" s="36" t="inlineStr"/>
      <c r="I173" s="27" t="inlineStr"/>
      <c r="J173" s="27" t="inlineStr"/>
      <c r="K173" s="27" t="inlineStr"/>
      <c r="L173" s="29" t="inlineStr"/>
      <c r="M173" s="27">
        <f>IF(G173="","",MAX(0,IF(H173&lt;&gt;"",H173-G173,IF(I173="Completed",0,TODAY()-G173))))</f>
        <v/>
      </c>
      <c r="N173" s="27" t="inlineStr"/>
    </row>
    <row r="174">
      <c r="A174" s="27" t="inlineStr"/>
      <c r="B174" s="27" t="inlineStr"/>
      <c r="C174" s="27" t="inlineStr"/>
      <c r="D174" s="27" t="inlineStr"/>
      <c r="E174" s="27" t="inlineStr"/>
      <c r="F174" s="36" t="inlineStr"/>
      <c r="G174" s="36" t="inlineStr"/>
      <c r="H174" s="36" t="inlineStr"/>
      <c r="I174" s="27" t="inlineStr"/>
      <c r="J174" s="27" t="inlineStr"/>
      <c r="K174" s="27" t="inlineStr"/>
      <c r="L174" s="29" t="inlineStr"/>
      <c r="M174" s="27">
        <f>IF(G174="","",MAX(0,IF(H174&lt;&gt;"",H174-G174,IF(I174="Completed",0,TODAY()-G174))))</f>
        <v/>
      </c>
      <c r="N174" s="27" t="inlineStr"/>
    </row>
    <row r="175">
      <c r="A175" s="27" t="inlineStr"/>
      <c r="B175" s="27" t="inlineStr"/>
      <c r="C175" s="27" t="inlineStr"/>
      <c r="D175" s="27" t="inlineStr"/>
      <c r="E175" s="27" t="inlineStr"/>
      <c r="F175" s="36" t="inlineStr"/>
      <c r="G175" s="36" t="inlineStr"/>
      <c r="H175" s="36" t="inlineStr"/>
      <c r="I175" s="27" t="inlineStr"/>
      <c r="J175" s="27" t="inlineStr"/>
      <c r="K175" s="27" t="inlineStr"/>
      <c r="L175" s="29" t="inlineStr"/>
      <c r="M175" s="27">
        <f>IF(G175="","",MAX(0,IF(H175&lt;&gt;"",H175-G175,IF(I175="Completed",0,TODAY()-G175))))</f>
        <v/>
      </c>
      <c r="N175" s="27" t="inlineStr"/>
    </row>
    <row r="176">
      <c r="A176" s="27" t="inlineStr"/>
      <c r="B176" s="27" t="inlineStr"/>
      <c r="C176" s="27" t="inlineStr"/>
      <c r="D176" s="27" t="inlineStr"/>
      <c r="E176" s="27" t="inlineStr"/>
      <c r="F176" s="36" t="inlineStr"/>
      <c r="G176" s="36" t="inlineStr"/>
      <c r="H176" s="36" t="inlineStr"/>
      <c r="I176" s="27" t="inlineStr"/>
      <c r="J176" s="27" t="inlineStr"/>
      <c r="K176" s="27" t="inlineStr"/>
      <c r="L176" s="29" t="inlineStr"/>
      <c r="M176" s="27">
        <f>IF(G176="","",MAX(0,IF(H176&lt;&gt;"",H176-G176,IF(I176="Completed",0,TODAY()-G176))))</f>
        <v/>
      </c>
      <c r="N176" s="27" t="inlineStr"/>
    </row>
    <row r="177">
      <c r="A177" s="27" t="inlineStr"/>
      <c r="B177" s="27" t="inlineStr"/>
      <c r="C177" s="27" t="inlineStr"/>
      <c r="D177" s="27" t="inlineStr"/>
      <c r="E177" s="27" t="inlineStr"/>
      <c r="F177" s="36" t="inlineStr"/>
      <c r="G177" s="36" t="inlineStr"/>
      <c r="H177" s="36" t="inlineStr"/>
      <c r="I177" s="27" t="inlineStr"/>
      <c r="J177" s="27" t="inlineStr"/>
      <c r="K177" s="27" t="inlineStr"/>
      <c r="L177" s="29" t="inlineStr"/>
      <c r="M177" s="27">
        <f>IF(G177="","",MAX(0,IF(H177&lt;&gt;"",H177-G177,IF(I177="Completed",0,TODAY()-G177))))</f>
        <v/>
      </c>
      <c r="N177" s="27" t="inlineStr"/>
    </row>
    <row r="178">
      <c r="A178" s="27" t="inlineStr"/>
      <c r="B178" s="27" t="inlineStr"/>
      <c r="C178" s="27" t="inlineStr"/>
      <c r="D178" s="27" t="inlineStr"/>
      <c r="E178" s="27" t="inlineStr"/>
      <c r="F178" s="36" t="inlineStr"/>
      <c r="G178" s="36" t="inlineStr"/>
      <c r="H178" s="36" t="inlineStr"/>
      <c r="I178" s="27" t="inlineStr"/>
      <c r="J178" s="27" t="inlineStr"/>
      <c r="K178" s="27" t="inlineStr"/>
      <c r="L178" s="29" t="inlineStr"/>
      <c r="M178" s="27">
        <f>IF(G178="","",MAX(0,IF(H178&lt;&gt;"",H178-G178,IF(I178="Completed",0,TODAY()-G178))))</f>
        <v/>
      </c>
      <c r="N178" s="27" t="inlineStr"/>
    </row>
    <row r="179">
      <c r="A179" s="27" t="inlineStr"/>
      <c r="B179" s="27" t="inlineStr"/>
      <c r="C179" s="27" t="inlineStr"/>
      <c r="D179" s="27" t="inlineStr"/>
      <c r="E179" s="27" t="inlineStr"/>
      <c r="F179" s="36" t="inlineStr"/>
      <c r="G179" s="36" t="inlineStr"/>
      <c r="H179" s="36" t="inlineStr"/>
      <c r="I179" s="27" t="inlineStr"/>
      <c r="J179" s="27" t="inlineStr"/>
      <c r="K179" s="27" t="inlineStr"/>
      <c r="L179" s="29" t="inlineStr"/>
      <c r="M179" s="27">
        <f>IF(G179="","",MAX(0,IF(H179&lt;&gt;"",H179-G179,IF(I179="Completed",0,TODAY()-G179))))</f>
        <v/>
      </c>
      <c r="N179" s="27" t="inlineStr"/>
    </row>
    <row r="180">
      <c r="A180" s="27" t="inlineStr"/>
      <c r="B180" s="27" t="inlineStr"/>
      <c r="C180" s="27" t="inlineStr"/>
      <c r="D180" s="27" t="inlineStr"/>
      <c r="E180" s="27" t="inlineStr"/>
      <c r="F180" s="36" t="inlineStr"/>
      <c r="G180" s="36" t="inlineStr"/>
      <c r="H180" s="36" t="inlineStr"/>
      <c r="I180" s="27" t="inlineStr"/>
      <c r="J180" s="27" t="inlineStr"/>
      <c r="K180" s="27" t="inlineStr"/>
      <c r="L180" s="29" t="inlineStr"/>
      <c r="M180" s="27">
        <f>IF(G180="","",MAX(0,IF(H180&lt;&gt;"",H180-G180,IF(I180="Completed",0,TODAY()-G180))))</f>
        <v/>
      </c>
      <c r="N180" s="27" t="inlineStr"/>
    </row>
    <row r="181">
      <c r="A181" s="27" t="inlineStr"/>
      <c r="B181" s="27" t="inlineStr"/>
      <c r="C181" s="27" t="inlineStr"/>
      <c r="D181" s="27" t="inlineStr"/>
      <c r="E181" s="27" t="inlineStr"/>
      <c r="F181" s="36" t="inlineStr"/>
      <c r="G181" s="36" t="inlineStr"/>
      <c r="H181" s="36" t="inlineStr"/>
      <c r="I181" s="27" t="inlineStr"/>
      <c r="J181" s="27" t="inlineStr"/>
      <c r="K181" s="27" t="inlineStr"/>
      <c r="L181" s="29" t="inlineStr"/>
      <c r="M181" s="27">
        <f>IF(G181="","",MAX(0,IF(H181&lt;&gt;"",H181-G181,IF(I181="Completed",0,TODAY()-G181))))</f>
        <v/>
      </c>
      <c r="N181" s="27" t="inlineStr"/>
    </row>
    <row r="182">
      <c r="A182" s="27" t="inlineStr"/>
      <c r="B182" s="27" t="inlineStr"/>
      <c r="C182" s="27" t="inlineStr"/>
      <c r="D182" s="27" t="inlineStr"/>
      <c r="E182" s="27" t="inlineStr"/>
      <c r="F182" s="36" t="inlineStr"/>
      <c r="G182" s="36" t="inlineStr"/>
      <c r="H182" s="36" t="inlineStr"/>
      <c r="I182" s="27" t="inlineStr"/>
      <c r="J182" s="27" t="inlineStr"/>
      <c r="K182" s="27" t="inlineStr"/>
      <c r="L182" s="29" t="inlineStr"/>
      <c r="M182" s="27">
        <f>IF(G182="","",MAX(0,IF(H182&lt;&gt;"",H182-G182,IF(I182="Completed",0,TODAY()-G182))))</f>
        <v/>
      </c>
      <c r="N182" s="27" t="inlineStr"/>
    </row>
    <row r="183">
      <c r="A183" s="27" t="inlineStr"/>
      <c r="B183" s="27" t="inlineStr"/>
      <c r="C183" s="27" t="inlineStr"/>
      <c r="D183" s="27" t="inlineStr"/>
      <c r="E183" s="27" t="inlineStr"/>
      <c r="F183" s="36" t="inlineStr"/>
      <c r="G183" s="36" t="inlineStr"/>
      <c r="H183" s="36" t="inlineStr"/>
      <c r="I183" s="27" t="inlineStr"/>
      <c r="J183" s="27" t="inlineStr"/>
      <c r="K183" s="27" t="inlineStr"/>
      <c r="L183" s="29" t="inlineStr"/>
      <c r="M183" s="27">
        <f>IF(G183="","",MAX(0,IF(H183&lt;&gt;"",H183-G183,IF(I183="Completed",0,TODAY()-G183))))</f>
        <v/>
      </c>
      <c r="N183" s="27" t="inlineStr"/>
    </row>
    <row r="184">
      <c r="A184" s="27" t="inlineStr"/>
      <c r="B184" s="27" t="inlineStr"/>
      <c r="C184" s="27" t="inlineStr"/>
      <c r="D184" s="27" t="inlineStr"/>
      <c r="E184" s="27" t="inlineStr"/>
      <c r="F184" s="36" t="inlineStr"/>
      <c r="G184" s="36" t="inlineStr"/>
      <c r="H184" s="36" t="inlineStr"/>
      <c r="I184" s="27" t="inlineStr"/>
      <c r="J184" s="27" t="inlineStr"/>
      <c r="K184" s="27" t="inlineStr"/>
      <c r="L184" s="29" t="inlineStr"/>
      <c r="M184" s="27">
        <f>IF(G184="","",MAX(0,IF(H184&lt;&gt;"",H184-G184,IF(I184="Completed",0,TODAY()-G184))))</f>
        <v/>
      </c>
      <c r="N184" s="27" t="inlineStr"/>
    </row>
    <row r="185">
      <c r="A185" s="27" t="inlineStr"/>
      <c r="B185" s="27" t="inlineStr"/>
      <c r="C185" s="27" t="inlineStr"/>
      <c r="D185" s="27" t="inlineStr"/>
      <c r="E185" s="27" t="inlineStr"/>
      <c r="F185" s="36" t="inlineStr"/>
      <c r="G185" s="36" t="inlineStr"/>
      <c r="H185" s="36" t="inlineStr"/>
      <c r="I185" s="27" t="inlineStr"/>
      <c r="J185" s="27" t="inlineStr"/>
      <c r="K185" s="27" t="inlineStr"/>
      <c r="L185" s="29" t="inlineStr"/>
      <c r="M185" s="27">
        <f>IF(G185="","",MAX(0,IF(H185&lt;&gt;"",H185-G185,IF(I185="Completed",0,TODAY()-G185))))</f>
        <v/>
      </c>
      <c r="N185" s="27" t="inlineStr"/>
    </row>
    <row r="186">
      <c r="A186" s="27" t="inlineStr"/>
      <c r="B186" s="27" t="inlineStr"/>
      <c r="C186" s="27" t="inlineStr"/>
      <c r="D186" s="27" t="inlineStr"/>
      <c r="E186" s="27" t="inlineStr"/>
      <c r="F186" s="36" t="inlineStr"/>
      <c r="G186" s="36" t="inlineStr"/>
      <c r="H186" s="36" t="inlineStr"/>
      <c r="I186" s="27" t="inlineStr"/>
      <c r="J186" s="27" t="inlineStr"/>
      <c r="K186" s="27" t="inlineStr"/>
      <c r="L186" s="29" t="inlineStr"/>
      <c r="M186" s="27">
        <f>IF(G186="","",MAX(0,IF(H186&lt;&gt;"",H186-G186,IF(I186="Completed",0,TODAY()-G186))))</f>
        <v/>
      </c>
      <c r="N186" s="27" t="inlineStr"/>
    </row>
    <row r="187">
      <c r="A187" s="27" t="inlineStr"/>
      <c r="B187" s="27" t="inlineStr"/>
      <c r="C187" s="27" t="inlineStr"/>
      <c r="D187" s="27" t="inlineStr"/>
      <c r="E187" s="27" t="inlineStr"/>
      <c r="F187" s="36" t="inlineStr"/>
      <c r="G187" s="36" t="inlineStr"/>
      <c r="H187" s="36" t="inlineStr"/>
      <c r="I187" s="27" t="inlineStr"/>
      <c r="J187" s="27" t="inlineStr"/>
      <c r="K187" s="27" t="inlineStr"/>
      <c r="L187" s="29" t="inlineStr"/>
      <c r="M187" s="27">
        <f>IF(G187="","",MAX(0,IF(H187&lt;&gt;"",H187-G187,IF(I187="Completed",0,TODAY()-G187))))</f>
        <v/>
      </c>
      <c r="N187" s="27" t="inlineStr"/>
    </row>
    <row r="188">
      <c r="A188" s="27" t="inlineStr"/>
      <c r="B188" s="27" t="inlineStr"/>
      <c r="C188" s="27" t="inlineStr"/>
      <c r="D188" s="27" t="inlineStr"/>
      <c r="E188" s="27" t="inlineStr"/>
      <c r="F188" s="36" t="inlineStr"/>
      <c r="G188" s="36" t="inlineStr"/>
      <c r="H188" s="36" t="inlineStr"/>
      <c r="I188" s="27" t="inlineStr"/>
      <c r="J188" s="27" t="inlineStr"/>
      <c r="K188" s="27" t="inlineStr"/>
      <c r="L188" s="29" t="inlineStr"/>
      <c r="M188" s="27">
        <f>IF(G188="","",MAX(0,IF(H188&lt;&gt;"",H188-G188,IF(I188="Completed",0,TODAY()-G188))))</f>
        <v/>
      </c>
      <c r="N188" s="27" t="inlineStr"/>
    </row>
    <row r="189">
      <c r="A189" s="27" t="inlineStr"/>
      <c r="B189" s="27" t="inlineStr"/>
      <c r="C189" s="27" t="inlineStr"/>
      <c r="D189" s="27" t="inlineStr"/>
      <c r="E189" s="27" t="inlineStr"/>
      <c r="F189" s="36" t="inlineStr"/>
      <c r="G189" s="36" t="inlineStr"/>
      <c r="H189" s="36" t="inlineStr"/>
      <c r="I189" s="27" t="inlineStr"/>
      <c r="J189" s="27" t="inlineStr"/>
      <c r="K189" s="27" t="inlineStr"/>
      <c r="L189" s="29" t="inlineStr"/>
      <c r="M189" s="27">
        <f>IF(G189="","",MAX(0,IF(H189&lt;&gt;"",H189-G189,IF(I189="Completed",0,TODAY()-G189))))</f>
        <v/>
      </c>
      <c r="N189" s="27" t="inlineStr"/>
    </row>
    <row r="190">
      <c r="A190" s="27" t="inlineStr"/>
      <c r="B190" s="27" t="inlineStr"/>
      <c r="C190" s="27" t="inlineStr"/>
      <c r="D190" s="27" t="inlineStr"/>
      <c r="E190" s="27" t="inlineStr"/>
      <c r="F190" s="36" t="inlineStr"/>
      <c r="G190" s="36" t="inlineStr"/>
      <c r="H190" s="36" t="inlineStr"/>
      <c r="I190" s="27" t="inlineStr"/>
      <c r="J190" s="27" t="inlineStr"/>
      <c r="K190" s="27" t="inlineStr"/>
      <c r="L190" s="29" t="inlineStr"/>
      <c r="M190" s="27">
        <f>IF(G190="","",MAX(0,IF(H190&lt;&gt;"",H190-G190,IF(I190="Completed",0,TODAY()-G190))))</f>
        <v/>
      </c>
      <c r="N190" s="27" t="inlineStr"/>
    </row>
    <row r="191">
      <c r="A191" s="27" t="inlineStr"/>
      <c r="B191" s="27" t="inlineStr"/>
      <c r="C191" s="27" t="inlineStr"/>
      <c r="D191" s="27" t="inlineStr"/>
      <c r="E191" s="27" t="inlineStr"/>
      <c r="F191" s="36" t="inlineStr"/>
      <c r="G191" s="36" t="inlineStr"/>
      <c r="H191" s="36" t="inlineStr"/>
      <c r="I191" s="27" t="inlineStr"/>
      <c r="J191" s="27" t="inlineStr"/>
      <c r="K191" s="27" t="inlineStr"/>
      <c r="L191" s="29" t="inlineStr"/>
      <c r="M191" s="27">
        <f>IF(G191="","",MAX(0,IF(H191&lt;&gt;"",H191-G191,IF(I191="Completed",0,TODAY()-G191))))</f>
        <v/>
      </c>
      <c r="N191" s="27" t="inlineStr"/>
    </row>
    <row r="192">
      <c r="A192" s="27" t="inlineStr"/>
      <c r="B192" s="27" t="inlineStr"/>
      <c r="C192" s="27" t="inlineStr"/>
      <c r="D192" s="27" t="inlineStr"/>
      <c r="E192" s="27" t="inlineStr"/>
      <c r="F192" s="36" t="inlineStr"/>
      <c r="G192" s="36" t="inlineStr"/>
      <c r="H192" s="36" t="inlineStr"/>
      <c r="I192" s="27" t="inlineStr"/>
      <c r="J192" s="27" t="inlineStr"/>
      <c r="K192" s="27" t="inlineStr"/>
      <c r="L192" s="29" t="inlineStr"/>
      <c r="M192" s="27">
        <f>IF(G192="","",MAX(0,IF(H192&lt;&gt;"",H192-G192,IF(I192="Completed",0,TODAY()-G192))))</f>
        <v/>
      </c>
      <c r="N192" s="27" t="inlineStr"/>
    </row>
    <row r="193">
      <c r="A193" s="27" t="inlineStr"/>
      <c r="B193" s="27" t="inlineStr"/>
      <c r="C193" s="27" t="inlineStr"/>
      <c r="D193" s="27" t="inlineStr"/>
      <c r="E193" s="27" t="inlineStr"/>
      <c r="F193" s="36" t="inlineStr"/>
      <c r="G193" s="36" t="inlineStr"/>
      <c r="H193" s="36" t="inlineStr"/>
      <c r="I193" s="27" t="inlineStr"/>
      <c r="J193" s="27" t="inlineStr"/>
      <c r="K193" s="27" t="inlineStr"/>
      <c r="L193" s="29" t="inlineStr"/>
      <c r="M193" s="27">
        <f>IF(G193="","",MAX(0,IF(H193&lt;&gt;"",H193-G193,IF(I193="Completed",0,TODAY()-G193))))</f>
        <v/>
      </c>
      <c r="N193" s="27" t="inlineStr"/>
    </row>
    <row r="194">
      <c r="A194" s="27" t="inlineStr"/>
      <c r="B194" s="27" t="inlineStr"/>
      <c r="C194" s="27" t="inlineStr"/>
      <c r="D194" s="27" t="inlineStr"/>
      <c r="E194" s="27" t="inlineStr"/>
      <c r="F194" s="36" t="inlineStr"/>
      <c r="G194" s="36" t="inlineStr"/>
      <c r="H194" s="36" t="inlineStr"/>
      <c r="I194" s="27" t="inlineStr"/>
      <c r="J194" s="27" t="inlineStr"/>
      <c r="K194" s="27" t="inlineStr"/>
      <c r="L194" s="29" t="inlineStr"/>
      <c r="M194" s="27">
        <f>IF(G194="","",MAX(0,IF(H194&lt;&gt;"",H194-G194,IF(I194="Completed",0,TODAY()-G194))))</f>
        <v/>
      </c>
      <c r="N194" s="27" t="inlineStr"/>
    </row>
    <row r="195">
      <c r="A195" s="27" t="inlineStr"/>
      <c r="B195" s="27" t="inlineStr"/>
      <c r="C195" s="27" t="inlineStr"/>
      <c r="D195" s="27" t="inlineStr"/>
      <c r="E195" s="27" t="inlineStr"/>
      <c r="F195" s="36" t="inlineStr"/>
      <c r="G195" s="36" t="inlineStr"/>
      <c r="H195" s="36" t="inlineStr"/>
      <c r="I195" s="27" t="inlineStr"/>
      <c r="J195" s="27" t="inlineStr"/>
      <c r="K195" s="27" t="inlineStr"/>
      <c r="L195" s="29" t="inlineStr"/>
      <c r="M195" s="27">
        <f>IF(G195="","",MAX(0,IF(H195&lt;&gt;"",H195-G195,IF(I195="Completed",0,TODAY()-G195))))</f>
        <v/>
      </c>
      <c r="N195" s="27" t="inlineStr"/>
    </row>
    <row r="196">
      <c r="A196" s="27" t="inlineStr"/>
      <c r="B196" s="27" t="inlineStr"/>
      <c r="C196" s="27" t="inlineStr"/>
      <c r="D196" s="27" t="inlineStr"/>
      <c r="E196" s="27" t="inlineStr"/>
      <c r="F196" s="36" t="inlineStr"/>
      <c r="G196" s="36" t="inlineStr"/>
      <c r="H196" s="36" t="inlineStr"/>
      <c r="I196" s="27" t="inlineStr"/>
      <c r="J196" s="27" t="inlineStr"/>
      <c r="K196" s="27" t="inlineStr"/>
      <c r="L196" s="29" t="inlineStr"/>
      <c r="M196" s="27">
        <f>IF(G196="","",MAX(0,IF(H196&lt;&gt;"",H196-G196,IF(I196="Completed",0,TODAY()-G196))))</f>
        <v/>
      </c>
      <c r="N196" s="27" t="inlineStr"/>
    </row>
    <row r="197">
      <c r="A197" s="27" t="inlineStr"/>
      <c r="B197" s="27" t="inlineStr"/>
      <c r="C197" s="27" t="inlineStr"/>
      <c r="D197" s="27" t="inlineStr"/>
      <c r="E197" s="27" t="inlineStr"/>
      <c r="F197" s="36" t="inlineStr"/>
      <c r="G197" s="36" t="inlineStr"/>
      <c r="H197" s="36" t="inlineStr"/>
      <c r="I197" s="27" t="inlineStr"/>
      <c r="J197" s="27" t="inlineStr"/>
      <c r="K197" s="27" t="inlineStr"/>
      <c r="L197" s="29" t="inlineStr"/>
      <c r="M197" s="27">
        <f>IF(G197="","",MAX(0,IF(H197&lt;&gt;"",H197-G197,IF(I197="Completed",0,TODAY()-G197))))</f>
        <v/>
      </c>
      <c r="N197" s="27" t="inlineStr"/>
    </row>
    <row r="198">
      <c r="A198" s="27" t="inlineStr"/>
      <c r="B198" s="27" t="inlineStr"/>
      <c r="C198" s="27" t="inlineStr"/>
      <c r="D198" s="27" t="inlineStr"/>
      <c r="E198" s="27" t="inlineStr"/>
      <c r="F198" s="36" t="inlineStr"/>
      <c r="G198" s="36" t="inlineStr"/>
      <c r="H198" s="36" t="inlineStr"/>
      <c r="I198" s="27" t="inlineStr"/>
      <c r="J198" s="27" t="inlineStr"/>
      <c r="K198" s="27" t="inlineStr"/>
      <c r="L198" s="29" t="inlineStr"/>
      <c r="M198" s="27">
        <f>IF(G198="","",MAX(0,IF(H198&lt;&gt;"",H198-G198,IF(I198="Completed",0,TODAY()-G198))))</f>
        <v/>
      </c>
      <c r="N198" s="27" t="inlineStr"/>
    </row>
    <row r="199">
      <c r="A199" s="27" t="inlineStr"/>
      <c r="B199" s="27" t="inlineStr"/>
      <c r="C199" s="27" t="inlineStr"/>
      <c r="D199" s="27" t="inlineStr"/>
      <c r="E199" s="27" t="inlineStr"/>
      <c r="F199" s="36" t="inlineStr"/>
      <c r="G199" s="36" t="inlineStr"/>
      <c r="H199" s="36" t="inlineStr"/>
      <c r="I199" s="27" t="inlineStr"/>
      <c r="J199" s="27" t="inlineStr"/>
      <c r="K199" s="27" t="inlineStr"/>
      <c r="L199" s="29" t="inlineStr"/>
      <c r="M199" s="27">
        <f>IF(G199="","",MAX(0,IF(H199&lt;&gt;"",H199-G199,IF(I199="Completed",0,TODAY()-G199))))</f>
        <v/>
      </c>
      <c r="N199" s="27" t="inlineStr"/>
    </row>
    <row r="200">
      <c r="A200" s="27" t="inlineStr"/>
      <c r="B200" s="27" t="inlineStr"/>
      <c r="C200" s="27" t="inlineStr"/>
      <c r="D200" s="27" t="inlineStr"/>
      <c r="E200" s="27" t="inlineStr"/>
      <c r="F200" s="36" t="inlineStr"/>
      <c r="G200" s="36" t="inlineStr"/>
      <c r="H200" s="36" t="inlineStr"/>
      <c r="I200" s="27" t="inlineStr"/>
      <c r="J200" s="27" t="inlineStr"/>
      <c r="K200" s="27" t="inlineStr"/>
      <c r="L200" s="29" t="inlineStr"/>
      <c r="M200" s="27">
        <f>IF(G200="","",MAX(0,IF(H200&lt;&gt;"",H200-G200,IF(I200="Completed",0,TODAY()-G200))))</f>
        <v/>
      </c>
      <c r="N200" s="27" t="inlineStr"/>
    </row>
    <row r="201">
      <c r="A201" s="27" t="inlineStr"/>
      <c r="B201" s="27" t="inlineStr"/>
      <c r="C201" s="27" t="inlineStr"/>
      <c r="D201" s="27" t="inlineStr"/>
      <c r="E201" s="27" t="inlineStr"/>
      <c r="F201" s="36" t="inlineStr"/>
      <c r="G201" s="36" t="inlineStr"/>
      <c r="H201" s="36" t="inlineStr"/>
      <c r="I201" s="27" t="inlineStr"/>
      <c r="J201" s="27" t="inlineStr"/>
      <c r="K201" s="27" t="inlineStr"/>
      <c r="L201" s="29" t="inlineStr"/>
      <c r="M201" s="27">
        <f>IF(G201="","",MAX(0,IF(H201&lt;&gt;"",H201-G201,IF(I201="Completed",0,TODAY()-G201))))</f>
        <v/>
      </c>
      <c r="N201" s="27" t="inlineStr"/>
    </row>
    <row r="202">
      <c r="A202" s="27" t="inlineStr"/>
      <c r="B202" s="27" t="inlineStr"/>
      <c r="C202" s="27" t="inlineStr"/>
      <c r="D202" s="27" t="inlineStr"/>
      <c r="E202" s="27" t="inlineStr"/>
      <c r="F202" s="36" t="inlineStr"/>
      <c r="G202" s="36" t="inlineStr"/>
      <c r="H202" s="36" t="inlineStr"/>
      <c r="I202" s="27" t="inlineStr"/>
      <c r="J202" s="27" t="inlineStr"/>
      <c r="K202" s="27" t="inlineStr"/>
      <c r="L202" s="29" t="inlineStr"/>
      <c r="M202" s="27">
        <f>IF(G202="","",MAX(0,IF(H202&lt;&gt;"",H202-G202,IF(I202="Completed",0,TODAY()-G202))))</f>
        <v/>
      </c>
      <c r="N202" s="27" t="inlineStr"/>
    </row>
    <row r="203">
      <c r="A203" s="27" t="inlineStr"/>
      <c r="B203" s="27" t="inlineStr"/>
      <c r="C203" s="27" t="inlineStr"/>
      <c r="D203" s="27" t="inlineStr"/>
      <c r="E203" s="27" t="inlineStr"/>
      <c r="F203" s="36" t="inlineStr"/>
      <c r="G203" s="36" t="inlineStr"/>
      <c r="H203" s="36" t="inlineStr"/>
      <c r="I203" s="27" t="inlineStr"/>
      <c r="J203" s="27" t="inlineStr"/>
      <c r="K203" s="27" t="inlineStr"/>
      <c r="L203" s="29" t="inlineStr"/>
      <c r="M203" s="27">
        <f>IF(G203="","",MAX(0,IF(H203&lt;&gt;"",H203-G203,IF(I203="Completed",0,TODAY()-G203))))</f>
        <v/>
      </c>
      <c r="N203" s="27" t="inlineStr"/>
    </row>
    <row r="204">
      <c r="A204" s="27" t="inlineStr"/>
      <c r="B204" s="27" t="inlineStr"/>
      <c r="C204" s="27" t="inlineStr"/>
      <c r="D204" s="27" t="inlineStr"/>
      <c r="E204" s="27" t="inlineStr"/>
      <c r="F204" s="36" t="inlineStr"/>
      <c r="G204" s="36" t="inlineStr"/>
      <c r="H204" s="36" t="inlineStr"/>
      <c r="I204" s="27" t="inlineStr"/>
      <c r="J204" s="27" t="inlineStr"/>
      <c r="K204" s="27" t="inlineStr"/>
      <c r="L204" s="29" t="inlineStr"/>
      <c r="M204" s="27">
        <f>IF(G204="","",MAX(0,IF(H204&lt;&gt;"",H204-G204,IF(I204="Completed",0,TODAY()-G204))))</f>
        <v/>
      </c>
      <c r="N204" s="27" t="inlineStr"/>
    </row>
    <row r="205">
      <c r="A205" s="27" t="inlineStr"/>
      <c r="B205" s="27" t="inlineStr"/>
      <c r="C205" s="27" t="inlineStr"/>
      <c r="D205" s="27" t="inlineStr"/>
      <c r="E205" s="27" t="inlineStr"/>
      <c r="F205" s="36" t="inlineStr"/>
      <c r="G205" s="36" t="inlineStr"/>
      <c r="H205" s="36" t="inlineStr"/>
      <c r="I205" s="27" t="inlineStr"/>
      <c r="J205" s="27" t="inlineStr"/>
      <c r="K205" s="27" t="inlineStr"/>
      <c r="L205" s="29" t="inlineStr"/>
      <c r="M205" s="27">
        <f>IF(G205="","",MAX(0,IF(H205&lt;&gt;"",H205-G205,IF(I205="Completed",0,TODAY()-G205))))</f>
        <v/>
      </c>
      <c r="N205" s="27" t="inlineStr"/>
    </row>
    <row r="206">
      <c r="A206" s="27" t="inlineStr"/>
      <c r="B206" s="27" t="inlineStr"/>
      <c r="C206" s="27" t="inlineStr"/>
      <c r="D206" s="27" t="inlineStr"/>
      <c r="E206" s="27" t="inlineStr"/>
      <c r="F206" s="36" t="inlineStr"/>
      <c r="G206" s="36" t="inlineStr"/>
      <c r="H206" s="36" t="inlineStr"/>
      <c r="I206" s="27" t="inlineStr"/>
      <c r="J206" s="27" t="inlineStr"/>
      <c r="K206" s="27" t="inlineStr"/>
      <c r="L206" s="29" t="inlineStr"/>
      <c r="M206" s="27">
        <f>IF(G206="","",MAX(0,IF(H206&lt;&gt;"",H206-G206,IF(I206="Completed",0,TODAY()-G206))))</f>
        <v/>
      </c>
      <c r="N206" s="27" t="inlineStr"/>
    </row>
    <row r="207">
      <c r="A207" s="27" t="inlineStr"/>
      <c r="B207" s="27" t="inlineStr"/>
      <c r="C207" s="27" t="inlineStr"/>
      <c r="D207" s="27" t="inlineStr"/>
      <c r="E207" s="27" t="inlineStr"/>
      <c r="F207" s="36" t="inlineStr"/>
      <c r="G207" s="36" t="inlineStr"/>
      <c r="H207" s="36" t="inlineStr"/>
      <c r="I207" s="27" t="inlineStr"/>
      <c r="J207" s="27" t="inlineStr"/>
      <c r="K207" s="27" t="inlineStr"/>
      <c r="L207" s="29" t="inlineStr"/>
      <c r="M207" s="27">
        <f>IF(G207="","",MAX(0,IF(H207&lt;&gt;"",H207-G207,IF(I207="Completed",0,TODAY()-G207))))</f>
        <v/>
      </c>
      <c r="N207" s="27" t="inlineStr"/>
    </row>
    <row r="208">
      <c r="A208" s="27" t="inlineStr"/>
      <c r="B208" s="27" t="inlineStr"/>
      <c r="C208" s="27" t="inlineStr"/>
      <c r="D208" s="27" t="inlineStr"/>
      <c r="E208" s="27" t="inlineStr"/>
      <c r="F208" s="36" t="inlineStr"/>
      <c r="G208" s="36" t="inlineStr"/>
      <c r="H208" s="36" t="inlineStr"/>
      <c r="I208" s="27" t="inlineStr"/>
      <c r="J208" s="27" t="inlineStr"/>
      <c r="K208" s="27" t="inlineStr"/>
      <c r="L208" s="29" t="inlineStr"/>
      <c r="M208" s="27">
        <f>IF(G208="","",MAX(0,IF(H208&lt;&gt;"",H208-G208,IF(I208="Completed",0,TODAY()-G208))))</f>
        <v/>
      </c>
      <c r="N208" s="27" t="inlineStr"/>
    </row>
    <row r="209">
      <c r="A209" s="27" t="inlineStr"/>
      <c r="B209" s="27" t="inlineStr"/>
      <c r="C209" s="27" t="inlineStr"/>
      <c r="D209" s="27" t="inlineStr"/>
      <c r="E209" s="27" t="inlineStr"/>
      <c r="F209" s="36" t="inlineStr"/>
      <c r="G209" s="36" t="inlineStr"/>
      <c r="H209" s="36" t="inlineStr"/>
      <c r="I209" s="27" t="inlineStr"/>
      <c r="J209" s="27" t="inlineStr"/>
      <c r="K209" s="27" t="inlineStr"/>
      <c r="L209" s="29" t="inlineStr"/>
      <c r="M209" s="27">
        <f>IF(G209="","",MAX(0,IF(H209&lt;&gt;"",H209-G209,IF(I209="Completed",0,TODAY()-G209))))</f>
        <v/>
      </c>
      <c r="N209" s="27" t="inlineStr"/>
    </row>
    <row r="210">
      <c r="A210" s="27" t="inlineStr"/>
      <c r="B210" s="27" t="inlineStr"/>
      <c r="C210" s="27" t="inlineStr"/>
      <c r="D210" s="27" t="inlineStr"/>
      <c r="E210" s="27" t="inlineStr"/>
      <c r="F210" s="36" t="inlineStr"/>
      <c r="G210" s="36" t="inlineStr"/>
      <c r="H210" s="36" t="inlineStr"/>
      <c r="I210" s="27" t="inlineStr"/>
      <c r="J210" s="27" t="inlineStr"/>
      <c r="K210" s="27" t="inlineStr"/>
      <c r="L210" s="29" t="inlineStr"/>
      <c r="M210" s="27">
        <f>IF(G210="","",MAX(0,IF(H210&lt;&gt;"",H210-G210,IF(I210="Completed",0,TODAY()-G210))))</f>
        <v/>
      </c>
      <c r="N210" s="27" t="inlineStr"/>
    </row>
    <row r="211">
      <c r="A211" s="27" t="inlineStr"/>
      <c r="B211" s="27" t="inlineStr"/>
      <c r="C211" s="27" t="inlineStr"/>
      <c r="D211" s="27" t="inlineStr"/>
      <c r="E211" s="27" t="inlineStr"/>
      <c r="F211" s="36" t="inlineStr"/>
      <c r="G211" s="36" t="inlineStr"/>
      <c r="H211" s="36" t="inlineStr"/>
      <c r="I211" s="27" t="inlineStr"/>
      <c r="J211" s="27" t="inlineStr"/>
      <c r="K211" s="27" t="inlineStr"/>
      <c r="L211" s="29" t="inlineStr"/>
      <c r="M211" s="27">
        <f>IF(G211="","",MAX(0,IF(H211&lt;&gt;"",H211-G211,IF(I211="Completed",0,TODAY()-G211))))</f>
        <v/>
      </c>
      <c r="N211" s="27" t="inlineStr"/>
    </row>
    <row r="212">
      <c r="A212" s="27" t="inlineStr"/>
      <c r="B212" s="27" t="inlineStr"/>
      <c r="C212" s="27" t="inlineStr"/>
      <c r="D212" s="27" t="inlineStr"/>
      <c r="E212" s="27" t="inlineStr"/>
      <c r="F212" s="36" t="inlineStr"/>
      <c r="G212" s="36" t="inlineStr"/>
      <c r="H212" s="36" t="inlineStr"/>
      <c r="I212" s="27" t="inlineStr"/>
      <c r="J212" s="27" t="inlineStr"/>
      <c r="K212" s="27" t="inlineStr"/>
      <c r="L212" s="29" t="inlineStr"/>
      <c r="M212" s="27">
        <f>IF(G212="","",MAX(0,IF(H212&lt;&gt;"",H212-G212,IF(I212="Completed",0,TODAY()-G212))))</f>
        <v/>
      </c>
      <c r="N212" s="27" t="inlineStr"/>
    </row>
    <row r="213">
      <c r="A213" s="27" t="inlineStr"/>
      <c r="B213" s="27" t="inlineStr"/>
      <c r="C213" s="27" t="inlineStr"/>
      <c r="D213" s="27" t="inlineStr"/>
      <c r="E213" s="27" t="inlineStr"/>
      <c r="F213" s="36" t="inlineStr"/>
      <c r="G213" s="36" t="inlineStr"/>
      <c r="H213" s="36" t="inlineStr"/>
      <c r="I213" s="27" t="inlineStr"/>
      <c r="J213" s="27" t="inlineStr"/>
      <c r="K213" s="27" t="inlineStr"/>
      <c r="L213" s="29" t="inlineStr"/>
      <c r="M213" s="27">
        <f>IF(G213="","",MAX(0,IF(H213&lt;&gt;"",H213-G213,IF(I213="Completed",0,TODAY()-G213))))</f>
        <v/>
      </c>
      <c r="N213" s="27" t="inlineStr"/>
    </row>
    <row r="214">
      <c r="A214" s="27" t="inlineStr"/>
      <c r="B214" s="27" t="inlineStr"/>
      <c r="C214" s="27" t="inlineStr"/>
      <c r="D214" s="27" t="inlineStr"/>
      <c r="E214" s="27" t="inlineStr"/>
      <c r="F214" s="36" t="inlineStr"/>
      <c r="G214" s="36" t="inlineStr"/>
      <c r="H214" s="36" t="inlineStr"/>
      <c r="I214" s="27" t="inlineStr"/>
      <c r="J214" s="27" t="inlineStr"/>
      <c r="K214" s="27" t="inlineStr"/>
      <c r="L214" s="29" t="inlineStr"/>
      <c r="M214" s="27">
        <f>IF(G214="","",MAX(0,IF(H214&lt;&gt;"",H214-G214,IF(I214="Completed",0,TODAY()-G214))))</f>
        <v/>
      </c>
      <c r="N214" s="27" t="inlineStr"/>
    </row>
    <row r="215">
      <c r="A215" s="27" t="inlineStr"/>
      <c r="B215" s="27" t="inlineStr"/>
      <c r="C215" s="27" t="inlineStr"/>
      <c r="D215" s="27" t="inlineStr"/>
      <c r="E215" s="27" t="inlineStr"/>
      <c r="F215" s="36" t="inlineStr"/>
      <c r="G215" s="36" t="inlineStr"/>
      <c r="H215" s="36" t="inlineStr"/>
      <c r="I215" s="27" t="inlineStr"/>
      <c r="J215" s="27" t="inlineStr"/>
      <c r="K215" s="27" t="inlineStr"/>
      <c r="L215" s="29" t="inlineStr"/>
      <c r="M215" s="27">
        <f>IF(G215="","",MAX(0,IF(H215&lt;&gt;"",H215-G215,IF(I215="Completed",0,TODAY()-G215))))</f>
        <v/>
      </c>
      <c r="N215" s="27" t="inlineStr"/>
    </row>
    <row r="216">
      <c r="A216" s="27" t="inlineStr"/>
      <c r="B216" s="27" t="inlineStr"/>
      <c r="C216" s="27" t="inlineStr"/>
      <c r="D216" s="27" t="inlineStr"/>
      <c r="E216" s="27" t="inlineStr"/>
      <c r="F216" s="36" t="inlineStr"/>
      <c r="G216" s="36" t="inlineStr"/>
      <c r="H216" s="36" t="inlineStr"/>
      <c r="I216" s="27" t="inlineStr"/>
      <c r="J216" s="27" t="inlineStr"/>
      <c r="K216" s="27" t="inlineStr"/>
      <c r="L216" s="29" t="inlineStr"/>
      <c r="M216" s="27">
        <f>IF(G216="","",MAX(0,IF(H216&lt;&gt;"",H216-G216,IF(I216="Completed",0,TODAY()-G216))))</f>
        <v/>
      </c>
      <c r="N216" s="27" t="inlineStr"/>
    </row>
    <row r="217">
      <c r="A217" s="27" t="inlineStr"/>
      <c r="B217" s="27" t="inlineStr"/>
      <c r="C217" s="27" t="inlineStr"/>
      <c r="D217" s="27" t="inlineStr"/>
      <c r="E217" s="27" t="inlineStr"/>
      <c r="F217" s="36" t="inlineStr"/>
      <c r="G217" s="36" t="inlineStr"/>
      <c r="H217" s="36" t="inlineStr"/>
      <c r="I217" s="27" t="inlineStr"/>
      <c r="J217" s="27" t="inlineStr"/>
      <c r="K217" s="27" t="inlineStr"/>
      <c r="L217" s="29" t="inlineStr"/>
      <c r="M217" s="27">
        <f>IF(G217="","",MAX(0,IF(H217&lt;&gt;"",H217-G217,IF(I217="Completed",0,TODAY()-G217))))</f>
        <v/>
      </c>
      <c r="N217" s="27" t="inlineStr"/>
    </row>
    <row r="218">
      <c r="A218" s="27" t="inlineStr"/>
      <c r="B218" s="27" t="inlineStr"/>
      <c r="C218" s="27" t="inlineStr"/>
      <c r="D218" s="27" t="inlineStr"/>
      <c r="E218" s="27" t="inlineStr"/>
      <c r="F218" s="36" t="inlineStr"/>
      <c r="G218" s="36" t="inlineStr"/>
      <c r="H218" s="36" t="inlineStr"/>
      <c r="I218" s="27" t="inlineStr"/>
      <c r="J218" s="27" t="inlineStr"/>
      <c r="K218" s="27" t="inlineStr"/>
      <c r="L218" s="29" t="inlineStr"/>
      <c r="M218" s="27">
        <f>IF(G218="","",MAX(0,IF(H218&lt;&gt;"",H218-G218,IF(I218="Completed",0,TODAY()-G218))))</f>
        <v/>
      </c>
      <c r="N218" s="27" t="inlineStr"/>
    </row>
    <row r="219">
      <c r="A219" s="27" t="inlineStr"/>
      <c r="B219" s="27" t="inlineStr"/>
      <c r="C219" s="27" t="inlineStr"/>
      <c r="D219" s="27" t="inlineStr"/>
      <c r="E219" s="27" t="inlineStr"/>
      <c r="F219" s="36" t="inlineStr"/>
      <c r="G219" s="36" t="inlineStr"/>
      <c r="H219" s="36" t="inlineStr"/>
      <c r="I219" s="27" t="inlineStr"/>
      <c r="J219" s="27" t="inlineStr"/>
      <c r="K219" s="27" t="inlineStr"/>
      <c r="L219" s="29" t="inlineStr"/>
      <c r="M219" s="27">
        <f>IF(G219="","",MAX(0,IF(H219&lt;&gt;"",H219-G219,IF(I219="Completed",0,TODAY()-G219))))</f>
        <v/>
      </c>
      <c r="N219" s="27" t="inlineStr"/>
    </row>
    <row r="220">
      <c r="A220" s="27" t="inlineStr"/>
      <c r="B220" s="27" t="inlineStr"/>
      <c r="C220" s="27" t="inlineStr"/>
      <c r="D220" s="27" t="inlineStr"/>
      <c r="E220" s="27" t="inlineStr"/>
      <c r="F220" s="36" t="inlineStr"/>
      <c r="G220" s="36" t="inlineStr"/>
      <c r="H220" s="36" t="inlineStr"/>
      <c r="I220" s="27" t="inlineStr"/>
      <c r="J220" s="27" t="inlineStr"/>
      <c r="K220" s="27" t="inlineStr"/>
      <c r="L220" s="29" t="inlineStr"/>
      <c r="M220" s="27">
        <f>IF(G220="","",MAX(0,IF(H220&lt;&gt;"",H220-G220,IF(I220="Completed",0,TODAY()-G220))))</f>
        <v/>
      </c>
      <c r="N220" s="27" t="inlineStr"/>
    </row>
    <row r="221">
      <c r="A221" s="27" t="inlineStr"/>
      <c r="B221" s="27" t="inlineStr"/>
      <c r="C221" s="27" t="inlineStr"/>
      <c r="D221" s="27" t="inlineStr"/>
      <c r="E221" s="27" t="inlineStr"/>
      <c r="F221" s="36" t="inlineStr"/>
      <c r="G221" s="36" t="inlineStr"/>
      <c r="H221" s="36" t="inlineStr"/>
      <c r="I221" s="27" t="inlineStr"/>
      <c r="J221" s="27" t="inlineStr"/>
      <c r="K221" s="27" t="inlineStr"/>
      <c r="L221" s="29" t="inlineStr"/>
      <c r="M221" s="27">
        <f>IF(G221="","",MAX(0,IF(H221&lt;&gt;"",H221-G221,IF(I221="Completed",0,TODAY()-G221))))</f>
        <v/>
      </c>
      <c r="N221" s="27" t="inlineStr"/>
    </row>
    <row r="222">
      <c r="A222" s="27" t="inlineStr"/>
      <c r="B222" s="27" t="inlineStr"/>
      <c r="C222" s="27" t="inlineStr"/>
      <c r="D222" s="27" t="inlineStr"/>
      <c r="E222" s="27" t="inlineStr"/>
      <c r="F222" s="36" t="inlineStr"/>
      <c r="G222" s="36" t="inlineStr"/>
      <c r="H222" s="36" t="inlineStr"/>
      <c r="I222" s="27" t="inlineStr"/>
      <c r="J222" s="27" t="inlineStr"/>
      <c r="K222" s="27" t="inlineStr"/>
      <c r="L222" s="29" t="inlineStr"/>
      <c r="M222" s="27">
        <f>IF(G222="","",MAX(0,IF(H222&lt;&gt;"",H222-G222,IF(I222="Completed",0,TODAY()-G222))))</f>
        <v/>
      </c>
      <c r="N222" s="27" t="inlineStr"/>
    </row>
    <row r="223">
      <c r="A223" s="27" t="inlineStr"/>
      <c r="B223" s="27" t="inlineStr"/>
      <c r="C223" s="27" t="inlineStr"/>
      <c r="D223" s="27" t="inlineStr"/>
      <c r="E223" s="27" t="inlineStr"/>
      <c r="F223" s="36" t="inlineStr"/>
      <c r="G223" s="36" t="inlineStr"/>
      <c r="H223" s="36" t="inlineStr"/>
      <c r="I223" s="27" t="inlineStr"/>
      <c r="J223" s="27" t="inlineStr"/>
      <c r="K223" s="27" t="inlineStr"/>
      <c r="L223" s="29" t="inlineStr"/>
      <c r="M223" s="27">
        <f>IF(G223="","",MAX(0,IF(H223&lt;&gt;"",H223-G223,IF(I223="Completed",0,TODAY()-G223))))</f>
        <v/>
      </c>
      <c r="N223" s="27" t="inlineStr"/>
    </row>
    <row r="224">
      <c r="A224" s="27" t="inlineStr"/>
      <c r="B224" s="27" t="inlineStr"/>
      <c r="C224" s="27" t="inlineStr"/>
      <c r="D224" s="27" t="inlineStr"/>
      <c r="E224" s="27" t="inlineStr"/>
      <c r="F224" s="36" t="inlineStr"/>
      <c r="G224" s="36" t="inlineStr"/>
      <c r="H224" s="36" t="inlineStr"/>
      <c r="I224" s="27" t="inlineStr"/>
      <c r="J224" s="27" t="inlineStr"/>
      <c r="K224" s="27" t="inlineStr"/>
      <c r="L224" s="29" t="inlineStr"/>
      <c r="M224" s="27">
        <f>IF(G224="","",MAX(0,IF(H224&lt;&gt;"",H224-G224,IF(I224="Completed",0,TODAY()-G224))))</f>
        <v/>
      </c>
      <c r="N224" s="27" t="inlineStr"/>
    </row>
    <row r="225">
      <c r="A225" s="27" t="inlineStr"/>
      <c r="B225" s="27" t="inlineStr"/>
      <c r="C225" s="27" t="inlineStr"/>
      <c r="D225" s="27" t="inlineStr"/>
      <c r="E225" s="27" t="inlineStr"/>
      <c r="F225" s="36" t="inlineStr"/>
      <c r="G225" s="36" t="inlineStr"/>
      <c r="H225" s="36" t="inlineStr"/>
      <c r="I225" s="27" t="inlineStr"/>
      <c r="J225" s="27" t="inlineStr"/>
      <c r="K225" s="27" t="inlineStr"/>
      <c r="L225" s="29" t="inlineStr"/>
      <c r="M225" s="27">
        <f>IF(G225="","",MAX(0,IF(H225&lt;&gt;"",H225-G225,IF(I225="Completed",0,TODAY()-G225))))</f>
        <v/>
      </c>
      <c r="N225" s="27" t="inlineStr"/>
    </row>
    <row r="226">
      <c r="A226" s="27" t="inlineStr"/>
      <c r="B226" s="27" t="inlineStr"/>
      <c r="C226" s="27" t="inlineStr"/>
      <c r="D226" s="27" t="inlineStr"/>
      <c r="E226" s="27" t="inlineStr"/>
      <c r="F226" s="36" t="inlineStr"/>
      <c r="G226" s="36" t="inlineStr"/>
      <c r="H226" s="36" t="inlineStr"/>
      <c r="I226" s="27" t="inlineStr"/>
      <c r="J226" s="27" t="inlineStr"/>
      <c r="K226" s="27" t="inlineStr"/>
      <c r="L226" s="29" t="inlineStr"/>
      <c r="M226" s="27">
        <f>IF(G226="","",MAX(0,IF(H226&lt;&gt;"",H226-G226,IF(I226="Completed",0,TODAY()-G226))))</f>
        <v/>
      </c>
      <c r="N226" s="27" t="inlineStr"/>
    </row>
    <row r="227">
      <c r="A227" s="27" t="inlineStr"/>
      <c r="B227" s="27" t="inlineStr"/>
      <c r="C227" s="27" t="inlineStr"/>
      <c r="D227" s="27" t="inlineStr"/>
      <c r="E227" s="27" t="inlineStr"/>
      <c r="F227" s="36" t="inlineStr"/>
      <c r="G227" s="36" t="inlineStr"/>
      <c r="H227" s="36" t="inlineStr"/>
      <c r="I227" s="27" t="inlineStr"/>
      <c r="J227" s="27" t="inlineStr"/>
      <c r="K227" s="27" t="inlineStr"/>
      <c r="L227" s="29" t="inlineStr"/>
      <c r="M227" s="27">
        <f>IF(G227="","",MAX(0,IF(H227&lt;&gt;"",H227-G227,IF(I227="Completed",0,TODAY()-G227))))</f>
        <v/>
      </c>
      <c r="N227" s="27" t="inlineStr"/>
    </row>
    <row r="228">
      <c r="A228" s="27" t="inlineStr"/>
      <c r="B228" s="27" t="inlineStr"/>
      <c r="C228" s="27" t="inlineStr"/>
      <c r="D228" s="27" t="inlineStr"/>
      <c r="E228" s="27" t="inlineStr"/>
      <c r="F228" s="36" t="inlineStr"/>
      <c r="G228" s="36" t="inlineStr"/>
      <c r="H228" s="36" t="inlineStr"/>
      <c r="I228" s="27" t="inlineStr"/>
      <c r="J228" s="27" t="inlineStr"/>
      <c r="K228" s="27" t="inlineStr"/>
      <c r="L228" s="29" t="inlineStr"/>
      <c r="M228" s="27">
        <f>IF(G228="","",MAX(0,IF(H228&lt;&gt;"",H228-G228,IF(I228="Completed",0,TODAY()-G228))))</f>
        <v/>
      </c>
      <c r="N228" s="27" t="inlineStr"/>
    </row>
    <row r="229">
      <c r="A229" s="27" t="inlineStr"/>
      <c r="B229" s="27" t="inlineStr"/>
      <c r="C229" s="27" t="inlineStr"/>
      <c r="D229" s="27" t="inlineStr"/>
      <c r="E229" s="27" t="inlineStr"/>
      <c r="F229" s="36" t="inlineStr"/>
      <c r="G229" s="36" t="inlineStr"/>
      <c r="H229" s="36" t="inlineStr"/>
      <c r="I229" s="27" t="inlineStr"/>
      <c r="J229" s="27" t="inlineStr"/>
      <c r="K229" s="27" t="inlineStr"/>
      <c r="L229" s="29" t="inlineStr"/>
      <c r="M229" s="27">
        <f>IF(G229="","",MAX(0,IF(H229&lt;&gt;"",H229-G229,IF(I229="Completed",0,TODAY()-G229))))</f>
        <v/>
      </c>
      <c r="N229" s="27" t="inlineStr"/>
    </row>
    <row r="230">
      <c r="A230" s="27" t="inlineStr"/>
      <c r="B230" s="27" t="inlineStr"/>
      <c r="C230" s="27" t="inlineStr"/>
      <c r="D230" s="27" t="inlineStr"/>
      <c r="E230" s="27" t="inlineStr"/>
      <c r="F230" s="36" t="inlineStr"/>
      <c r="G230" s="36" t="inlineStr"/>
      <c r="H230" s="36" t="inlineStr"/>
      <c r="I230" s="27" t="inlineStr"/>
      <c r="J230" s="27" t="inlineStr"/>
      <c r="K230" s="27" t="inlineStr"/>
      <c r="L230" s="29" t="inlineStr"/>
      <c r="M230" s="27">
        <f>IF(G230="","",MAX(0,IF(H230&lt;&gt;"",H230-G230,IF(I230="Completed",0,TODAY()-G230))))</f>
        <v/>
      </c>
      <c r="N230" s="27" t="inlineStr"/>
    </row>
    <row r="231">
      <c r="A231" s="27" t="inlineStr"/>
      <c r="B231" s="27" t="inlineStr"/>
      <c r="C231" s="27" t="inlineStr"/>
      <c r="D231" s="27" t="inlineStr"/>
      <c r="E231" s="27" t="inlineStr"/>
      <c r="F231" s="36" t="inlineStr"/>
      <c r="G231" s="36" t="inlineStr"/>
      <c r="H231" s="36" t="inlineStr"/>
      <c r="I231" s="27" t="inlineStr"/>
      <c r="J231" s="27" t="inlineStr"/>
      <c r="K231" s="27" t="inlineStr"/>
      <c r="L231" s="29" t="inlineStr"/>
      <c r="M231" s="27">
        <f>IF(G231="","",MAX(0,IF(H231&lt;&gt;"",H231-G231,IF(I231="Completed",0,TODAY()-G231))))</f>
        <v/>
      </c>
      <c r="N231" s="27" t="inlineStr"/>
    </row>
    <row r="232">
      <c r="A232" s="27" t="inlineStr"/>
      <c r="B232" s="27" t="inlineStr"/>
      <c r="C232" s="27" t="inlineStr"/>
      <c r="D232" s="27" t="inlineStr"/>
      <c r="E232" s="27" t="inlineStr"/>
      <c r="F232" s="36" t="inlineStr"/>
      <c r="G232" s="36" t="inlineStr"/>
      <c r="H232" s="36" t="inlineStr"/>
      <c r="I232" s="27" t="inlineStr"/>
      <c r="J232" s="27" t="inlineStr"/>
      <c r="K232" s="27" t="inlineStr"/>
      <c r="L232" s="29" t="inlineStr"/>
      <c r="M232" s="27">
        <f>IF(G232="","",MAX(0,IF(H232&lt;&gt;"",H232-G232,IF(I232="Completed",0,TODAY()-G232))))</f>
        <v/>
      </c>
      <c r="N232" s="27" t="inlineStr"/>
    </row>
    <row r="233">
      <c r="A233" s="27" t="inlineStr"/>
      <c r="B233" s="27" t="inlineStr"/>
      <c r="C233" s="27" t="inlineStr"/>
      <c r="D233" s="27" t="inlineStr"/>
      <c r="E233" s="27" t="inlineStr"/>
      <c r="F233" s="36" t="inlineStr"/>
      <c r="G233" s="36" t="inlineStr"/>
      <c r="H233" s="36" t="inlineStr"/>
      <c r="I233" s="27" t="inlineStr"/>
      <c r="J233" s="27" t="inlineStr"/>
      <c r="K233" s="27" t="inlineStr"/>
      <c r="L233" s="29" t="inlineStr"/>
      <c r="M233" s="27">
        <f>IF(G233="","",MAX(0,IF(H233&lt;&gt;"",H233-G233,IF(I233="Completed",0,TODAY()-G233))))</f>
        <v/>
      </c>
      <c r="N233" s="27" t="inlineStr"/>
    </row>
    <row r="234">
      <c r="A234" s="27" t="inlineStr"/>
      <c r="B234" s="27" t="inlineStr"/>
      <c r="C234" s="27" t="inlineStr"/>
      <c r="D234" s="27" t="inlineStr"/>
      <c r="E234" s="27" t="inlineStr"/>
      <c r="F234" s="36" t="inlineStr"/>
      <c r="G234" s="36" t="inlineStr"/>
      <c r="H234" s="36" t="inlineStr"/>
      <c r="I234" s="27" t="inlineStr"/>
      <c r="J234" s="27" t="inlineStr"/>
      <c r="K234" s="27" t="inlineStr"/>
      <c r="L234" s="29" t="inlineStr"/>
      <c r="M234" s="27">
        <f>IF(G234="","",MAX(0,IF(H234&lt;&gt;"",H234-G234,IF(I234="Completed",0,TODAY()-G234))))</f>
        <v/>
      </c>
      <c r="N234" s="27" t="inlineStr"/>
    </row>
    <row r="235">
      <c r="A235" s="27" t="inlineStr"/>
      <c r="B235" s="27" t="inlineStr"/>
      <c r="C235" s="27" t="inlineStr"/>
      <c r="D235" s="27" t="inlineStr"/>
      <c r="E235" s="27" t="inlineStr"/>
      <c r="F235" s="36" t="inlineStr"/>
      <c r="G235" s="36" t="inlineStr"/>
      <c r="H235" s="36" t="inlineStr"/>
      <c r="I235" s="27" t="inlineStr"/>
      <c r="J235" s="27" t="inlineStr"/>
      <c r="K235" s="27" t="inlineStr"/>
      <c r="L235" s="29" t="inlineStr"/>
      <c r="M235" s="27">
        <f>IF(G235="","",MAX(0,IF(H235&lt;&gt;"",H235-G235,IF(I235="Completed",0,TODAY()-G235))))</f>
        <v/>
      </c>
      <c r="N235" s="27" t="inlineStr"/>
    </row>
    <row r="236">
      <c r="A236" s="27" t="inlineStr"/>
      <c r="B236" s="27" t="inlineStr"/>
      <c r="C236" s="27" t="inlineStr"/>
      <c r="D236" s="27" t="inlineStr"/>
      <c r="E236" s="27" t="inlineStr"/>
      <c r="F236" s="36" t="inlineStr"/>
      <c r="G236" s="36" t="inlineStr"/>
      <c r="H236" s="36" t="inlineStr"/>
      <c r="I236" s="27" t="inlineStr"/>
      <c r="J236" s="27" t="inlineStr"/>
      <c r="K236" s="27" t="inlineStr"/>
      <c r="L236" s="29" t="inlineStr"/>
      <c r="M236" s="27">
        <f>IF(G236="","",MAX(0,IF(H236&lt;&gt;"",H236-G236,IF(I236="Completed",0,TODAY()-G236))))</f>
        <v/>
      </c>
      <c r="N236" s="27" t="inlineStr"/>
    </row>
    <row r="237">
      <c r="A237" s="27" t="inlineStr"/>
      <c r="B237" s="27" t="inlineStr"/>
      <c r="C237" s="27" t="inlineStr"/>
      <c r="D237" s="27" t="inlineStr"/>
      <c r="E237" s="27" t="inlineStr"/>
      <c r="F237" s="36" t="inlineStr"/>
      <c r="G237" s="36" t="inlineStr"/>
      <c r="H237" s="36" t="inlineStr"/>
      <c r="I237" s="27" t="inlineStr"/>
      <c r="J237" s="27" t="inlineStr"/>
      <c r="K237" s="27" t="inlineStr"/>
      <c r="L237" s="29" t="inlineStr"/>
      <c r="M237" s="27">
        <f>IF(G237="","",MAX(0,IF(H237&lt;&gt;"",H237-G237,IF(I237="Completed",0,TODAY()-G237))))</f>
        <v/>
      </c>
      <c r="N237" s="27" t="inlineStr"/>
    </row>
    <row r="238">
      <c r="A238" s="27" t="inlineStr"/>
      <c r="B238" s="27" t="inlineStr"/>
      <c r="C238" s="27" t="inlineStr"/>
      <c r="D238" s="27" t="inlineStr"/>
      <c r="E238" s="27" t="inlineStr"/>
      <c r="F238" s="36" t="inlineStr"/>
      <c r="G238" s="36" t="inlineStr"/>
      <c r="H238" s="36" t="inlineStr"/>
      <c r="I238" s="27" t="inlineStr"/>
      <c r="J238" s="27" t="inlineStr"/>
      <c r="K238" s="27" t="inlineStr"/>
      <c r="L238" s="29" t="inlineStr"/>
      <c r="M238" s="27">
        <f>IF(G238="","",MAX(0,IF(H238&lt;&gt;"",H238-G238,IF(I238="Completed",0,TODAY()-G238))))</f>
        <v/>
      </c>
      <c r="N238" s="27" t="inlineStr"/>
    </row>
    <row r="239">
      <c r="A239" s="27" t="inlineStr"/>
      <c r="B239" s="27" t="inlineStr"/>
      <c r="C239" s="27" t="inlineStr"/>
      <c r="D239" s="27" t="inlineStr"/>
      <c r="E239" s="27" t="inlineStr"/>
      <c r="F239" s="36" t="inlineStr"/>
      <c r="G239" s="36" t="inlineStr"/>
      <c r="H239" s="36" t="inlineStr"/>
      <c r="I239" s="27" t="inlineStr"/>
      <c r="J239" s="27" t="inlineStr"/>
      <c r="K239" s="27" t="inlineStr"/>
      <c r="L239" s="29" t="inlineStr"/>
      <c r="M239" s="27">
        <f>IF(G239="","",MAX(0,IF(H239&lt;&gt;"",H239-G239,IF(I239="Completed",0,TODAY()-G239))))</f>
        <v/>
      </c>
      <c r="N239" s="27" t="inlineStr"/>
    </row>
    <row r="240">
      <c r="A240" s="27" t="inlineStr"/>
      <c r="B240" s="27" t="inlineStr"/>
      <c r="C240" s="27" t="inlineStr"/>
      <c r="D240" s="27" t="inlineStr"/>
      <c r="E240" s="27" t="inlineStr"/>
      <c r="F240" s="36" t="inlineStr"/>
      <c r="G240" s="36" t="inlineStr"/>
      <c r="H240" s="36" t="inlineStr"/>
      <c r="I240" s="27" t="inlineStr"/>
      <c r="J240" s="27" t="inlineStr"/>
      <c r="K240" s="27" t="inlineStr"/>
      <c r="L240" s="29" t="inlineStr"/>
      <c r="M240" s="27">
        <f>IF(G240="","",MAX(0,IF(H240&lt;&gt;"",H240-G240,IF(I240="Completed",0,TODAY()-G240))))</f>
        <v/>
      </c>
      <c r="N240" s="27" t="inlineStr"/>
    </row>
    <row r="241">
      <c r="A241" s="27" t="inlineStr"/>
      <c r="B241" s="27" t="inlineStr"/>
      <c r="C241" s="27" t="inlineStr"/>
      <c r="D241" s="27" t="inlineStr"/>
      <c r="E241" s="27" t="inlineStr"/>
      <c r="F241" s="36" t="inlineStr"/>
      <c r="G241" s="36" t="inlineStr"/>
      <c r="H241" s="36" t="inlineStr"/>
      <c r="I241" s="27" t="inlineStr"/>
      <c r="J241" s="27" t="inlineStr"/>
      <c r="K241" s="27" t="inlineStr"/>
      <c r="L241" s="29" t="inlineStr"/>
      <c r="M241" s="27">
        <f>IF(G241="","",MAX(0,IF(H241&lt;&gt;"",H241-G241,IF(I241="Completed",0,TODAY()-G241))))</f>
        <v/>
      </c>
      <c r="N241" s="27" t="inlineStr"/>
    </row>
    <row r="242">
      <c r="A242" s="27" t="inlineStr"/>
      <c r="B242" s="27" t="inlineStr"/>
      <c r="C242" s="27" t="inlineStr"/>
      <c r="D242" s="27" t="inlineStr"/>
      <c r="E242" s="27" t="inlineStr"/>
      <c r="F242" s="36" t="inlineStr"/>
      <c r="G242" s="36" t="inlineStr"/>
      <c r="H242" s="36" t="inlineStr"/>
      <c r="I242" s="27" t="inlineStr"/>
      <c r="J242" s="27" t="inlineStr"/>
      <c r="K242" s="27" t="inlineStr"/>
      <c r="L242" s="29" t="inlineStr"/>
      <c r="M242" s="27">
        <f>IF(G242="","",MAX(0,IF(H242&lt;&gt;"",H242-G242,IF(I242="Completed",0,TODAY()-G242))))</f>
        <v/>
      </c>
      <c r="N242" s="27" t="inlineStr"/>
    </row>
    <row r="243">
      <c r="A243" s="27" t="inlineStr"/>
      <c r="B243" s="27" t="inlineStr"/>
      <c r="C243" s="27" t="inlineStr"/>
      <c r="D243" s="27" t="inlineStr"/>
      <c r="E243" s="27" t="inlineStr"/>
      <c r="F243" s="36" t="inlineStr"/>
      <c r="G243" s="36" t="inlineStr"/>
      <c r="H243" s="36" t="inlineStr"/>
      <c r="I243" s="27" t="inlineStr"/>
      <c r="J243" s="27" t="inlineStr"/>
      <c r="K243" s="27" t="inlineStr"/>
      <c r="L243" s="29" t="inlineStr"/>
      <c r="M243" s="27">
        <f>IF(G243="","",MAX(0,IF(H243&lt;&gt;"",H243-G243,IF(I243="Completed",0,TODAY()-G243))))</f>
        <v/>
      </c>
      <c r="N243" s="27" t="inlineStr"/>
    </row>
    <row r="244">
      <c r="A244" s="27" t="inlineStr"/>
      <c r="B244" s="27" t="inlineStr"/>
      <c r="C244" s="27" t="inlineStr"/>
      <c r="D244" s="27" t="inlineStr"/>
      <c r="E244" s="27" t="inlineStr"/>
      <c r="F244" s="36" t="inlineStr"/>
      <c r="G244" s="36" t="inlineStr"/>
      <c r="H244" s="36" t="inlineStr"/>
      <c r="I244" s="27" t="inlineStr"/>
      <c r="J244" s="27" t="inlineStr"/>
      <c r="K244" s="27" t="inlineStr"/>
      <c r="L244" s="29" t="inlineStr"/>
      <c r="M244" s="27">
        <f>IF(G244="","",MAX(0,IF(H244&lt;&gt;"",H244-G244,IF(I244="Completed",0,TODAY()-G244))))</f>
        <v/>
      </c>
      <c r="N244" s="27" t="inlineStr"/>
    </row>
    <row r="245">
      <c r="A245" s="27" t="inlineStr"/>
      <c r="B245" s="27" t="inlineStr"/>
      <c r="C245" s="27" t="inlineStr"/>
      <c r="D245" s="27" t="inlineStr"/>
      <c r="E245" s="27" t="inlineStr"/>
      <c r="F245" s="36" t="inlineStr"/>
      <c r="G245" s="36" t="inlineStr"/>
      <c r="H245" s="36" t="inlineStr"/>
      <c r="I245" s="27" t="inlineStr"/>
      <c r="J245" s="27" t="inlineStr"/>
      <c r="K245" s="27" t="inlineStr"/>
      <c r="L245" s="29" t="inlineStr"/>
      <c r="M245" s="27">
        <f>IF(G245="","",MAX(0,IF(H245&lt;&gt;"",H245-G245,IF(I245="Completed",0,TODAY()-G245))))</f>
        <v/>
      </c>
      <c r="N245" s="27" t="inlineStr"/>
    </row>
    <row r="246">
      <c r="A246" s="27" t="inlineStr"/>
      <c r="B246" s="27" t="inlineStr"/>
      <c r="C246" s="27" t="inlineStr"/>
      <c r="D246" s="27" t="inlineStr"/>
      <c r="E246" s="27" t="inlineStr"/>
      <c r="F246" s="36" t="inlineStr"/>
      <c r="G246" s="36" t="inlineStr"/>
      <c r="H246" s="36" t="inlineStr"/>
      <c r="I246" s="27" t="inlineStr"/>
      <c r="J246" s="27" t="inlineStr"/>
      <c r="K246" s="27" t="inlineStr"/>
      <c r="L246" s="29" t="inlineStr"/>
      <c r="M246" s="27">
        <f>IF(G246="","",MAX(0,IF(H246&lt;&gt;"",H246-G246,IF(I246="Completed",0,TODAY()-G246))))</f>
        <v/>
      </c>
      <c r="N246" s="27" t="inlineStr"/>
    </row>
    <row r="247">
      <c r="A247" s="27" t="inlineStr"/>
      <c r="B247" s="27" t="inlineStr"/>
      <c r="C247" s="27" t="inlineStr"/>
      <c r="D247" s="27" t="inlineStr"/>
      <c r="E247" s="27" t="inlineStr"/>
      <c r="F247" s="36" t="inlineStr"/>
      <c r="G247" s="36" t="inlineStr"/>
      <c r="H247" s="36" t="inlineStr"/>
      <c r="I247" s="27" t="inlineStr"/>
      <c r="J247" s="27" t="inlineStr"/>
      <c r="K247" s="27" t="inlineStr"/>
      <c r="L247" s="29" t="inlineStr"/>
      <c r="M247" s="27">
        <f>IF(G247="","",MAX(0,IF(H247&lt;&gt;"",H247-G247,IF(I247="Completed",0,TODAY()-G247))))</f>
        <v/>
      </c>
      <c r="N247" s="27" t="inlineStr"/>
    </row>
    <row r="248">
      <c r="A248" s="27" t="inlineStr"/>
      <c r="B248" s="27" t="inlineStr"/>
      <c r="C248" s="27" t="inlineStr"/>
      <c r="D248" s="27" t="inlineStr"/>
      <c r="E248" s="27" t="inlineStr"/>
      <c r="F248" s="36" t="inlineStr"/>
      <c r="G248" s="36" t="inlineStr"/>
      <c r="H248" s="36" t="inlineStr"/>
      <c r="I248" s="27" t="inlineStr"/>
      <c r="J248" s="27" t="inlineStr"/>
      <c r="K248" s="27" t="inlineStr"/>
      <c r="L248" s="29" t="inlineStr"/>
      <c r="M248" s="27">
        <f>IF(G248="","",MAX(0,IF(H248&lt;&gt;"",H248-G248,IF(I248="Completed",0,TODAY()-G248))))</f>
        <v/>
      </c>
      <c r="N248" s="27" t="inlineStr"/>
    </row>
    <row r="249">
      <c r="A249" s="27" t="inlineStr"/>
      <c r="B249" s="27" t="inlineStr"/>
      <c r="C249" s="27" t="inlineStr"/>
      <c r="D249" s="27" t="inlineStr"/>
      <c r="E249" s="27" t="inlineStr"/>
      <c r="F249" s="36" t="inlineStr"/>
      <c r="G249" s="36" t="inlineStr"/>
      <c r="H249" s="36" t="inlineStr"/>
      <c r="I249" s="27" t="inlineStr"/>
      <c r="J249" s="27" t="inlineStr"/>
      <c r="K249" s="27" t="inlineStr"/>
      <c r="L249" s="29" t="inlineStr"/>
      <c r="M249" s="27">
        <f>IF(G249="","",MAX(0,IF(H249&lt;&gt;"",H249-G249,IF(I249="Completed",0,TODAY()-G249))))</f>
        <v/>
      </c>
      <c r="N249" s="27" t="inlineStr"/>
    </row>
    <row r="250">
      <c r="A250" s="27" t="inlineStr"/>
      <c r="B250" s="27" t="inlineStr"/>
      <c r="C250" s="27" t="inlineStr"/>
      <c r="D250" s="27" t="inlineStr"/>
      <c r="E250" s="27" t="inlineStr"/>
      <c r="F250" s="36" t="inlineStr"/>
      <c r="G250" s="36" t="inlineStr"/>
      <c r="H250" s="36" t="inlineStr"/>
      <c r="I250" s="27" t="inlineStr"/>
      <c r="J250" s="27" t="inlineStr"/>
      <c r="K250" s="27" t="inlineStr"/>
      <c r="L250" s="29" t="inlineStr"/>
      <c r="M250" s="27">
        <f>IF(G250="","",MAX(0,IF(H250&lt;&gt;"",H250-G250,IF(I250="Completed",0,TODAY()-G250))))</f>
        <v/>
      </c>
      <c r="N250" s="27" t="inlineStr"/>
    </row>
    <row r="251">
      <c r="A251" s="27" t="inlineStr"/>
      <c r="B251" s="27" t="inlineStr"/>
      <c r="C251" s="27" t="inlineStr"/>
      <c r="D251" s="27" t="inlineStr"/>
      <c r="E251" s="27" t="inlineStr"/>
      <c r="F251" s="36" t="inlineStr"/>
      <c r="G251" s="36" t="inlineStr"/>
      <c r="H251" s="36" t="inlineStr"/>
      <c r="I251" s="27" t="inlineStr"/>
      <c r="J251" s="27" t="inlineStr"/>
      <c r="K251" s="27" t="inlineStr"/>
      <c r="L251" s="29" t="inlineStr"/>
      <c r="M251" s="27">
        <f>IF(G251="","",MAX(0,IF(H251&lt;&gt;"",H251-G251,IF(I251="Completed",0,TODAY()-G251))))</f>
        <v/>
      </c>
      <c r="N251" s="27" t="inlineStr"/>
    </row>
    <row r="252">
      <c r="A252" s="27" t="inlineStr"/>
      <c r="B252" s="27" t="inlineStr"/>
      <c r="C252" s="27" t="inlineStr"/>
      <c r="D252" s="27" t="inlineStr"/>
      <c r="E252" s="27" t="inlineStr"/>
      <c r="F252" s="36" t="inlineStr"/>
      <c r="G252" s="36" t="inlineStr"/>
      <c r="H252" s="36" t="inlineStr"/>
      <c r="I252" s="27" t="inlineStr"/>
      <c r="J252" s="27" t="inlineStr"/>
      <c r="K252" s="27" t="inlineStr"/>
      <c r="L252" s="29" t="inlineStr"/>
      <c r="M252" s="27">
        <f>IF(G252="","",MAX(0,IF(H252&lt;&gt;"",H252-G252,IF(I252="Completed",0,TODAY()-G252))))</f>
        <v/>
      </c>
      <c r="N252" s="27" t="inlineStr"/>
    </row>
    <row r="253">
      <c r="A253" s="27" t="inlineStr"/>
      <c r="B253" s="27" t="inlineStr"/>
      <c r="C253" s="27" t="inlineStr"/>
      <c r="D253" s="27" t="inlineStr"/>
      <c r="E253" s="27" t="inlineStr"/>
      <c r="F253" s="36" t="inlineStr"/>
      <c r="G253" s="36" t="inlineStr"/>
      <c r="H253" s="36" t="inlineStr"/>
      <c r="I253" s="27" t="inlineStr"/>
      <c r="J253" s="27" t="inlineStr"/>
      <c r="K253" s="27" t="inlineStr"/>
      <c r="L253" s="29" t="inlineStr"/>
      <c r="M253" s="27">
        <f>IF(G253="","",MAX(0,IF(H253&lt;&gt;"",H253-G253,IF(I253="Completed",0,TODAY()-G253))))</f>
        <v/>
      </c>
      <c r="N253" s="27" t="inlineStr"/>
    </row>
    <row r="254">
      <c r="A254" s="27" t="inlineStr"/>
      <c r="B254" s="27" t="inlineStr"/>
      <c r="C254" s="27" t="inlineStr"/>
      <c r="D254" s="27" t="inlineStr"/>
      <c r="E254" s="27" t="inlineStr"/>
      <c r="F254" s="36" t="inlineStr"/>
      <c r="G254" s="36" t="inlineStr"/>
      <c r="H254" s="36" t="inlineStr"/>
      <c r="I254" s="27" t="inlineStr"/>
      <c r="J254" s="27" t="inlineStr"/>
      <c r="K254" s="27" t="inlineStr"/>
      <c r="L254" s="29" t="inlineStr"/>
      <c r="M254" s="27">
        <f>IF(G254="","",MAX(0,IF(H254&lt;&gt;"",H254-G254,IF(I254="Completed",0,TODAY()-G254))))</f>
        <v/>
      </c>
      <c r="N254" s="27" t="inlineStr"/>
    </row>
    <row r="255">
      <c r="A255" s="27" t="inlineStr"/>
      <c r="B255" s="27" t="inlineStr"/>
      <c r="C255" s="27" t="inlineStr"/>
      <c r="D255" s="27" t="inlineStr"/>
      <c r="E255" s="27" t="inlineStr"/>
      <c r="F255" s="36" t="inlineStr"/>
      <c r="G255" s="36" t="inlineStr"/>
      <c r="H255" s="36" t="inlineStr"/>
      <c r="I255" s="27" t="inlineStr"/>
      <c r="J255" s="27" t="inlineStr"/>
      <c r="K255" s="27" t="inlineStr"/>
      <c r="L255" s="29" t="inlineStr"/>
      <c r="M255" s="27">
        <f>IF(G255="","",MAX(0,IF(H255&lt;&gt;"",H255-G255,IF(I255="Completed",0,TODAY()-G255))))</f>
        <v/>
      </c>
      <c r="N255" s="27" t="inlineStr"/>
    </row>
    <row r="256">
      <c r="A256" s="27" t="inlineStr"/>
      <c r="B256" s="27" t="inlineStr"/>
      <c r="C256" s="27" t="inlineStr"/>
      <c r="D256" s="27" t="inlineStr"/>
      <c r="E256" s="27" t="inlineStr"/>
      <c r="F256" s="36" t="inlineStr"/>
      <c r="G256" s="36" t="inlineStr"/>
      <c r="H256" s="36" t="inlineStr"/>
      <c r="I256" s="27" t="inlineStr"/>
      <c r="J256" s="27" t="inlineStr"/>
      <c r="K256" s="27" t="inlineStr"/>
      <c r="L256" s="29" t="inlineStr"/>
      <c r="M256" s="27">
        <f>IF(G256="","",MAX(0,IF(H256&lt;&gt;"",H256-G256,IF(I256="Completed",0,TODAY()-G256))))</f>
        <v/>
      </c>
      <c r="N256" s="27" t="inlineStr"/>
    </row>
    <row r="257">
      <c r="A257" s="27" t="inlineStr"/>
      <c r="B257" s="27" t="inlineStr"/>
      <c r="C257" s="27" t="inlineStr"/>
      <c r="D257" s="27" t="inlineStr"/>
      <c r="E257" s="27" t="inlineStr"/>
      <c r="F257" s="36" t="inlineStr"/>
      <c r="G257" s="36" t="inlineStr"/>
      <c r="H257" s="36" t="inlineStr"/>
      <c r="I257" s="27" t="inlineStr"/>
      <c r="J257" s="27" t="inlineStr"/>
      <c r="K257" s="27" t="inlineStr"/>
      <c r="L257" s="29" t="inlineStr"/>
      <c r="M257" s="27">
        <f>IF(G257="","",MAX(0,IF(H257&lt;&gt;"",H257-G257,IF(I257="Completed",0,TODAY()-G257))))</f>
        <v/>
      </c>
      <c r="N257" s="27" t="inlineStr"/>
    </row>
    <row r="258">
      <c r="A258" s="27" t="inlineStr"/>
      <c r="B258" s="27" t="inlineStr"/>
      <c r="C258" s="27" t="inlineStr"/>
      <c r="D258" s="27" t="inlineStr"/>
      <c r="E258" s="27" t="inlineStr"/>
      <c r="F258" s="36" t="inlineStr"/>
      <c r="G258" s="36" t="inlineStr"/>
      <c r="H258" s="36" t="inlineStr"/>
      <c r="I258" s="27" t="inlineStr"/>
      <c r="J258" s="27" t="inlineStr"/>
      <c r="K258" s="27" t="inlineStr"/>
      <c r="L258" s="29" t="inlineStr"/>
      <c r="M258" s="27">
        <f>IF(G258="","",MAX(0,IF(H258&lt;&gt;"",H258-G258,IF(I258="Completed",0,TODAY()-G258))))</f>
        <v/>
      </c>
      <c r="N258" s="27" t="inlineStr"/>
    </row>
    <row r="259">
      <c r="A259" s="27" t="inlineStr"/>
      <c r="B259" s="27" t="inlineStr"/>
      <c r="C259" s="27" t="inlineStr"/>
      <c r="D259" s="27" t="inlineStr"/>
      <c r="E259" s="27" t="inlineStr"/>
      <c r="F259" s="36" t="inlineStr"/>
      <c r="G259" s="36" t="inlineStr"/>
      <c r="H259" s="36" t="inlineStr"/>
      <c r="I259" s="27" t="inlineStr"/>
      <c r="J259" s="27" t="inlineStr"/>
      <c r="K259" s="27" t="inlineStr"/>
      <c r="L259" s="29" t="inlineStr"/>
      <c r="M259" s="27">
        <f>IF(G259="","",MAX(0,IF(H259&lt;&gt;"",H259-G259,IF(I259="Completed",0,TODAY()-G259))))</f>
        <v/>
      </c>
      <c r="N259" s="27" t="inlineStr"/>
    </row>
    <row r="260">
      <c r="A260" s="27" t="inlineStr"/>
      <c r="B260" s="27" t="inlineStr"/>
      <c r="C260" s="27" t="inlineStr"/>
      <c r="D260" s="27" t="inlineStr"/>
      <c r="E260" s="27" t="inlineStr"/>
      <c r="F260" s="36" t="inlineStr"/>
      <c r="G260" s="36" t="inlineStr"/>
      <c r="H260" s="36" t="inlineStr"/>
      <c r="I260" s="27" t="inlineStr"/>
      <c r="J260" s="27" t="inlineStr"/>
      <c r="K260" s="27" t="inlineStr"/>
      <c r="L260" s="29" t="inlineStr"/>
      <c r="M260" s="27">
        <f>IF(G260="","",MAX(0,IF(H260&lt;&gt;"",H260-G260,IF(I260="Completed",0,TODAY()-G260))))</f>
        <v/>
      </c>
      <c r="N260" s="27" t="inlineStr"/>
    </row>
    <row r="261">
      <c r="A261" s="27" t="inlineStr"/>
      <c r="B261" s="27" t="inlineStr"/>
      <c r="C261" s="27" t="inlineStr"/>
      <c r="D261" s="27" t="inlineStr"/>
      <c r="E261" s="27" t="inlineStr"/>
      <c r="F261" s="36" t="inlineStr"/>
      <c r="G261" s="36" t="inlineStr"/>
      <c r="H261" s="36" t="inlineStr"/>
      <c r="I261" s="27" t="inlineStr"/>
      <c r="J261" s="27" t="inlineStr"/>
      <c r="K261" s="27" t="inlineStr"/>
      <c r="L261" s="29" t="inlineStr"/>
      <c r="M261" s="27">
        <f>IF(G261="","",MAX(0,IF(H261&lt;&gt;"",H261-G261,IF(I261="Completed",0,TODAY()-G261))))</f>
        <v/>
      </c>
      <c r="N261" s="27" t="inlineStr"/>
    </row>
    <row r="262">
      <c r="A262" s="27" t="inlineStr"/>
      <c r="B262" s="27" t="inlineStr"/>
      <c r="C262" s="27" t="inlineStr"/>
      <c r="D262" s="27" t="inlineStr"/>
      <c r="E262" s="27" t="inlineStr"/>
      <c r="F262" s="36" t="inlineStr"/>
      <c r="G262" s="36" t="inlineStr"/>
      <c r="H262" s="36" t="inlineStr"/>
      <c r="I262" s="27" t="inlineStr"/>
      <c r="J262" s="27" t="inlineStr"/>
      <c r="K262" s="27" t="inlineStr"/>
      <c r="L262" s="29" t="inlineStr"/>
      <c r="M262" s="27">
        <f>IF(G262="","",MAX(0,IF(H262&lt;&gt;"",H262-G262,IF(I262="Completed",0,TODAY()-G262))))</f>
        <v/>
      </c>
      <c r="N262" s="27" t="inlineStr"/>
    </row>
    <row r="263">
      <c r="A263" s="27" t="inlineStr"/>
      <c r="B263" s="27" t="inlineStr"/>
      <c r="C263" s="27" t="inlineStr"/>
      <c r="D263" s="27" t="inlineStr"/>
      <c r="E263" s="27" t="inlineStr"/>
      <c r="F263" s="36" t="inlineStr"/>
      <c r="G263" s="36" t="inlineStr"/>
      <c r="H263" s="36" t="inlineStr"/>
      <c r="I263" s="27" t="inlineStr"/>
      <c r="J263" s="27" t="inlineStr"/>
      <c r="K263" s="27" t="inlineStr"/>
      <c r="L263" s="29" t="inlineStr"/>
      <c r="M263" s="27">
        <f>IF(G263="","",MAX(0,IF(H263&lt;&gt;"",H263-G263,IF(I263="Completed",0,TODAY()-G263))))</f>
        <v/>
      </c>
      <c r="N263" s="27" t="inlineStr"/>
    </row>
    <row r="264">
      <c r="A264" s="27" t="inlineStr"/>
      <c r="B264" s="27" t="inlineStr"/>
      <c r="C264" s="27" t="inlineStr"/>
      <c r="D264" s="27" t="inlineStr"/>
      <c r="E264" s="27" t="inlineStr"/>
      <c r="F264" s="36" t="inlineStr"/>
      <c r="G264" s="36" t="inlineStr"/>
      <c r="H264" s="36" t="inlineStr"/>
      <c r="I264" s="27" t="inlineStr"/>
      <c r="J264" s="27" t="inlineStr"/>
      <c r="K264" s="27" t="inlineStr"/>
      <c r="L264" s="29" t="inlineStr"/>
      <c r="M264" s="27">
        <f>IF(G264="","",MAX(0,IF(H264&lt;&gt;"",H264-G264,IF(I264="Completed",0,TODAY()-G264))))</f>
        <v/>
      </c>
      <c r="N264" s="27" t="inlineStr"/>
    </row>
    <row r="265">
      <c r="A265" s="27" t="inlineStr"/>
      <c r="B265" s="27" t="inlineStr"/>
      <c r="C265" s="27" t="inlineStr"/>
      <c r="D265" s="27" t="inlineStr"/>
      <c r="E265" s="27" t="inlineStr"/>
      <c r="F265" s="36" t="inlineStr"/>
      <c r="G265" s="36" t="inlineStr"/>
      <c r="H265" s="36" t="inlineStr"/>
      <c r="I265" s="27" t="inlineStr"/>
      <c r="J265" s="27" t="inlineStr"/>
      <c r="K265" s="27" t="inlineStr"/>
      <c r="L265" s="29" t="inlineStr"/>
      <c r="M265" s="27">
        <f>IF(G265="","",MAX(0,IF(H265&lt;&gt;"",H265-G265,IF(I265="Completed",0,TODAY()-G265))))</f>
        <v/>
      </c>
      <c r="N265" s="27" t="inlineStr"/>
    </row>
    <row r="266">
      <c r="A266" s="27" t="inlineStr"/>
      <c r="B266" s="27" t="inlineStr"/>
      <c r="C266" s="27" t="inlineStr"/>
      <c r="D266" s="27" t="inlineStr"/>
      <c r="E266" s="27" t="inlineStr"/>
      <c r="F266" s="36" t="inlineStr"/>
      <c r="G266" s="36" t="inlineStr"/>
      <c r="H266" s="36" t="inlineStr"/>
      <c r="I266" s="27" t="inlineStr"/>
      <c r="J266" s="27" t="inlineStr"/>
      <c r="K266" s="27" t="inlineStr"/>
      <c r="L266" s="29" t="inlineStr"/>
      <c r="M266" s="27">
        <f>IF(G266="","",MAX(0,IF(H266&lt;&gt;"",H266-G266,IF(I266="Completed",0,TODAY()-G266))))</f>
        <v/>
      </c>
      <c r="N266" s="27" t="inlineStr"/>
    </row>
    <row r="267">
      <c r="A267" s="27" t="inlineStr"/>
      <c r="B267" s="27" t="inlineStr"/>
      <c r="C267" s="27" t="inlineStr"/>
      <c r="D267" s="27" t="inlineStr"/>
      <c r="E267" s="27" t="inlineStr"/>
      <c r="F267" s="36" t="inlineStr"/>
      <c r="G267" s="36" t="inlineStr"/>
      <c r="H267" s="36" t="inlineStr"/>
      <c r="I267" s="27" t="inlineStr"/>
      <c r="J267" s="27" t="inlineStr"/>
      <c r="K267" s="27" t="inlineStr"/>
      <c r="L267" s="29" t="inlineStr"/>
      <c r="M267" s="27">
        <f>IF(G267="","",MAX(0,IF(H267&lt;&gt;"",H267-G267,IF(I267="Completed",0,TODAY()-G267))))</f>
        <v/>
      </c>
      <c r="N267" s="27" t="inlineStr"/>
    </row>
    <row r="268">
      <c r="A268" s="27" t="inlineStr"/>
      <c r="B268" s="27" t="inlineStr"/>
      <c r="C268" s="27" t="inlineStr"/>
      <c r="D268" s="27" t="inlineStr"/>
      <c r="E268" s="27" t="inlineStr"/>
      <c r="F268" s="36" t="inlineStr"/>
      <c r="G268" s="36" t="inlineStr"/>
      <c r="H268" s="36" t="inlineStr"/>
      <c r="I268" s="27" t="inlineStr"/>
      <c r="J268" s="27" t="inlineStr"/>
      <c r="K268" s="27" t="inlineStr"/>
      <c r="L268" s="29" t="inlineStr"/>
      <c r="M268" s="27">
        <f>IF(G268="","",MAX(0,IF(H268&lt;&gt;"",H268-G268,IF(I268="Completed",0,TODAY()-G268))))</f>
        <v/>
      </c>
      <c r="N268" s="27" t="inlineStr"/>
    </row>
    <row r="269">
      <c r="A269" s="27" t="inlineStr"/>
      <c r="B269" s="27" t="inlineStr"/>
      <c r="C269" s="27" t="inlineStr"/>
      <c r="D269" s="27" t="inlineStr"/>
      <c r="E269" s="27" t="inlineStr"/>
      <c r="F269" s="36" t="inlineStr"/>
      <c r="G269" s="36" t="inlineStr"/>
      <c r="H269" s="36" t="inlineStr"/>
      <c r="I269" s="27" t="inlineStr"/>
      <c r="J269" s="27" t="inlineStr"/>
      <c r="K269" s="27" t="inlineStr"/>
      <c r="L269" s="29" t="inlineStr"/>
      <c r="M269" s="27">
        <f>IF(G269="","",MAX(0,IF(H269&lt;&gt;"",H269-G269,IF(I269="Completed",0,TODAY()-G269))))</f>
        <v/>
      </c>
      <c r="N269" s="27" t="inlineStr"/>
    </row>
    <row r="270">
      <c r="A270" s="27" t="inlineStr"/>
      <c r="B270" s="27" t="inlineStr"/>
      <c r="C270" s="27" t="inlineStr"/>
      <c r="D270" s="27" t="inlineStr"/>
      <c r="E270" s="27" t="inlineStr"/>
      <c r="F270" s="36" t="inlineStr"/>
      <c r="G270" s="36" t="inlineStr"/>
      <c r="H270" s="36" t="inlineStr"/>
      <c r="I270" s="27" t="inlineStr"/>
      <c r="J270" s="27" t="inlineStr"/>
      <c r="K270" s="27" t="inlineStr"/>
      <c r="L270" s="29" t="inlineStr"/>
      <c r="M270" s="27">
        <f>IF(G270="","",MAX(0,IF(H270&lt;&gt;"",H270-G270,IF(I270="Completed",0,TODAY()-G270))))</f>
        <v/>
      </c>
      <c r="N270" s="27" t="inlineStr"/>
    </row>
    <row r="271">
      <c r="A271" s="27" t="inlineStr"/>
      <c r="B271" s="27" t="inlineStr"/>
      <c r="C271" s="27" t="inlineStr"/>
      <c r="D271" s="27" t="inlineStr"/>
      <c r="E271" s="27" t="inlineStr"/>
      <c r="F271" s="36" t="inlineStr"/>
      <c r="G271" s="36" t="inlineStr"/>
      <c r="H271" s="36" t="inlineStr"/>
      <c r="I271" s="27" t="inlineStr"/>
      <c r="J271" s="27" t="inlineStr"/>
      <c r="K271" s="27" t="inlineStr"/>
      <c r="L271" s="29" t="inlineStr"/>
      <c r="M271" s="27">
        <f>IF(G271="","",MAX(0,IF(H271&lt;&gt;"",H271-G271,IF(I271="Completed",0,TODAY()-G271))))</f>
        <v/>
      </c>
      <c r="N271" s="27" t="inlineStr"/>
    </row>
    <row r="272">
      <c r="A272" s="27" t="inlineStr"/>
      <c r="B272" s="27" t="inlineStr"/>
      <c r="C272" s="27" t="inlineStr"/>
      <c r="D272" s="27" t="inlineStr"/>
      <c r="E272" s="27" t="inlineStr"/>
      <c r="F272" s="36" t="inlineStr"/>
      <c r="G272" s="36" t="inlineStr"/>
      <c r="H272" s="36" t="inlineStr"/>
      <c r="I272" s="27" t="inlineStr"/>
      <c r="J272" s="27" t="inlineStr"/>
      <c r="K272" s="27" t="inlineStr"/>
      <c r="L272" s="29" t="inlineStr"/>
      <c r="M272" s="27">
        <f>IF(G272="","",MAX(0,IF(H272&lt;&gt;"",H272-G272,IF(I272="Completed",0,TODAY()-G272))))</f>
        <v/>
      </c>
      <c r="N272" s="27" t="inlineStr"/>
    </row>
    <row r="273">
      <c r="A273" s="27" t="inlineStr"/>
      <c r="B273" s="27" t="inlineStr"/>
      <c r="C273" s="27" t="inlineStr"/>
      <c r="D273" s="27" t="inlineStr"/>
      <c r="E273" s="27" t="inlineStr"/>
      <c r="F273" s="36" t="inlineStr"/>
      <c r="G273" s="36" t="inlineStr"/>
      <c r="H273" s="36" t="inlineStr"/>
      <c r="I273" s="27" t="inlineStr"/>
      <c r="J273" s="27" t="inlineStr"/>
      <c r="K273" s="27" t="inlineStr"/>
      <c r="L273" s="29" t="inlineStr"/>
      <c r="M273" s="27">
        <f>IF(G273="","",MAX(0,IF(H273&lt;&gt;"",H273-G273,IF(I273="Completed",0,TODAY()-G273))))</f>
        <v/>
      </c>
      <c r="N273" s="27" t="inlineStr"/>
    </row>
    <row r="274">
      <c r="A274" s="27" t="inlineStr"/>
      <c r="B274" s="27" t="inlineStr"/>
      <c r="C274" s="27" t="inlineStr"/>
      <c r="D274" s="27" t="inlineStr"/>
      <c r="E274" s="27" t="inlineStr"/>
      <c r="F274" s="36" t="inlineStr"/>
      <c r="G274" s="36" t="inlineStr"/>
      <c r="H274" s="36" t="inlineStr"/>
      <c r="I274" s="27" t="inlineStr"/>
      <c r="J274" s="27" t="inlineStr"/>
      <c r="K274" s="27" t="inlineStr"/>
      <c r="L274" s="29" t="inlineStr"/>
      <c r="M274" s="27">
        <f>IF(G274="","",MAX(0,IF(H274&lt;&gt;"",H274-G274,IF(I274="Completed",0,TODAY()-G274))))</f>
        <v/>
      </c>
      <c r="N274" s="27" t="inlineStr"/>
    </row>
    <row r="275">
      <c r="A275" s="27" t="inlineStr"/>
      <c r="B275" s="27" t="inlineStr"/>
      <c r="C275" s="27" t="inlineStr"/>
      <c r="D275" s="27" t="inlineStr"/>
      <c r="E275" s="27" t="inlineStr"/>
      <c r="F275" s="36" t="inlineStr"/>
      <c r="G275" s="36" t="inlineStr"/>
      <c r="H275" s="36" t="inlineStr"/>
      <c r="I275" s="27" t="inlineStr"/>
      <c r="J275" s="27" t="inlineStr"/>
      <c r="K275" s="27" t="inlineStr"/>
      <c r="L275" s="29" t="inlineStr"/>
      <c r="M275" s="27">
        <f>IF(G275="","",MAX(0,IF(H275&lt;&gt;"",H275-G275,IF(I275="Completed",0,TODAY()-G275))))</f>
        <v/>
      </c>
      <c r="N275" s="27" t="inlineStr"/>
    </row>
    <row r="276">
      <c r="A276" s="27" t="inlineStr"/>
      <c r="B276" s="27" t="inlineStr"/>
      <c r="C276" s="27" t="inlineStr"/>
      <c r="D276" s="27" t="inlineStr"/>
      <c r="E276" s="27" t="inlineStr"/>
      <c r="F276" s="36" t="inlineStr"/>
      <c r="G276" s="36" t="inlineStr"/>
      <c r="H276" s="36" t="inlineStr"/>
      <c r="I276" s="27" t="inlineStr"/>
      <c r="J276" s="27" t="inlineStr"/>
      <c r="K276" s="27" t="inlineStr"/>
      <c r="L276" s="29" t="inlineStr"/>
      <c r="M276" s="27">
        <f>IF(G276="","",MAX(0,IF(H276&lt;&gt;"",H276-G276,IF(I276="Completed",0,TODAY()-G276))))</f>
        <v/>
      </c>
      <c r="N276" s="27" t="inlineStr"/>
    </row>
    <row r="277">
      <c r="A277" s="27" t="inlineStr"/>
      <c r="B277" s="27" t="inlineStr"/>
      <c r="C277" s="27" t="inlineStr"/>
      <c r="D277" s="27" t="inlineStr"/>
      <c r="E277" s="27" t="inlineStr"/>
      <c r="F277" s="36" t="inlineStr"/>
      <c r="G277" s="36" t="inlineStr"/>
      <c r="H277" s="36" t="inlineStr"/>
      <c r="I277" s="27" t="inlineStr"/>
      <c r="J277" s="27" t="inlineStr"/>
      <c r="K277" s="27" t="inlineStr"/>
      <c r="L277" s="29" t="inlineStr"/>
      <c r="M277" s="27">
        <f>IF(G277="","",MAX(0,IF(H277&lt;&gt;"",H277-G277,IF(I277="Completed",0,TODAY()-G277))))</f>
        <v/>
      </c>
      <c r="N277" s="27" t="inlineStr"/>
    </row>
    <row r="278">
      <c r="A278" s="27" t="inlineStr"/>
      <c r="B278" s="27" t="inlineStr"/>
      <c r="C278" s="27" t="inlineStr"/>
      <c r="D278" s="27" t="inlineStr"/>
      <c r="E278" s="27" t="inlineStr"/>
      <c r="F278" s="36" t="inlineStr"/>
      <c r="G278" s="36" t="inlineStr"/>
      <c r="H278" s="36" t="inlineStr"/>
      <c r="I278" s="27" t="inlineStr"/>
      <c r="J278" s="27" t="inlineStr"/>
      <c r="K278" s="27" t="inlineStr"/>
      <c r="L278" s="29" t="inlineStr"/>
      <c r="M278" s="27">
        <f>IF(G278="","",MAX(0,IF(H278&lt;&gt;"",H278-G278,IF(I278="Completed",0,TODAY()-G278))))</f>
        <v/>
      </c>
      <c r="N278" s="27" t="inlineStr"/>
    </row>
    <row r="279">
      <c r="A279" s="27" t="inlineStr"/>
      <c r="B279" s="27" t="inlineStr"/>
      <c r="C279" s="27" t="inlineStr"/>
      <c r="D279" s="27" t="inlineStr"/>
      <c r="E279" s="27" t="inlineStr"/>
      <c r="F279" s="36" t="inlineStr"/>
      <c r="G279" s="36" t="inlineStr"/>
      <c r="H279" s="36" t="inlineStr"/>
      <c r="I279" s="27" t="inlineStr"/>
      <c r="J279" s="27" t="inlineStr"/>
      <c r="K279" s="27" t="inlineStr"/>
      <c r="L279" s="29" t="inlineStr"/>
      <c r="M279" s="27">
        <f>IF(G279="","",MAX(0,IF(H279&lt;&gt;"",H279-G279,IF(I279="Completed",0,TODAY()-G279))))</f>
        <v/>
      </c>
      <c r="N279" s="27" t="inlineStr"/>
    </row>
    <row r="280">
      <c r="A280" s="27" t="inlineStr"/>
      <c r="B280" s="27" t="inlineStr"/>
      <c r="C280" s="27" t="inlineStr"/>
      <c r="D280" s="27" t="inlineStr"/>
      <c r="E280" s="27" t="inlineStr"/>
      <c r="F280" s="36" t="inlineStr"/>
      <c r="G280" s="36" t="inlineStr"/>
      <c r="H280" s="36" t="inlineStr"/>
      <c r="I280" s="27" t="inlineStr"/>
      <c r="J280" s="27" t="inlineStr"/>
      <c r="K280" s="27" t="inlineStr"/>
      <c r="L280" s="29" t="inlineStr"/>
      <c r="M280" s="27">
        <f>IF(G280="","",MAX(0,IF(H280&lt;&gt;"",H280-G280,IF(I280="Completed",0,TODAY()-G280))))</f>
        <v/>
      </c>
      <c r="N280" s="27" t="inlineStr"/>
    </row>
    <row r="281">
      <c r="A281" s="27" t="inlineStr"/>
      <c r="B281" s="27" t="inlineStr"/>
      <c r="C281" s="27" t="inlineStr"/>
      <c r="D281" s="27" t="inlineStr"/>
      <c r="E281" s="27" t="inlineStr"/>
      <c r="F281" s="36" t="inlineStr"/>
      <c r="G281" s="36" t="inlineStr"/>
      <c r="H281" s="36" t="inlineStr"/>
      <c r="I281" s="27" t="inlineStr"/>
      <c r="J281" s="27" t="inlineStr"/>
      <c r="K281" s="27" t="inlineStr"/>
      <c r="L281" s="29" t="inlineStr"/>
      <c r="M281" s="27">
        <f>IF(G281="","",MAX(0,IF(H281&lt;&gt;"",H281-G281,IF(I281="Completed",0,TODAY()-G281))))</f>
        <v/>
      </c>
      <c r="N281" s="27" t="inlineStr"/>
    </row>
    <row r="282">
      <c r="A282" s="27" t="inlineStr"/>
      <c r="B282" s="27" t="inlineStr"/>
      <c r="C282" s="27" t="inlineStr"/>
      <c r="D282" s="27" t="inlineStr"/>
      <c r="E282" s="27" t="inlineStr"/>
      <c r="F282" s="36" t="inlineStr"/>
      <c r="G282" s="36" t="inlineStr"/>
      <c r="H282" s="36" t="inlineStr"/>
      <c r="I282" s="27" t="inlineStr"/>
      <c r="J282" s="27" t="inlineStr"/>
      <c r="K282" s="27" t="inlineStr"/>
      <c r="L282" s="29" t="inlineStr"/>
      <c r="M282" s="27">
        <f>IF(G282="","",MAX(0,IF(H282&lt;&gt;"",H282-G282,IF(I282="Completed",0,TODAY()-G282))))</f>
        <v/>
      </c>
      <c r="N282" s="27" t="inlineStr"/>
    </row>
    <row r="283">
      <c r="A283" s="27" t="inlineStr"/>
      <c r="B283" s="27" t="inlineStr"/>
      <c r="C283" s="27" t="inlineStr"/>
      <c r="D283" s="27" t="inlineStr"/>
      <c r="E283" s="27" t="inlineStr"/>
      <c r="F283" s="36" t="inlineStr"/>
      <c r="G283" s="36" t="inlineStr"/>
      <c r="H283" s="36" t="inlineStr"/>
      <c r="I283" s="27" t="inlineStr"/>
      <c r="J283" s="27" t="inlineStr"/>
      <c r="K283" s="27" t="inlineStr"/>
      <c r="L283" s="29" t="inlineStr"/>
      <c r="M283" s="27">
        <f>IF(G283="","",MAX(0,IF(H283&lt;&gt;"",H283-G283,IF(I283="Completed",0,TODAY()-G283))))</f>
        <v/>
      </c>
      <c r="N283" s="27" t="inlineStr"/>
    </row>
    <row r="284">
      <c r="A284" s="27" t="inlineStr"/>
      <c r="B284" s="27" t="inlineStr"/>
      <c r="C284" s="27" t="inlineStr"/>
      <c r="D284" s="27" t="inlineStr"/>
      <c r="E284" s="27" t="inlineStr"/>
      <c r="F284" s="36" t="inlineStr"/>
      <c r="G284" s="36" t="inlineStr"/>
      <c r="H284" s="36" t="inlineStr"/>
      <c r="I284" s="27" t="inlineStr"/>
      <c r="J284" s="27" t="inlineStr"/>
      <c r="K284" s="27" t="inlineStr"/>
      <c r="L284" s="29" t="inlineStr"/>
      <c r="M284" s="27">
        <f>IF(G284="","",MAX(0,IF(H284&lt;&gt;"",H284-G284,IF(I284="Completed",0,TODAY()-G284))))</f>
        <v/>
      </c>
      <c r="N284" s="27" t="inlineStr"/>
    </row>
    <row r="285">
      <c r="A285" s="27" t="inlineStr"/>
      <c r="B285" s="27" t="inlineStr"/>
      <c r="C285" s="27" t="inlineStr"/>
      <c r="D285" s="27" t="inlineStr"/>
      <c r="E285" s="27" t="inlineStr"/>
      <c r="F285" s="36" t="inlineStr"/>
      <c r="G285" s="36" t="inlineStr"/>
      <c r="H285" s="36" t="inlineStr"/>
      <c r="I285" s="27" t="inlineStr"/>
      <c r="J285" s="27" t="inlineStr"/>
      <c r="K285" s="27" t="inlineStr"/>
      <c r="L285" s="29" t="inlineStr"/>
      <c r="M285" s="27">
        <f>IF(G285="","",MAX(0,IF(H285&lt;&gt;"",H285-G285,IF(I285="Completed",0,TODAY()-G285))))</f>
        <v/>
      </c>
      <c r="N285" s="27" t="inlineStr"/>
    </row>
    <row r="286">
      <c r="A286" s="27" t="inlineStr"/>
      <c r="B286" s="27" t="inlineStr"/>
      <c r="C286" s="27" t="inlineStr"/>
      <c r="D286" s="27" t="inlineStr"/>
      <c r="E286" s="27" t="inlineStr"/>
      <c r="F286" s="36" t="inlineStr"/>
      <c r="G286" s="36" t="inlineStr"/>
      <c r="H286" s="36" t="inlineStr"/>
      <c r="I286" s="27" t="inlineStr"/>
      <c r="J286" s="27" t="inlineStr"/>
      <c r="K286" s="27" t="inlineStr"/>
      <c r="L286" s="29" t="inlineStr"/>
      <c r="M286" s="27">
        <f>IF(G286="","",MAX(0,IF(H286&lt;&gt;"",H286-G286,IF(I286="Completed",0,TODAY()-G286))))</f>
        <v/>
      </c>
      <c r="N286" s="27" t="inlineStr"/>
    </row>
    <row r="287">
      <c r="A287" s="27" t="inlineStr"/>
      <c r="B287" s="27" t="inlineStr"/>
      <c r="C287" s="27" t="inlineStr"/>
      <c r="D287" s="27" t="inlineStr"/>
      <c r="E287" s="27" t="inlineStr"/>
      <c r="F287" s="36" t="inlineStr"/>
      <c r="G287" s="36" t="inlineStr"/>
      <c r="H287" s="36" t="inlineStr"/>
      <c r="I287" s="27" t="inlineStr"/>
      <c r="J287" s="27" t="inlineStr"/>
      <c r="K287" s="27" t="inlineStr"/>
      <c r="L287" s="29" t="inlineStr"/>
      <c r="M287" s="27">
        <f>IF(G287="","",MAX(0,IF(H287&lt;&gt;"",H287-G287,IF(I287="Completed",0,TODAY()-G287))))</f>
        <v/>
      </c>
      <c r="N287" s="27" t="inlineStr"/>
    </row>
    <row r="288">
      <c r="A288" s="27" t="inlineStr"/>
      <c r="B288" s="27" t="inlineStr"/>
      <c r="C288" s="27" t="inlineStr"/>
      <c r="D288" s="27" t="inlineStr"/>
      <c r="E288" s="27" t="inlineStr"/>
      <c r="F288" s="36" t="inlineStr"/>
      <c r="G288" s="36" t="inlineStr"/>
      <c r="H288" s="36" t="inlineStr"/>
      <c r="I288" s="27" t="inlineStr"/>
      <c r="J288" s="27" t="inlineStr"/>
      <c r="K288" s="27" t="inlineStr"/>
      <c r="L288" s="29" t="inlineStr"/>
      <c r="M288" s="27">
        <f>IF(G288="","",MAX(0,IF(H288&lt;&gt;"",H288-G288,IF(I288="Completed",0,TODAY()-G288))))</f>
        <v/>
      </c>
      <c r="N288" s="27" t="inlineStr"/>
    </row>
    <row r="289">
      <c r="A289" s="27" t="inlineStr"/>
      <c r="B289" s="27" t="inlineStr"/>
      <c r="C289" s="27" t="inlineStr"/>
      <c r="D289" s="27" t="inlineStr"/>
      <c r="E289" s="27" t="inlineStr"/>
      <c r="F289" s="36" t="inlineStr"/>
      <c r="G289" s="36" t="inlineStr"/>
      <c r="H289" s="36" t="inlineStr"/>
      <c r="I289" s="27" t="inlineStr"/>
      <c r="J289" s="27" t="inlineStr"/>
      <c r="K289" s="27" t="inlineStr"/>
      <c r="L289" s="29" t="inlineStr"/>
      <c r="M289" s="27">
        <f>IF(G289="","",MAX(0,IF(H289&lt;&gt;"",H289-G289,IF(I289="Completed",0,TODAY()-G289))))</f>
        <v/>
      </c>
      <c r="N289" s="27" t="inlineStr"/>
    </row>
    <row r="290">
      <c r="A290" s="27" t="inlineStr"/>
      <c r="B290" s="27" t="inlineStr"/>
      <c r="C290" s="27" t="inlineStr"/>
      <c r="D290" s="27" t="inlineStr"/>
      <c r="E290" s="27" t="inlineStr"/>
      <c r="F290" s="36" t="inlineStr"/>
      <c r="G290" s="36" t="inlineStr"/>
      <c r="H290" s="36" t="inlineStr"/>
      <c r="I290" s="27" t="inlineStr"/>
      <c r="J290" s="27" t="inlineStr"/>
      <c r="K290" s="27" t="inlineStr"/>
      <c r="L290" s="29" t="inlineStr"/>
      <c r="M290" s="27">
        <f>IF(G290="","",MAX(0,IF(H290&lt;&gt;"",H290-G290,IF(I290="Completed",0,TODAY()-G290))))</f>
        <v/>
      </c>
      <c r="N290" s="27" t="inlineStr"/>
    </row>
    <row r="291">
      <c r="A291" s="27" t="inlineStr"/>
      <c r="B291" s="27" t="inlineStr"/>
      <c r="C291" s="27" t="inlineStr"/>
      <c r="D291" s="27" t="inlineStr"/>
      <c r="E291" s="27" t="inlineStr"/>
      <c r="F291" s="36" t="inlineStr"/>
      <c r="G291" s="36" t="inlineStr"/>
      <c r="H291" s="36" t="inlineStr"/>
      <c r="I291" s="27" t="inlineStr"/>
      <c r="J291" s="27" t="inlineStr"/>
      <c r="K291" s="27" t="inlineStr"/>
      <c r="L291" s="29" t="inlineStr"/>
      <c r="M291" s="27">
        <f>IF(G291="","",MAX(0,IF(H291&lt;&gt;"",H291-G291,IF(I291="Completed",0,TODAY()-G291))))</f>
        <v/>
      </c>
      <c r="N291" s="27" t="inlineStr"/>
    </row>
    <row r="292">
      <c r="A292" s="27" t="inlineStr"/>
      <c r="B292" s="27" t="inlineStr"/>
      <c r="C292" s="27" t="inlineStr"/>
      <c r="D292" s="27" t="inlineStr"/>
      <c r="E292" s="27" t="inlineStr"/>
      <c r="F292" s="36" t="inlineStr"/>
      <c r="G292" s="36" t="inlineStr"/>
      <c r="H292" s="36" t="inlineStr"/>
      <c r="I292" s="27" t="inlineStr"/>
      <c r="J292" s="27" t="inlineStr"/>
      <c r="K292" s="27" t="inlineStr"/>
      <c r="L292" s="29" t="inlineStr"/>
      <c r="M292" s="27">
        <f>IF(G292="","",MAX(0,IF(H292&lt;&gt;"",H292-G292,IF(I292="Completed",0,TODAY()-G292))))</f>
        <v/>
      </c>
      <c r="N292" s="27" t="inlineStr"/>
    </row>
    <row r="293">
      <c r="A293" s="27" t="inlineStr"/>
      <c r="B293" s="27" t="inlineStr"/>
      <c r="C293" s="27" t="inlineStr"/>
      <c r="D293" s="27" t="inlineStr"/>
      <c r="E293" s="27" t="inlineStr"/>
      <c r="F293" s="36" t="inlineStr"/>
      <c r="G293" s="36" t="inlineStr"/>
      <c r="H293" s="36" t="inlineStr"/>
      <c r="I293" s="27" t="inlineStr"/>
      <c r="J293" s="27" t="inlineStr"/>
      <c r="K293" s="27" t="inlineStr"/>
      <c r="L293" s="29" t="inlineStr"/>
      <c r="M293" s="27">
        <f>IF(G293="","",MAX(0,IF(H293&lt;&gt;"",H293-G293,IF(I293="Completed",0,TODAY()-G293))))</f>
        <v/>
      </c>
      <c r="N293" s="27" t="inlineStr"/>
    </row>
    <row r="294">
      <c r="A294" s="27" t="inlineStr"/>
      <c r="B294" s="27" t="inlineStr"/>
      <c r="C294" s="27" t="inlineStr"/>
      <c r="D294" s="27" t="inlineStr"/>
      <c r="E294" s="27" t="inlineStr"/>
      <c r="F294" s="36" t="inlineStr"/>
      <c r="G294" s="36" t="inlineStr"/>
      <c r="H294" s="36" t="inlineStr"/>
      <c r="I294" s="27" t="inlineStr"/>
      <c r="J294" s="27" t="inlineStr"/>
      <c r="K294" s="27" t="inlineStr"/>
      <c r="L294" s="29" t="inlineStr"/>
      <c r="M294" s="27">
        <f>IF(G294="","",MAX(0,IF(H294&lt;&gt;"",H294-G294,IF(I294="Completed",0,TODAY()-G294))))</f>
        <v/>
      </c>
      <c r="N294" s="27" t="inlineStr"/>
    </row>
    <row r="295">
      <c r="A295" s="27" t="inlineStr"/>
      <c r="B295" s="27" t="inlineStr"/>
      <c r="C295" s="27" t="inlineStr"/>
      <c r="D295" s="27" t="inlineStr"/>
      <c r="E295" s="27" t="inlineStr"/>
      <c r="F295" s="36" t="inlineStr"/>
      <c r="G295" s="36" t="inlineStr"/>
      <c r="H295" s="36" t="inlineStr"/>
      <c r="I295" s="27" t="inlineStr"/>
      <c r="J295" s="27" t="inlineStr"/>
      <c r="K295" s="27" t="inlineStr"/>
      <c r="L295" s="29" t="inlineStr"/>
      <c r="M295" s="27">
        <f>IF(G295="","",MAX(0,IF(H295&lt;&gt;"",H295-G295,IF(I295="Completed",0,TODAY()-G295))))</f>
        <v/>
      </c>
      <c r="N295" s="27" t="inlineStr"/>
    </row>
    <row r="296">
      <c r="A296" s="27" t="inlineStr"/>
      <c r="B296" s="27" t="inlineStr"/>
      <c r="C296" s="27" t="inlineStr"/>
      <c r="D296" s="27" t="inlineStr"/>
      <c r="E296" s="27" t="inlineStr"/>
      <c r="F296" s="36" t="inlineStr"/>
      <c r="G296" s="36" t="inlineStr"/>
      <c r="H296" s="36" t="inlineStr"/>
      <c r="I296" s="27" t="inlineStr"/>
      <c r="J296" s="27" t="inlineStr"/>
      <c r="K296" s="27" t="inlineStr"/>
      <c r="L296" s="29" t="inlineStr"/>
      <c r="M296" s="27">
        <f>IF(G296="","",MAX(0,IF(H296&lt;&gt;"",H296-G296,IF(I296="Completed",0,TODAY()-G296))))</f>
        <v/>
      </c>
      <c r="N296" s="27" t="inlineStr"/>
    </row>
    <row r="297">
      <c r="A297" s="27" t="inlineStr"/>
      <c r="B297" s="27" t="inlineStr"/>
      <c r="C297" s="27" t="inlineStr"/>
      <c r="D297" s="27" t="inlineStr"/>
      <c r="E297" s="27" t="inlineStr"/>
      <c r="F297" s="36" t="inlineStr"/>
      <c r="G297" s="36" t="inlineStr"/>
      <c r="H297" s="36" t="inlineStr"/>
      <c r="I297" s="27" t="inlineStr"/>
      <c r="J297" s="27" t="inlineStr"/>
      <c r="K297" s="27" t="inlineStr"/>
      <c r="L297" s="29" t="inlineStr"/>
      <c r="M297" s="27">
        <f>IF(G297="","",MAX(0,IF(H297&lt;&gt;"",H297-G297,IF(I297="Completed",0,TODAY()-G297))))</f>
        <v/>
      </c>
      <c r="N297" s="27" t="inlineStr"/>
    </row>
    <row r="298">
      <c r="A298" s="27" t="inlineStr"/>
      <c r="B298" s="27" t="inlineStr"/>
      <c r="C298" s="27" t="inlineStr"/>
      <c r="D298" s="27" t="inlineStr"/>
      <c r="E298" s="27" t="inlineStr"/>
      <c r="F298" s="36" t="inlineStr"/>
      <c r="G298" s="36" t="inlineStr"/>
      <c r="H298" s="36" t="inlineStr"/>
      <c r="I298" s="27" t="inlineStr"/>
      <c r="J298" s="27" t="inlineStr"/>
      <c r="K298" s="27" t="inlineStr"/>
      <c r="L298" s="29" t="inlineStr"/>
      <c r="M298" s="27">
        <f>IF(G298="","",MAX(0,IF(H298&lt;&gt;"",H298-G298,IF(I298="Completed",0,TODAY()-G298))))</f>
        <v/>
      </c>
      <c r="N298" s="27" t="inlineStr"/>
    </row>
    <row r="299">
      <c r="A299" s="27" t="inlineStr"/>
      <c r="B299" s="27" t="inlineStr"/>
      <c r="C299" s="27" t="inlineStr"/>
      <c r="D299" s="27" t="inlineStr"/>
      <c r="E299" s="27" t="inlineStr"/>
      <c r="F299" s="36" t="inlineStr"/>
      <c r="G299" s="36" t="inlineStr"/>
      <c r="H299" s="36" t="inlineStr"/>
      <c r="I299" s="27" t="inlineStr"/>
      <c r="J299" s="27" t="inlineStr"/>
      <c r="K299" s="27" t="inlineStr"/>
      <c r="L299" s="29" t="inlineStr"/>
      <c r="M299" s="27">
        <f>IF(G299="","",MAX(0,IF(H299&lt;&gt;"",H299-G299,IF(I299="Completed",0,TODAY()-G299))))</f>
        <v/>
      </c>
      <c r="N299" s="27" t="inlineStr"/>
    </row>
    <row r="300">
      <c r="A300" s="27" t="inlineStr"/>
      <c r="B300" s="27" t="inlineStr"/>
      <c r="C300" s="27" t="inlineStr"/>
      <c r="D300" s="27" t="inlineStr"/>
      <c r="E300" s="27" t="inlineStr"/>
      <c r="F300" s="36" t="inlineStr"/>
      <c r="G300" s="36" t="inlineStr"/>
      <c r="H300" s="36" t="inlineStr"/>
      <c r="I300" s="27" t="inlineStr"/>
      <c r="J300" s="27" t="inlineStr"/>
      <c r="K300" s="27" t="inlineStr"/>
      <c r="L300" s="29" t="inlineStr"/>
      <c r="M300" s="27">
        <f>IF(G300="","",MAX(0,IF(H300&lt;&gt;"",H300-G300,IF(I300="Completed",0,TODAY()-G300))))</f>
        <v/>
      </c>
      <c r="N300" s="27" t="inlineStr"/>
    </row>
    <row r="301">
      <c r="A301" s="27" t="inlineStr"/>
      <c r="B301" s="27" t="inlineStr"/>
      <c r="C301" s="27" t="inlineStr"/>
      <c r="D301" s="27" t="inlineStr"/>
      <c r="E301" s="27" t="inlineStr"/>
      <c r="F301" s="36" t="inlineStr"/>
      <c r="G301" s="36" t="inlineStr"/>
      <c r="H301" s="36" t="inlineStr"/>
      <c r="I301" s="27" t="inlineStr"/>
      <c r="J301" s="27" t="inlineStr"/>
      <c r="K301" s="27" t="inlineStr"/>
      <c r="L301" s="29" t="inlineStr"/>
      <c r="M301" s="27">
        <f>IF(G301="","",MAX(0,IF(H301&lt;&gt;"",H301-G301,IF(I301="Completed",0,TODAY()-G301))))</f>
        <v/>
      </c>
      <c r="N301" s="27" t="inlineStr"/>
    </row>
    <row r="302">
      <c r="A302" s="27" t="inlineStr"/>
      <c r="B302" s="27" t="inlineStr"/>
      <c r="C302" s="27" t="inlineStr"/>
      <c r="D302" s="27" t="inlineStr"/>
      <c r="E302" s="27" t="inlineStr"/>
      <c r="F302" s="36" t="inlineStr"/>
      <c r="G302" s="36" t="inlineStr"/>
      <c r="H302" s="36" t="inlineStr"/>
      <c r="I302" s="27" t="inlineStr"/>
      <c r="J302" s="27" t="inlineStr"/>
      <c r="K302" s="27" t="inlineStr"/>
      <c r="L302" s="29" t="inlineStr"/>
      <c r="M302" s="27">
        <f>IF(G302="","",MAX(0,IF(H302&lt;&gt;"",H302-G302,IF(I302="Completed",0,TODAY()-G302))))</f>
        <v/>
      </c>
      <c r="N302" s="27" t="inlineStr"/>
    </row>
    <row r="303">
      <c r="A303" s="27" t="inlineStr"/>
      <c r="B303" s="27" t="inlineStr"/>
      <c r="C303" s="27" t="inlineStr"/>
      <c r="D303" s="27" t="inlineStr"/>
      <c r="E303" s="27" t="inlineStr"/>
      <c r="F303" s="36" t="inlineStr"/>
      <c r="G303" s="36" t="inlineStr"/>
      <c r="H303" s="36" t="inlineStr"/>
      <c r="I303" s="27" t="inlineStr"/>
      <c r="J303" s="27" t="inlineStr"/>
      <c r="K303" s="27" t="inlineStr"/>
      <c r="L303" s="29" t="inlineStr"/>
      <c r="M303" s="27">
        <f>IF(G303="","",MAX(0,IF(H303&lt;&gt;"",H303-G303,IF(I303="Completed",0,TODAY()-G303))))</f>
        <v/>
      </c>
      <c r="N303" s="27" t="inlineStr"/>
    </row>
  </sheetData>
  <autoFilter ref="A3:N303"/>
  <mergeCells count="1">
    <mergeCell ref="A1:H1"/>
  </mergeCells>
  <conditionalFormatting sqref="M4:M303">
    <cfRule type="cellIs" priority="1" operator="greaterThan" dxfId="0">
      <formula>0</formula>
    </cfRule>
  </conditionalFormatting>
  <conditionalFormatting sqref="A4:N303">
    <cfRule type="expression" priority="2" dxfId="1">
      <formula>$I4="Completed"</formula>
    </cfRule>
    <cfRule type="expression" priority="3" dxfId="2">
      <formula>OR($I4="Delayed",$I4="Blocked",$I4="Open")</formula>
    </cfRule>
    <cfRule type="expression" priority="4" dxfId="3">
      <formula>OR($I4="At Risk",$I4="In Progress")</formula>
    </cfRule>
  </conditionalFormatting>
  <dataValidations count="10">
    <dataValidation sqref="B4:B30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C4:C303" showDropDown="0" showInputMessage="0" showErrorMessage="1" allowBlank="1" errorTitle="Invalid selection" error="Select a value from the dropdown list." promptTitle="Dropdown" prompt="Choose from the list." type="list">
      <formula1>='Lists'!$AC$2:$AC$8</formula1>
    </dataValidation>
    <dataValidation sqref="E4:E303" showDropDown="0" showInputMessage="0" showErrorMessage="1" allowBlank="1" errorTitle="Invalid selection" error="Select a value from the dropdown list." promptTitle="Dropdown" prompt="Choose from the list." type="list">
      <formula1>='Lists'!$X$2:$X$6</formula1>
    </dataValidation>
    <dataValidation sqref="I4:I303" showDropDown="0" showInputMessage="0" showErrorMessage="1" allowBlank="1" errorTitle="Invalid selection" error="Select a value from the dropdown list." promptTitle="Dropdown" prompt="Choose from the list." type="list">
      <formula1>='Lists'!$H$2:$H$7</formula1>
    </dataValidation>
    <dataValidation sqref="J4:J303" showDropDown="0" showInputMessage="0" showErrorMessage="1" allowBlank="1" errorTitle="Invalid selection" error="Select a value from the dropdown list." promptTitle="Dropdown" prompt="Choose from the list." type="list">
      <formula1>='Lists'!$L$2:$L$5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='Lists'!$AC$2:$AC$8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='Lists'!$Y$2:$Y$7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='Lists'!$I$2:$I$8</formula1>
    </dataValidation>
    <dataValidation sqref="K2" showDropDown="0" showInputMessage="0" showErrorMessage="1" allowBlank="1" errorTitle="Invalid selection" error="Select a value from the dropdown list." promptTitle="Dropdown" prompt="Choose from the list." type="list">
      <formula1>='Lists'!$M$2:$M$6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25" t="inlineStr">
        <is>
          <t>Milestone Tracker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Status</t>
        </is>
      </c>
      <c r="E2" s="48" t="inlineStr"/>
      <c r="F2" s="49" t="inlineStr">
        <is>
          <t>Owner</t>
        </is>
      </c>
      <c r="G2" s="48" t="inlineStr"/>
    </row>
    <row r="3">
      <c r="A3" s="26" t="inlineStr">
        <is>
          <t>Milestone ID</t>
        </is>
      </c>
      <c r="B3" s="47" t="inlineStr">
        <is>
          <t>Project ID</t>
        </is>
      </c>
      <c r="C3" s="26" t="inlineStr">
        <is>
          <t>Milestone Name</t>
        </is>
      </c>
      <c r="D3" s="26" t="inlineStr">
        <is>
          <t>Planned Date</t>
        </is>
      </c>
      <c r="E3" s="26" t="inlineStr">
        <is>
          <t>Actual Date</t>
        </is>
      </c>
      <c r="F3" s="47" t="inlineStr">
        <is>
          <t>Status</t>
        </is>
      </c>
      <c r="G3" s="26" t="inlineStr">
        <is>
          <t>Delay Days</t>
        </is>
      </c>
      <c r="H3" s="47" t="inlineStr">
        <is>
          <t>Owner</t>
        </is>
      </c>
      <c r="I3" s="26" t="inlineStr">
        <is>
          <t>Remarks</t>
        </is>
      </c>
    </row>
    <row r="4">
      <c r="A4" s="27" t="inlineStr">
        <is>
          <t>MS-001</t>
        </is>
      </c>
      <c r="B4" s="27" t="inlineStr">
        <is>
          <t>PRJ-001</t>
        </is>
      </c>
      <c r="C4" s="27" t="inlineStr">
        <is>
          <t>UAT Signoff</t>
        </is>
      </c>
      <c r="D4" s="36" t="n">
        <v>46191</v>
      </c>
      <c r="E4" s="36" t="inlineStr"/>
      <c r="F4" s="27" t="inlineStr">
        <is>
          <t>At Risk</t>
        </is>
      </c>
      <c r="G4" s="27">
        <f>IF(D4="","",MAX(0,IF(E4&lt;&gt;"",E4-D4,IF(F4="Completed",0,TODAY()-D4))))</f>
        <v/>
      </c>
      <c r="H4" s="27" t="inlineStr">
        <is>
          <t>Ananya Rao</t>
        </is>
      </c>
      <c r="I4" s="27" t="inlineStr">
        <is>
          <t>Open defects remain</t>
        </is>
      </c>
    </row>
    <row r="5">
      <c r="A5" s="27" t="inlineStr">
        <is>
          <t>MS-002</t>
        </is>
      </c>
      <c r="B5" s="27" t="inlineStr">
        <is>
          <t>PRJ-002</t>
        </is>
      </c>
      <c r="C5" s="27" t="inlineStr">
        <is>
          <t>SIT Entry</t>
        </is>
      </c>
      <c r="D5" s="36" t="n">
        <v>46198</v>
      </c>
      <c r="E5" s="36" t="inlineStr"/>
      <c r="F5" s="27" t="inlineStr">
        <is>
          <t>Delayed</t>
        </is>
      </c>
      <c r="G5" s="27">
        <f>IF(D5="","",MAX(0,IF(E5&lt;&gt;"",E5-D5,IF(F5="Completed",0,TODAY()-D5))))</f>
        <v/>
      </c>
      <c r="H5" s="27" t="inlineStr">
        <is>
          <t>Rohit Menon</t>
        </is>
      </c>
      <c r="I5" s="27" t="inlineStr">
        <is>
          <t>Integration blocked</t>
        </is>
      </c>
    </row>
    <row r="6">
      <c r="A6" s="27" t="inlineStr">
        <is>
          <t>MS-003</t>
        </is>
      </c>
      <c r="B6" s="27" t="inlineStr">
        <is>
          <t>PRJ-003</t>
        </is>
      </c>
      <c r="C6" s="27" t="inlineStr">
        <is>
          <t>Production Release</t>
        </is>
      </c>
      <c r="D6" s="36" t="n">
        <v>46147</v>
      </c>
      <c r="E6" s="36" t="n">
        <v>46148</v>
      </c>
      <c r="F6" s="27" t="inlineStr">
        <is>
          <t>Completed</t>
        </is>
      </c>
      <c r="G6" s="27">
        <f>IF(D6="","",MAX(0,IF(E6&lt;&gt;"",E6-D6,IF(F6="Completed",0,TODAY()-D6))))</f>
        <v/>
      </c>
      <c r="H6" s="27" t="inlineStr">
        <is>
          <t>Meera Iyer</t>
        </is>
      </c>
      <c r="I6" s="27" t="inlineStr">
        <is>
          <t>Released</t>
        </is>
      </c>
    </row>
    <row r="7">
      <c r="A7" s="27" t="inlineStr"/>
      <c r="B7" s="27" t="inlineStr"/>
      <c r="C7" s="27" t="inlineStr"/>
      <c r="D7" s="36" t="inlineStr"/>
      <c r="E7" s="36" t="inlineStr"/>
      <c r="F7" s="27" t="inlineStr"/>
      <c r="G7" s="27">
        <f>IF(D7="","",MAX(0,IF(E7&lt;&gt;"",E7-D7,IF(F7="Completed",0,TODAY()-D7))))</f>
        <v/>
      </c>
      <c r="H7" s="27" t="inlineStr"/>
      <c r="I7" s="27" t="inlineStr"/>
    </row>
    <row r="8">
      <c r="A8" s="27" t="inlineStr"/>
      <c r="B8" s="27" t="inlineStr"/>
      <c r="C8" s="27" t="inlineStr"/>
      <c r="D8" s="36" t="inlineStr"/>
      <c r="E8" s="36" t="inlineStr"/>
      <c r="F8" s="27" t="inlineStr"/>
      <c r="G8" s="27">
        <f>IF(D8="","",MAX(0,IF(E8&lt;&gt;"",E8-D8,IF(F8="Completed",0,TODAY()-D8))))</f>
        <v/>
      </c>
      <c r="H8" s="27" t="inlineStr"/>
      <c r="I8" s="27" t="inlineStr"/>
    </row>
    <row r="9">
      <c r="A9" s="27" t="inlineStr"/>
      <c r="B9" s="27" t="inlineStr"/>
      <c r="C9" s="27" t="inlineStr"/>
      <c r="D9" s="36" t="inlineStr"/>
      <c r="E9" s="36" t="inlineStr"/>
      <c r="F9" s="27" t="inlineStr"/>
      <c r="G9" s="27">
        <f>IF(D9="","",MAX(0,IF(E9&lt;&gt;"",E9-D9,IF(F9="Completed",0,TODAY()-D9))))</f>
        <v/>
      </c>
      <c r="H9" s="27" t="inlineStr"/>
      <c r="I9" s="27" t="inlineStr"/>
    </row>
    <row r="10">
      <c r="A10" s="27" t="inlineStr"/>
      <c r="B10" s="27" t="inlineStr"/>
      <c r="C10" s="27" t="inlineStr"/>
      <c r="D10" s="36" t="inlineStr"/>
      <c r="E10" s="36" t="inlineStr"/>
      <c r="F10" s="27" t="inlineStr"/>
      <c r="G10" s="27">
        <f>IF(D10="","",MAX(0,IF(E10&lt;&gt;"",E10-D10,IF(F10="Completed",0,TODAY()-D10))))</f>
        <v/>
      </c>
      <c r="H10" s="27" t="inlineStr"/>
      <c r="I10" s="27" t="inlineStr"/>
    </row>
    <row r="11">
      <c r="A11" s="27" t="inlineStr"/>
      <c r="B11" s="27" t="inlineStr"/>
      <c r="C11" s="27" t="inlineStr"/>
      <c r="D11" s="36" t="inlineStr"/>
      <c r="E11" s="36" t="inlineStr"/>
      <c r="F11" s="27" t="inlineStr"/>
      <c r="G11" s="27">
        <f>IF(D11="","",MAX(0,IF(E11&lt;&gt;"",E11-D11,IF(F11="Completed",0,TODAY()-D11))))</f>
        <v/>
      </c>
      <c r="H11" s="27" t="inlineStr"/>
      <c r="I11" s="27" t="inlineStr"/>
    </row>
    <row r="12">
      <c r="A12" s="27" t="inlineStr"/>
      <c r="B12" s="27" t="inlineStr"/>
      <c r="C12" s="27" t="inlineStr"/>
      <c r="D12" s="36" t="inlineStr"/>
      <c r="E12" s="36" t="inlineStr"/>
      <c r="F12" s="27" t="inlineStr"/>
      <c r="G12" s="27">
        <f>IF(D12="","",MAX(0,IF(E12&lt;&gt;"",E12-D12,IF(F12="Completed",0,TODAY()-D12))))</f>
        <v/>
      </c>
      <c r="H12" s="27" t="inlineStr"/>
      <c r="I12" s="27" t="inlineStr"/>
    </row>
    <row r="13">
      <c r="A13" s="27" t="inlineStr"/>
      <c r="B13" s="27" t="inlineStr"/>
      <c r="C13" s="27" t="inlineStr"/>
      <c r="D13" s="36" t="inlineStr"/>
      <c r="E13" s="36" t="inlineStr"/>
      <c r="F13" s="27" t="inlineStr"/>
      <c r="G13" s="27">
        <f>IF(D13="","",MAX(0,IF(E13&lt;&gt;"",E13-D13,IF(F13="Completed",0,TODAY()-D13))))</f>
        <v/>
      </c>
      <c r="H13" s="27" t="inlineStr"/>
      <c r="I13" s="27" t="inlineStr"/>
    </row>
    <row r="14">
      <c r="A14" s="27" t="inlineStr"/>
      <c r="B14" s="27" t="inlineStr"/>
      <c r="C14" s="27" t="inlineStr"/>
      <c r="D14" s="36" t="inlineStr"/>
      <c r="E14" s="36" t="inlineStr"/>
      <c r="F14" s="27" t="inlineStr"/>
      <c r="G14" s="27">
        <f>IF(D14="","",MAX(0,IF(E14&lt;&gt;"",E14-D14,IF(F14="Completed",0,TODAY()-D14))))</f>
        <v/>
      </c>
      <c r="H14" s="27" t="inlineStr"/>
      <c r="I14" s="27" t="inlineStr"/>
    </row>
    <row r="15">
      <c r="A15" s="27" t="inlineStr"/>
      <c r="B15" s="27" t="inlineStr"/>
      <c r="C15" s="27" t="inlineStr"/>
      <c r="D15" s="36" t="inlineStr"/>
      <c r="E15" s="36" t="inlineStr"/>
      <c r="F15" s="27" t="inlineStr"/>
      <c r="G15" s="27">
        <f>IF(D15="","",MAX(0,IF(E15&lt;&gt;"",E15-D15,IF(F15="Completed",0,TODAY()-D15))))</f>
        <v/>
      </c>
      <c r="H15" s="27" t="inlineStr"/>
      <c r="I15" s="27" t="inlineStr"/>
    </row>
    <row r="16">
      <c r="A16" s="27" t="inlineStr"/>
      <c r="B16" s="27" t="inlineStr"/>
      <c r="C16" s="27" t="inlineStr"/>
      <c r="D16" s="36" t="inlineStr"/>
      <c r="E16" s="36" t="inlineStr"/>
      <c r="F16" s="27" t="inlineStr"/>
      <c r="G16" s="27">
        <f>IF(D16="","",MAX(0,IF(E16&lt;&gt;"",E16-D16,IF(F16="Completed",0,TODAY()-D16))))</f>
        <v/>
      </c>
      <c r="H16" s="27" t="inlineStr"/>
      <c r="I16" s="27" t="inlineStr"/>
    </row>
    <row r="17">
      <c r="A17" s="27" t="inlineStr"/>
      <c r="B17" s="27" t="inlineStr"/>
      <c r="C17" s="27" t="inlineStr"/>
      <c r="D17" s="36" t="inlineStr"/>
      <c r="E17" s="36" t="inlineStr"/>
      <c r="F17" s="27" t="inlineStr"/>
      <c r="G17" s="27">
        <f>IF(D17="","",MAX(0,IF(E17&lt;&gt;"",E17-D17,IF(F17="Completed",0,TODAY()-D17))))</f>
        <v/>
      </c>
      <c r="H17" s="27" t="inlineStr"/>
      <c r="I17" s="27" t="inlineStr"/>
    </row>
    <row r="18">
      <c r="A18" s="27" t="inlineStr"/>
      <c r="B18" s="27" t="inlineStr"/>
      <c r="C18" s="27" t="inlineStr"/>
      <c r="D18" s="36" t="inlineStr"/>
      <c r="E18" s="36" t="inlineStr"/>
      <c r="F18" s="27" t="inlineStr"/>
      <c r="G18" s="27">
        <f>IF(D18="","",MAX(0,IF(E18&lt;&gt;"",E18-D18,IF(F18="Completed",0,TODAY()-D18))))</f>
        <v/>
      </c>
      <c r="H18" s="27" t="inlineStr"/>
      <c r="I18" s="27" t="inlineStr"/>
    </row>
    <row r="19">
      <c r="A19" s="27" t="inlineStr"/>
      <c r="B19" s="27" t="inlineStr"/>
      <c r="C19" s="27" t="inlineStr"/>
      <c r="D19" s="36" t="inlineStr"/>
      <c r="E19" s="36" t="inlineStr"/>
      <c r="F19" s="27" t="inlineStr"/>
      <c r="G19" s="27">
        <f>IF(D19="","",MAX(0,IF(E19&lt;&gt;"",E19-D19,IF(F19="Completed",0,TODAY()-D19))))</f>
        <v/>
      </c>
      <c r="H19" s="27" t="inlineStr"/>
      <c r="I19" s="27" t="inlineStr"/>
    </row>
    <row r="20">
      <c r="A20" s="27" t="inlineStr"/>
      <c r="B20" s="27" t="inlineStr"/>
      <c r="C20" s="27" t="inlineStr"/>
      <c r="D20" s="36" t="inlineStr"/>
      <c r="E20" s="36" t="inlineStr"/>
      <c r="F20" s="27" t="inlineStr"/>
      <c r="G20" s="27">
        <f>IF(D20="","",MAX(0,IF(E20&lt;&gt;"",E20-D20,IF(F20="Completed",0,TODAY()-D20))))</f>
        <v/>
      </c>
      <c r="H20" s="27" t="inlineStr"/>
      <c r="I20" s="27" t="inlineStr"/>
    </row>
    <row r="21">
      <c r="A21" s="27" t="inlineStr"/>
      <c r="B21" s="27" t="inlineStr"/>
      <c r="C21" s="27" t="inlineStr"/>
      <c r="D21" s="36" t="inlineStr"/>
      <c r="E21" s="36" t="inlineStr"/>
      <c r="F21" s="27" t="inlineStr"/>
      <c r="G21" s="27">
        <f>IF(D21="","",MAX(0,IF(E21&lt;&gt;"",E21-D21,IF(F21="Completed",0,TODAY()-D21))))</f>
        <v/>
      </c>
      <c r="H21" s="27" t="inlineStr"/>
      <c r="I21" s="27" t="inlineStr"/>
    </row>
    <row r="22">
      <c r="A22" s="27" t="inlineStr"/>
      <c r="B22" s="27" t="inlineStr"/>
      <c r="C22" s="27" t="inlineStr"/>
      <c r="D22" s="36" t="inlineStr"/>
      <c r="E22" s="36" t="inlineStr"/>
      <c r="F22" s="27" t="inlineStr"/>
      <c r="G22" s="27">
        <f>IF(D22="","",MAX(0,IF(E22&lt;&gt;"",E22-D22,IF(F22="Completed",0,TODAY()-D22))))</f>
        <v/>
      </c>
      <c r="H22" s="27" t="inlineStr"/>
      <c r="I22" s="27" t="inlineStr"/>
    </row>
    <row r="23">
      <c r="A23" s="27" t="inlineStr"/>
      <c r="B23" s="27" t="inlineStr"/>
      <c r="C23" s="27" t="inlineStr"/>
      <c r="D23" s="36" t="inlineStr"/>
      <c r="E23" s="36" t="inlineStr"/>
      <c r="F23" s="27" t="inlineStr"/>
      <c r="G23" s="27">
        <f>IF(D23="","",MAX(0,IF(E23&lt;&gt;"",E23-D23,IF(F23="Completed",0,TODAY()-D23))))</f>
        <v/>
      </c>
      <c r="H23" s="27" t="inlineStr"/>
      <c r="I23" s="27" t="inlineStr"/>
    </row>
    <row r="24">
      <c r="A24" s="27" t="inlineStr"/>
      <c r="B24" s="27" t="inlineStr"/>
      <c r="C24" s="27" t="inlineStr"/>
      <c r="D24" s="36" t="inlineStr"/>
      <c r="E24" s="36" t="inlineStr"/>
      <c r="F24" s="27" t="inlineStr"/>
      <c r="G24" s="27">
        <f>IF(D24="","",MAX(0,IF(E24&lt;&gt;"",E24-D24,IF(F24="Completed",0,TODAY()-D24))))</f>
        <v/>
      </c>
      <c r="H24" s="27" t="inlineStr"/>
      <c r="I24" s="27" t="inlineStr"/>
    </row>
    <row r="25">
      <c r="A25" s="27" t="inlineStr"/>
      <c r="B25" s="27" t="inlineStr"/>
      <c r="C25" s="27" t="inlineStr"/>
      <c r="D25" s="36" t="inlineStr"/>
      <c r="E25" s="36" t="inlineStr"/>
      <c r="F25" s="27" t="inlineStr"/>
      <c r="G25" s="27">
        <f>IF(D25="","",MAX(0,IF(E25&lt;&gt;"",E25-D25,IF(F25="Completed",0,TODAY()-D25))))</f>
        <v/>
      </c>
      <c r="H25" s="27" t="inlineStr"/>
      <c r="I25" s="27" t="inlineStr"/>
    </row>
    <row r="26">
      <c r="A26" s="27" t="inlineStr"/>
      <c r="B26" s="27" t="inlineStr"/>
      <c r="C26" s="27" t="inlineStr"/>
      <c r="D26" s="36" t="inlineStr"/>
      <c r="E26" s="36" t="inlineStr"/>
      <c r="F26" s="27" t="inlineStr"/>
      <c r="G26" s="27">
        <f>IF(D26="","",MAX(0,IF(E26&lt;&gt;"",E26-D26,IF(F26="Completed",0,TODAY()-D26))))</f>
        <v/>
      </c>
      <c r="H26" s="27" t="inlineStr"/>
      <c r="I26" s="27" t="inlineStr"/>
    </row>
    <row r="27">
      <c r="A27" s="27" t="inlineStr"/>
      <c r="B27" s="27" t="inlineStr"/>
      <c r="C27" s="27" t="inlineStr"/>
      <c r="D27" s="36" t="inlineStr"/>
      <c r="E27" s="36" t="inlineStr"/>
      <c r="F27" s="27" t="inlineStr"/>
      <c r="G27" s="27">
        <f>IF(D27="","",MAX(0,IF(E27&lt;&gt;"",E27-D27,IF(F27="Completed",0,TODAY()-D27))))</f>
        <v/>
      </c>
      <c r="H27" s="27" t="inlineStr"/>
      <c r="I27" s="27" t="inlineStr"/>
    </row>
    <row r="28">
      <c r="A28" s="27" t="inlineStr"/>
      <c r="B28" s="27" t="inlineStr"/>
      <c r="C28" s="27" t="inlineStr"/>
      <c r="D28" s="36" t="inlineStr"/>
      <c r="E28" s="36" t="inlineStr"/>
      <c r="F28" s="27" t="inlineStr"/>
      <c r="G28" s="27">
        <f>IF(D28="","",MAX(0,IF(E28&lt;&gt;"",E28-D28,IF(F28="Completed",0,TODAY()-D28))))</f>
        <v/>
      </c>
      <c r="H28" s="27" t="inlineStr"/>
      <c r="I28" s="27" t="inlineStr"/>
    </row>
    <row r="29">
      <c r="A29" s="27" t="inlineStr"/>
      <c r="B29" s="27" t="inlineStr"/>
      <c r="C29" s="27" t="inlineStr"/>
      <c r="D29" s="36" t="inlineStr"/>
      <c r="E29" s="36" t="inlineStr"/>
      <c r="F29" s="27" t="inlineStr"/>
      <c r="G29" s="27">
        <f>IF(D29="","",MAX(0,IF(E29&lt;&gt;"",E29-D29,IF(F29="Completed",0,TODAY()-D29))))</f>
        <v/>
      </c>
      <c r="H29" s="27" t="inlineStr"/>
      <c r="I29" s="27" t="inlineStr"/>
    </row>
    <row r="30">
      <c r="A30" s="27" t="inlineStr"/>
      <c r="B30" s="27" t="inlineStr"/>
      <c r="C30" s="27" t="inlineStr"/>
      <c r="D30" s="36" t="inlineStr"/>
      <c r="E30" s="36" t="inlineStr"/>
      <c r="F30" s="27" t="inlineStr"/>
      <c r="G30" s="27">
        <f>IF(D30="","",MAX(0,IF(E30&lt;&gt;"",E30-D30,IF(F30="Completed",0,TODAY()-D30))))</f>
        <v/>
      </c>
      <c r="H30" s="27" t="inlineStr"/>
      <c r="I30" s="27" t="inlineStr"/>
    </row>
    <row r="31">
      <c r="A31" s="27" t="inlineStr"/>
      <c r="B31" s="27" t="inlineStr"/>
      <c r="C31" s="27" t="inlineStr"/>
      <c r="D31" s="36" t="inlineStr"/>
      <c r="E31" s="36" t="inlineStr"/>
      <c r="F31" s="27" t="inlineStr"/>
      <c r="G31" s="27">
        <f>IF(D31="","",MAX(0,IF(E31&lt;&gt;"",E31-D31,IF(F31="Completed",0,TODAY()-D31))))</f>
        <v/>
      </c>
      <c r="H31" s="27" t="inlineStr"/>
      <c r="I31" s="27" t="inlineStr"/>
    </row>
    <row r="32">
      <c r="A32" s="27" t="inlineStr"/>
      <c r="B32" s="27" t="inlineStr"/>
      <c r="C32" s="27" t="inlineStr"/>
      <c r="D32" s="36" t="inlineStr"/>
      <c r="E32" s="36" t="inlineStr"/>
      <c r="F32" s="27" t="inlineStr"/>
      <c r="G32" s="27">
        <f>IF(D32="","",MAX(0,IF(E32&lt;&gt;"",E32-D32,IF(F32="Completed",0,TODAY()-D32))))</f>
        <v/>
      </c>
      <c r="H32" s="27" t="inlineStr"/>
      <c r="I32" s="27" t="inlineStr"/>
    </row>
    <row r="33">
      <c r="A33" s="27" t="inlineStr"/>
      <c r="B33" s="27" t="inlineStr"/>
      <c r="C33" s="27" t="inlineStr"/>
      <c r="D33" s="36" t="inlineStr"/>
      <c r="E33" s="36" t="inlineStr"/>
      <c r="F33" s="27" t="inlineStr"/>
      <c r="G33" s="27">
        <f>IF(D33="","",MAX(0,IF(E33&lt;&gt;"",E33-D33,IF(F33="Completed",0,TODAY()-D33))))</f>
        <v/>
      </c>
      <c r="H33" s="27" t="inlineStr"/>
      <c r="I33" s="27" t="inlineStr"/>
    </row>
    <row r="34">
      <c r="A34" s="27" t="inlineStr"/>
      <c r="B34" s="27" t="inlineStr"/>
      <c r="C34" s="27" t="inlineStr"/>
      <c r="D34" s="36" t="inlineStr"/>
      <c r="E34" s="36" t="inlineStr"/>
      <c r="F34" s="27" t="inlineStr"/>
      <c r="G34" s="27">
        <f>IF(D34="","",MAX(0,IF(E34&lt;&gt;"",E34-D34,IF(F34="Completed",0,TODAY()-D34))))</f>
        <v/>
      </c>
      <c r="H34" s="27" t="inlineStr"/>
      <c r="I34" s="27" t="inlineStr"/>
    </row>
    <row r="35">
      <c r="A35" s="27" t="inlineStr"/>
      <c r="B35" s="27" t="inlineStr"/>
      <c r="C35" s="27" t="inlineStr"/>
      <c r="D35" s="36" t="inlineStr"/>
      <c r="E35" s="36" t="inlineStr"/>
      <c r="F35" s="27" t="inlineStr"/>
      <c r="G35" s="27">
        <f>IF(D35="","",MAX(0,IF(E35&lt;&gt;"",E35-D35,IF(F35="Completed",0,TODAY()-D35))))</f>
        <v/>
      </c>
      <c r="H35" s="27" t="inlineStr"/>
      <c r="I35" s="27" t="inlineStr"/>
    </row>
    <row r="36">
      <c r="A36" s="27" t="inlineStr"/>
      <c r="B36" s="27" t="inlineStr"/>
      <c r="C36" s="27" t="inlineStr"/>
      <c r="D36" s="36" t="inlineStr"/>
      <c r="E36" s="36" t="inlineStr"/>
      <c r="F36" s="27" t="inlineStr"/>
      <c r="G36" s="27">
        <f>IF(D36="","",MAX(0,IF(E36&lt;&gt;"",E36-D36,IF(F36="Completed",0,TODAY()-D36))))</f>
        <v/>
      </c>
      <c r="H36" s="27" t="inlineStr"/>
      <c r="I36" s="27" t="inlineStr"/>
    </row>
    <row r="37">
      <c r="A37" s="27" t="inlineStr"/>
      <c r="B37" s="27" t="inlineStr"/>
      <c r="C37" s="27" t="inlineStr"/>
      <c r="D37" s="36" t="inlineStr"/>
      <c r="E37" s="36" t="inlineStr"/>
      <c r="F37" s="27" t="inlineStr"/>
      <c r="G37" s="27">
        <f>IF(D37="","",MAX(0,IF(E37&lt;&gt;"",E37-D37,IF(F37="Completed",0,TODAY()-D37))))</f>
        <v/>
      </c>
      <c r="H37" s="27" t="inlineStr"/>
      <c r="I37" s="27" t="inlineStr"/>
    </row>
    <row r="38">
      <c r="A38" s="27" t="inlineStr"/>
      <c r="B38" s="27" t="inlineStr"/>
      <c r="C38" s="27" t="inlineStr"/>
      <c r="D38" s="36" t="inlineStr"/>
      <c r="E38" s="36" t="inlineStr"/>
      <c r="F38" s="27" t="inlineStr"/>
      <c r="G38" s="27">
        <f>IF(D38="","",MAX(0,IF(E38&lt;&gt;"",E38-D38,IF(F38="Completed",0,TODAY()-D38))))</f>
        <v/>
      </c>
      <c r="H38" s="27" t="inlineStr"/>
      <c r="I38" s="27" t="inlineStr"/>
    </row>
    <row r="39">
      <c r="A39" s="27" t="inlineStr"/>
      <c r="B39" s="27" t="inlineStr"/>
      <c r="C39" s="27" t="inlineStr"/>
      <c r="D39" s="36" t="inlineStr"/>
      <c r="E39" s="36" t="inlineStr"/>
      <c r="F39" s="27" t="inlineStr"/>
      <c r="G39" s="27">
        <f>IF(D39="","",MAX(0,IF(E39&lt;&gt;"",E39-D39,IF(F39="Completed",0,TODAY()-D39))))</f>
        <v/>
      </c>
      <c r="H39" s="27" t="inlineStr"/>
      <c r="I39" s="27" t="inlineStr"/>
    </row>
    <row r="40">
      <c r="A40" s="27" t="inlineStr"/>
      <c r="B40" s="27" t="inlineStr"/>
      <c r="C40" s="27" t="inlineStr"/>
      <c r="D40" s="36" t="inlineStr"/>
      <c r="E40" s="36" t="inlineStr"/>
      <c r="F40" s="27" t="inlineStr"/>
      <c r="G40" s="27">
        <f>IF(D40="","",MAX(0,IF(E40&lt;&gt;"",E40-D40,IF(F40="Completed",0,TODAY()-D40))))</f>
        <v/>
      </c>
      <c r="H40" s="27" t="inlineStr"/>
      <c r="I40" s="27" t="inlineStr"/>
    </row>
    <row r="41">
      <c r="A41" s="27" t="inlineStr"/>
      <c r="B41" s="27" t="inlineStr"/>
      <c r="C41" s="27" t="inlineStr"/>
      <c r="D41" s="36" t="inlineStr"/>
      <c r="E41" s="36" t="inlineStr"/>
      <c r="F41" s="27" t="inlineStr"/>
      <c r="G41" s="27">
        <f>IF(D41="","",MAX(0,IF(E41&lt;&gt;"",E41-D41,IF(F41="Completed",0,TODAY()-D41))))</f>
        <v/>
      </c>
      <c r="H41" s="27" t="inlineStr"/>
      <c r="I41" s="27" t="inlineStr"/>
    </row>
    <row r="42">
      <c r="A42" s="27" t="inlineStr"/>
      <c r="B42" s="27" t="inlineStr"/>
      <c r="C42" s="27" t="inlineStr"/>
      <c r="D42" s="36" t="inlineStr"/>
      <c r="E42" s="36" t="inlineStr"/>
      <c r="F42" s="27" t="inlineStr"/>
      <c r="G42" s="27">
        <f>IF(D42="","",MAX(0,IF(E42&lt;&gt;"",E42-D42,IF(F42="Completed",0,TODAY()-D42))))</f>
        <v/>
      </c>
      <c r="H42" s="27" t="inlineStr"/>
      <c r="I42" s="27" t="inlineStr"/>
    </row>
    <row r="43">
      <c r="A43" s="27" t="inlineStr"/>
      <c r="B43" s="27" t="inlineStr"/>
      <c r="C43" s="27" t="inlineStr"/>
      <c r="D43" s="36" t="inlineStr"/>
      <c r="E43" s="36" t="inlineStr"/>
      <c r="F43" s="27" t="inlineStr"/>
      <c r="G43" s="27">
        <f>IF(D43="","",MAX(0,IF(E43&lt;&gt;"",E43-D43,IF(F43="Completed",0,TODAY()-D43))))</f>
        <v/>
      </c>
      <c r="H43" s="27" t="inlineStr"/>
      <c r="I43" s="27" t="inlineStr"/>
    </row>
    <row r="44">
      <c r="A44" s="27" t="inlineStr"/>
      <c r="B44" s="27" t="inlineStr"/>
      <c r="C44" s="27" t="inlineStr"/>
      <c r="D44" s="36" t="inlineStr"/>
      <c r="E44" s="36" t="inlineStr"/>
      <c r="F44" s="27" t="inlineStr"/>
      <c r="G44" s="27">
        <f>IF(D44="","",MAX(0,IF(E44&lt;&gt;"",E44-D44,IF(F44="Completed",0,TODAY()-D44))))</f>
        <v/>
      </c>
      <c r="H44" s="27" t="inlineStr"/>
      <c r="I44" s="27" t="inlineStr"/>
    </row>
    <row r="45">
      <c r="A45" s="27" t="inlineStr"/>
      <c r="B45" s="27" t="inlineStr"/>
      <c r="C45" s="27" t="inlineStr"/>
      <c r="D45" s="36" t="inlineStr"/>
      <c r="E45" s="36" t="inlineStr"/>
      <c r="F45" s="27" t="inlineStr"/>
      <c r="G45" s="27">
        <f>IF(D45="","",MAX(0,IF(E45&lt;&gt;"",E45-D45,IF(F45="Completed",0,TODAY()-D45))))</f>
        <v/>
      </c>
      <c r="H45" s="27" t="inlineStr"/>
      <c r="I45" s="27" t="inlineStr"/>
    </row>
    <row r="46">
      <c r="A46" s="27" t="inlineStr"/>
      <c r="B46" s="27" t="inlineStr"/>
      <c r="C46" s="27" t="inlineStr"/>
      <c r="D46" s="36" t="inlineStr"/>
      <c r="E46" s="36" t="inlineStr"/>
      <c r="F46" s="27" t="inlineStr"/>
      <c r="G46" s="27">
        <f>IF(D46="","",MAX(0,IF(E46&lt;&gt;"",E46-D46,IF(F46="Completed",0,TODAY()-D46))))</f>
        <v/>
      </c>
      <c r="H46" s="27" t="inlineStr"/>
      <c r="I46" s="27" t="inlineStr"/>
    </row>
    <row r="47">
      <c r="A47" s="27" t="inlineStr"/>
      <c r="B47" s="27" t="inlineStr"/>
      <c r="C47" s="27" t="inlineStr"/>
      <c r="D47" s="36" t="inlineStr"/>
      <c r="E47" s="36" t="inlineStr"/>
      <c r="F47" s="27" t="inlineStr"/>
      <c r="G47" s="27">
        <f>IF(D47="","",MAX(0,IF(E47&lt;&gt;"",E47-D47,IF(F47="Completed",0,TODAY()-D47))))</f>
        <v/>
      </c>
      <c r="H47" s="27" t="inlineStr"/>
      <c r="I47" s="27" t="inlineStr"/>
    </row>
    <row r="48">
      <c r="A48" s="27" t="inlineStr"/>
      <c r="B48" s="27" t="inlineStr"/>
      <c r="C48" s="27" t="inlineStr"/>
      <c r="D48" s="36" t="inlineStr"/>
      <c r="E48" s="36" t="inlineStr"/>
      <c r="F48" s="27" t="inlineStr"/>
      <c r="G48" s="27">
        <f>IF(D48="","",MAX(0,IF(E48&lt;&gt;"",E48-D48,IF(F48="Completed",0,TODAY()-D48))))</f>
        <v/>
      </c>
      <c r="H48" s="27" t="inlineStr"/>
      <c r="I48" s="27" t="inlineStr"/>
    </row>
    <row r="49">
      <c r="A49" s="27" t="inlineStr"/>
      <c r="B49" s="27" t="inlineStr"/>
      <c r="C49" s="27" t="inlineStr"/>
      <c r="D49" s="36" t="inlineStr"/>
      <c r="E49" s="36" t="inlineStr"/>
      <c r="F49" s="27" t="inlineStr"/>
      <c r="G49" s="27">
        <f>IF(D49="","",MAX(0,IF(E49&lt;&gt;"",E49-D49,IF(F49="Completed",0,TODAY()-D49))))</f>
        <v/>
      </c>
      <c r="H49" s="27" t="inlineStr"/>
      <c r="I49" s="27" t="inlineStr"/>
    </row>
    <row r="50">
      <c r="A50" s="27" t="inlineStr"/>
      <c r="B50" s="27" t="inlineStr"/>
      <c r="C50" s="27" t="inlineStr"/>
      <c r="D50" s="36" t="inlineStr"/>
      <c r="E50" s="36" t="inlineStr"/>
      <c r="F50" s="27" t="inlineStr"/>
      <c r="G50" s="27">
        <f>IF(D50="","",MAX(0,IF(E50&lt;&gt;"",E50-D50,IF(F50="Completed",0,TODAY()-D50))))</f>
        <v/>
      </c>
      <c r="H50" s="27" t="inlineStr"/>
      <c r="I50" s="27" t="inlineStr"/>
    </row>
    <row r="51">
      <c r="A51" s="27" t="inlineStr"/>
      <c r="B51" s="27" t="inlineStr"/>
      <c r="C51" s="27" t="inlineStr"/>
      <c r="D51" s="36" t="inlineStr"/>
      <c r="E51" s="36" t="inlineStr"/>
      <c r="F51" s="27" t="inlineStr"/>
      <c r="G51" s="27">
        <f>IF(D51="","",MAX(0,IF(E51&lt;&gt;"",E51-D51,IF(F51="Completed",0,TODAY()-D51))))</f>
        <v/>
      </c>
      <c r="H51" s="27" t="inlineStr"/>
      <c r="I51" s="27" t="inlineStr"/>
    </row>
    <row r="52">
      <c r="A52" s="27" t="inlineStr"/>
      <c r="B52" s="27" t="inlineStr"/>
      <c r="C52" s="27" t="inlineStr"/>
      <c r="D52" s="36" t="inlineStr"/>
      <c r="E52" s="36" t="inlineStr"/>
      <c r="F52" s="27" t="inlineStr"/>
      <c r="G52" s="27">
        <f>IF(D52="","",MAX(0,IF(E52&lt;&gt;"",E52-D52,IF(F52="Completed",0,TODAY()-D52))))</f>
        <v/>
      </c>
      <c r="H52" s="27" t="inlineStr"/>
      <c r="I52" s="27" t="inlineStr"/>
    </row>
    <row r="53">
      <c r="A53" s="27" t="inlineStr"/>
      <c r="B53" s="27" t="inlineStr"/>
      <c r="C53" s="27" t="inlineStr"/>
      <c r="D53" s="36" t="inlineStr"/>
      <c r="E53" s="36" t="inlineStr"/>
      <c r="F53" s="27" t="inlineStr"/>
      <c r="G53" s="27">
        <f>IF(D53="","",MAX(0,IF(E53&lt;&gt;"",E53-D53,IF(F53="Completed",0,TODAY()-D53))))</f>
        <v/>
      </c>
      <c r="H53" s="27" t="inlineStr"/>
      <c r="I53" s="27" t="inlineStr"/>
    </row>
    <row r="54">
      <c r="A54" s="27" t="inlineStr"/>
      <c r="B54" s="27" t="inlineStr"/>
      <c r="C54" s="27" t="inlineStr"/>
      <c r="D54" s="36" t="inlineStr"/>
      <c r="E54" s="36" t="inlineStr"/>
      <c r="F54" s="27" t="inlineStr"/>
      <c r="G54" s="27">
        <f>IF(D54="","",MAX(0,IF(E54&lt;&gt;"",E54-D54,IF(F54="Completed",0,TODAY()-D54))))</f>
        <v/>
      </c>
      <c r="H54" s="27" t="inlineStr"/>
      <c r="I54" s="27" t="inlineStr"/>
    </row>
    <row r="55">
      <c r="A55" s="27" t="inlineStr"/>
      <c r="B55" s="27" t="inlineStr"/>
      <c r="C55" s="27" t="inlineStr"/>
      <c r="D55" s="36" t="inlineStr"/>
      <c r="E55" s="36" t="inlineStr"/>
      <c r="F55" s="27" t="inlineStr"/>
      <c r="G55" s="27">
        <f>IF(D55="","",MAX(0,IF(E55&lt;&gt;"",E55-D55,IF(F55="Completed",0,TODAY()-D55))))</f>
        <v/>
      </c>
      <c r="H55" s="27" t="inlineStr"/>
      <c r="I55" s="27" t="inlineStr"/>
    </row>
    <row r="56">
      <c r="A56" s="27" t="inlineStr"/>
      <c r="B56" s="27" t="inlineStr"/>
      <c r="C56" s="27" t="inlineStr"/>
      <c r="D56" s="36" t="inlineStr"/>
      <c r="E56" s="36" t="inlineStr"/>
      <c r="F56" s="27" t="inlineStr"/>
      <c r="G56" s="27">
        <f>IF(D56="","",MAX(0,IF(E56&lt;&gt;"",E56-D56,IF(F56="Completed",0,TODAY()-D56))))</f>
        <v/>
      </c>
      <c r="H56" s="27" t="inlineStr"/>
      <c r="I56" s="27" t="inlineStr"/>
    </row>
    <row r="57">
      <c r="A57" s="27" t="inlineStr"/>
      <c r="B57" s="27" t="inlineStr"/>
      <c r="C57" s="27" t="inlineStr"/>
      <c r="D57" s="36" t="inlineStr"/>
      <c r="E57" s="36" t="inlineStr"/>
      <c r="F57" s="27" t="inlineStr"/>
      <c r="G57" s="27">
        <f>IF(D57="","",MAX(0,IF(E57&lt;&gt;"",E57-D57,IF(F57="Completed",0,TODAY()-D57))))</f>
        <v/>
      </c>
      <c r="H57" s="27" t="inlineStr"/>
      <c r="I57" s="27" t="inlineStr"/>
    </row>
    <row r="58">
      <c r="A58" s="27" t="inlineStr"/>
      <c r="B58" s="27" t="inlineStr"/>
      <c r="C58" s="27" t="inlineStr"/>
      <c r="D58" s="36" t="inlineStr"/>
      <c r="E58" s="36" t="inlineStr"/>
      <c r="F58" s="27" t="inlineStr"/>
      <c r="G58" s="27">
        <f>IF(D58="","",MAX(0,IF(E58&lt;&gt;"",E58-D58,IF(F58="Completed",0,TODAY()-D58))))</f>
        <v/>
      </c>
      <c r="H58" s="27" t="inlineStr"/>
      <c r="I58" s="27" t="inlineStr"/>
    </row>
    <row r="59">
      <c r="A59" s="27" t="inlineStr"/>
      <c r="B59" s="27" t="inlineStr"/>
      <c r="C59" s="27" t="inlineStr"/>
      <c r="D59" s="36" t="inlineStr"/>
      <c r="E59" s="36" t="inlineStr"/>
      <c r="F59" s="27" t="inlineStr"/>
      <c r="G59" s="27">
        <f>IF(D59="","",MAX(0,IF(E59&lt;&gt;"",E59-D59,IF(F59="Completed",0,TODAY()-D59))))</f>
        <v/>
      </c>
      <c r="H59" s="27" t="inlineStr"/>
      <c r="I59" s="27" t="inlineStr"/>
    </row>
    <row r="60">
      <c r="A60" s="27" t="inlineStr"/>
      <c r="B60" s="27" t="inlineStr"/>
      <c r="C60" s="27" t="inlineStr"/>
      <c r="D60" s="36" t="inlineStr"/>
      <c r="E60" s="36" t="inlineStr"/>
      <c r="F60" s="27" t="inlineStr"/>
      <c r="G60" s="27">
        <f>IF(D60="","",MAX(0,IF(E60&lt;&gt;"",E60-D60,IF(F60="Completed",0,TODAY()-D60))))</f>
        <v/>
      </c>
      <c r="H60" s="27" t="inlineStr"/>
      <c r="I60" s="27" t="inlineStr"/>
    </row>
    <row r="61">
      <c r="A61" s="27" t="inlineStr"/>
      <c r="B61" s="27" t="inlineStr"/>
      <c r="C61" s="27" t="inlineStr"/>
      <c r="D61" s="36" t="inlineStr"/>
      <c r="E61" s="36" t="inlineStr"/>
      <c r="F61" s="27" t="inlineStr"/>
      <c r="G61" s="27">
        <f>IF(D61="","",MAX(0,IF(E61&lt;&gt;"",E61-D61,IF(F61="Completed",0,TODAY()-D61))))</f>
        <v/>
      </c>
      <c r="H61" s="27" t="inlineStr"/>
      <c r="I61" s="27" t="inlineStr"/>
    </row>
    <row r="62">
      <c r="A62" s="27" t="inlineStr"/>
      <c r="B62" s="27" t="inlineStr"/>
      <c r="C62" s="27" t="inlineStr"/>
      <c r="D62" s="36" t="inlineStr"/>
      <c r="E62" s="36" t="inlineStr"/>
      <c r="F62" s="27" t="inlineStr"/>
      <c r="G62" s="27">
        <f>IF(D62="","",MAX(0,IF(E62&lt;&gt;"",E62-D62,IF(F62="Completed",0,TODAY()-D62))))</f>
        <v/>
      </c>
      <c r="H62" s="27" t="inlineStr"/>
      <c r="I62" s="27" t="inlineStr"/>
    </row>
    <row r="63">
      <c r="A63" s="27" t="inlineStr"/>
      <c r="B63" s="27" t="inlineStr"/>
      <c r="C63" s="27" t="inlineStr"/>
      <c r="D63" s="36" t="inlineStr"/>
      <c r="E63" s="36" t="inlineStr"/>
      <c r="F63" s="27" t="inlineStr"/>
      <c r="G63" s="27">
        <f>IF(D63="","",MAX(0,IF(E63&lt;&gt;"",E63-D63,IF(F63="Completed",0,TODAY()-D63))))</f>
        <v/>
      </c>
      <c r="H63" s="27" t="inlineStr"/>
      <c r="I63" s="27" t="inlineStr"/>
    </row>
    <row r="64">
      <c r="A64" s="27" t="inlineStr"/>
      <c r="B64" s="27" t="inlineStr"/>
      <c r="C64" s="27" t="inlineStr"/>
      <c r="D64" s="36" t="inlineStr"/>
      <c r="E64" s="36" t="inlineStr"/>
      <c r="F64" s="27" t="inlineStr"/>
      <c r="G64" s="27">
        <f>IF(D64="","",MAX(0,IF(E64&lt;&gt;"",E64-D64,IF(F64="Completed",0,TODAY()-D64))))</f>
        <v/>
      </c>
      <c r="H64" s="27" t="inlineStr"/>
      <c r="I64" s="27" t="inlineStr"/>
    </row>
    <row r="65">
      <c r="A65" s="27" t="inlineStr"/>
      <c r="B65" s="27" t="inlineStr"/>
      <c r="C65" s="27" t="inlineStr"/>
      <c r="D65" s="36" t="inlineStr"/>
      <c r="E65" s="36" t="inlineStr"/>
      <c r="F65" s="27" t="inlineStr"/>
      <c r="G65" s="27">
        <f>IF(D65="","",MAX(0,IF(E65&lt;&gt;"",E65-D65,IF(F65="Completed",0,TODAY()-D65))))</f>
        <v/>
      </c>
      <c r="H65" s="27" t="inlineStr"/>
      <c r="I65" s="27" t="inlineStr"/>
    </row>
    <row r="66">
      <c r="A66" s="27" t="inlineStr"/>
      <c r="B66" s="27" t="inlineStr"/>
      <c r="C66" s="27" t="inlineStr"/>
      <c r="D66" s="36" t="inlineStr"/>
      <c r="E66" s="36" t="inlineStr"/>
      <c r="F66" s="27" t="inlineStr"/>
      <c r="G66" s="27">
        <f>IF(D66="","",MAX(0,IF(E66&lt;&gt;"",E66-D66,IF(F66="Completed",0,TODAY()-D66))))</f>
        <v/>
      </c>
      <c r="H66" s="27" t="inlineStr"/>
      <c r="I66" s="27" t="inlineStr"/>
    </row>
    <row r="67">
      <c r="A67" s="27" t="inlineStr"/>
      <c r="B67" s="27" t="inlineStr"/>
      <c r="C67" s="27" t="inlineStr"/>
      <c r="D67" s="36" t="inlineStr"/>
      <c r="E67" s="36" t="inlineStr"/>
      <c r="F67" s="27" t="inlineStr"/>
      <c r="G67" s="27">
        <f>IF(D67="","",MAX(0,IF(E67&lt;&gt;"",E67-D67,IF(F67="Completed",0,TODAY()-D67))))</f>
        <v/>
      </c>
      <c r="H67" s="27" t="inlineStr"/>
      <c r="I67" s="27" t="inlineStr"/>
    </row>
    <row r="68">
      <c r="A68" s="27" t="inlineStr"/>
      <c r="B68" s="27" t="inlineStr"/>
      <c r="C68" s="27" t="inlineStr"/>
      <c r="D68" s="36" t="inlineStr"/>
      <c r="E68" s="36" t="inlineStr"/>
      <c r="F68" s="27" t="inlineStr"/>
      <c r="G68" s="27">
        <f>IF(D68="","",MAX(0,IF(E68&lt;&gt;"",E68-D68,IF(F68="Completed",0,TODAY()-D68))))</f>
        <v/>
      </c>
      <c r="H68" s="27" t="inlineStr"/>
      <c r="I68" s="27" t="inlineStr"/>
    </row>
    <row r="69">
      <c r="A69" s="27" t="inlineStr"/>
      <c r="B69" s="27" t="inlineStr"/>
      <c r="C69" s="27" t="inlineStr"/>
      <c r="D69" s="36" t="inlineStr"/>
      <c r="E69" s="36" t="inlineStr"/>
      <c r="F69" s="27" t="inlineStr"/>
      <c r="G69" s="27">
        <f>IF(D69="","",MAX(0,IF(E69&lt;&gt;"",E69-D69,IF(F69="Completed",0,TODAY()-D69))))</f>
        <v/>
      </c>
      <c r="H69" s="27" t="inlineStr"/>
      <c r="I69" s="27" t="inlineStr"/>
    </row>
    <row r="70">
      <c r="A70" s="27" t="inlineStr"/>
      <c r="B70" s="27" t="inlineStr"/>
      <c r="C70" s="27" t="inlineStr"/>
      <c r="D70" s="36" t="inlineStr"/>
      <c r="E70" s="36" t="inlineStr"/>
      <c r="F70" s="27" t="inlineStr"/>
      <c r="G70" s="27">
        <f>IF(D70="","",MAX(0,IF(E70&lt;&gt;"",E70-D70,IF(F70="Completed",0,TODAY()-D70))))</f>
        <v/>
      </c>
      <c r="H70" s="27" t="inlineStr"/>
      <c r="I70" s="27" t="inlineStr"/>
    </row>
    <row r="71">
      <c r="A71" s="27" t="inlineStr"/>
      <c r="B71" s="27" t="inlineStr"/>
      <c r="C71" s="27" t="inlineStr"/>
      <c r="D71" s="36" t="inlineStr"/>
      <c r="E71" s="36" t="inlineStr"/>
      <c r="F71" s="27" t="inlineStr"/>
      <c r="G71" s="27">
        <f>IF(D71="","",MAX(0,IF(E71&lt;&gt;"",E71-D71,IF(F71="Completed",0,TODAY()-D71))))</f>
        <v/>
      </c>
      <c r="H71" s="27" t="inlineStr"/>
      <c r="I71" s="27" t="inlineStr"/>
    </row>
    <row r="72">
      <c r="A72" s="27" t="inlineStr"/>
      <c r="B72" s="27" t="inlineStr"/>
      <c r="C72" s="27" t="inlineStr"/>
      <c r="D72" s="36" t="inlineStr"/>
      <c r="E72" s="36" t="inlineStr"/>
      <c r="F72" s="27" t="inlineStr"/>
      <c r="G72" s="27">
        <f>IF(D72="","",MAX(0,IF(E72&lt;&gt;"",E72-D72,IF(F72="Completed",0,TODAY()-D72))))</f>
        <v/>
      </c>
      <c r="H72" s="27" t="inlineStr"/>
      <c r="I72" s="27" t="inlineStr"/>
    </row>
    <row r="73">
      <c r="A73" s="27" t="inlineStr"/>
      <c r="B73" s="27" t="inlineStr"/>
      <c r="C73" s="27" t="inlineStr"/>
      <c r="D73" s="36" t="inlineStr"/>
      <c r="E73" s="36" t="inlineStr"/>
      <c r="F73" s="27" t="inlineStr"/>
      <c r="G73" s="27">
        <f>IF(D73="","",MAX(0,IF(E73&lt;&gt;"",E73-D73,IF(F73="Completed",0,TODAY()-D73))))</f>
        <v/>
      </c>
      <c r="H73" s="27" t="inlineStr"/>
      <c r="I73" s="27" t="inlineStr"/>
    </row>
    <row r="74">
      <c r="A74" s="27" t="inlineStr"/>
      <c r="B74" s="27" t="inlineStr"/>
      <c r="C74" s="27" t="inlineStr"/>
      <c r="D74" s="36" t="inlineStr"/>
      <c r="E74" s="36" t="inlineStr"/>
      <c r="F74" s="27" t="inlineStr"/>
      <c r="G74" s="27">
        <f>IF(D74="","",MAX(0,IF(E74&lt;&gt;"",E74-D74,IF(F74="Completed",0,TODAY()-D74))))</f>
        <v/>
      </c>
      <c r="H74" s="27" t="inlineStr"/>
      <c r="I74" s="27" t="inlineStr"/>
    </row>
    <row r="75">
      <c r="A75" s="27" t="inlineStr"/>
      <c r="B75" s="27" t="inlineStr"/>
      <c r="C75" s="27" t="inlineStr"/>
      <c r="D75" s="36" t="inlineStr"/>
      <c r="E75" s="36" t="inlineStr"/>
      <c r="F75" s="27" t="inlineStr"/>
      <c r="G75" s="27">
        <f>IF(D75="","",MAX(0,IF(E75&lt;&gt;"",E75-D75,IF(F75="Completed",0,TODAY()-D75))))</f>
        <v/>
      </c>
      <c r="H75" s="27" t="inlineStr"/>
      <c r="I75" s="27" t="inlineStr"/>
    </row>
    <row r="76">
      <c r="A76" s="27" t="inlineStr"/>
      <c r="B76" s="27" t="inlineStr"/>
      <c r="C76" s="27" t="inlineStr"/>
      <c r="D76" s="36" t="inlineStr"/>
      <c r="E76" s="36" t="inlineStr"/>
      <c r="F76" s="27" t="inlineStr"/>
      <c r="G76" s="27">
        <f>IF(D76="","",MAX(0,IF(E76&lt;&gt;"",E76-D76,IF(F76="Completed",0,TODAY()-D76))))</f>
        <v/>
      </c>
      <c r="H76" s="27" t="inlineStr"/>
      <c r="I76" s="27" t="inlineStr"/>
    </row>
    <row r="77">
      <c r="A77" s="27" t="inlineStr"/>
      <c r="B77" s="27" t="inlineStr"/>
      <c r="C77" s="27" t="inlineStr"/>
      <c r="D77" s="36" t="inlineStr"/>
      <c r="E77" s="36" t="inlineStr"/>
      <c r="F77" s="27" t="inlineStr"/>
      <c r="G77" s="27">
        <f>IF(D77="","",MAX(0,IF(E77&lt;&gt;"",E77-D77,IF(F77="Completed",0,TODAY()-D77))))</f>
        <v/>
      </c>
      <c r="H77" s="27" t="inlineStr"/>
      <c r="I77" s="27" t="inlineStr"/>
    </row>
    <row r="78">
      <c r="A78" s="27" t="inlineStr"/>
      <c r="B78" s="27" t="inlineStr"/>
      <c r="C78" s="27" t="inlineStr"/>
      <c r="D78" s="36" t="inlineStr"/>
      <c r="E78" s="36" t="inlineStr"/>
      <c r="F78" s="27" t="inlineStr"/>
      <c r="G78" s="27">
        <f>IF(D78="","",MAX(0,IF(E78&lt;&gt;"",E78-D78,IF(F78="Completed",0,TODAY()-D78))))</f>
        <v/>
      </c>
      <c r="H78" s="27" t="inlineStr"/>
      <c r="I78" s="27" t="inlineStr"/>
    </row>
    <row r="79">
      <c r="A79" s="27" t="inlineStr"/>
      <c r="B79" s="27" t="inlineStr"/>
      <c r="C79" s="27" t="inlineStr"/>
      <c r="D79" s="36" t="inlineStr"/>
      <c r="E79" s="36" t="inlineStr"/>
      <c r="F79" s="27" t="inlineStr"/>
      <c r="G79" s="27">
        <f>IF(D79="","",MAX(0,IF(E79&lt;&gt;"",E79-D79,IF(F79="Completed",0,TODAY()-D79))))</f>
        <v/>
      </c>
      <c r="H79" s="27" t="inlineStr"/>
      <c r="I79" s="27" t="inlineStr"/>
    </row>
    <row r="80">
      <c r="A80" s="27" t="inlineStr"/>
      <c r="B80" s="27" t="inlineStr"/>
      <c r="C80" s="27" t="inlineStr"/>
      <c r="D80" s="36" t="inlineStr"/>
      <c r="E80" s="36" t="inlineStr"/>
      <c r="F80" s="27" t="inlineStr"/>
      <c r="G80" s="27">
        <f>IF(D80="","",MAX(0,IF(E80&lt;&gt;"",E80-D80,IF(F80="Completed",0,TODAY()-D80))))</f>
        <v/>
      </c>
      <c r="H80" s="27" t="inlineStr"/>
      <c r="I80" s="27" t="inlineStr"/>
    </row>
    <row r="81">
      <c r="A81" s="27" t="inlineStr"/>
      <c r="B81" s="27" t="inlineStr"/>
      <c r="C81" s="27" t="inlineStr"/>
      <c r="D81" s="36" t="inlineStr"/>
      <c r="E81" s="36" t="inlineStr"/>
      <c r="F81" s="27" t="inlineStr"/>
      <c r="G81" s="27">
        <f>IF(D81="","",MAX(0,IF(E81&lt;&gt;"",E81-D81,IF(F81="Completed",0,TODAY()-D81))))</f>
        <v/>
      </c>
      <c r="H81" s="27" t="inlineStr"/>
      <c r="I81" s="27" t="inlineStr"/>
    </row>
    <row r="82">
      <c r="A82" s="27" t="inlineStr"/>
      <c r="B82" s="27" t="inlineStr"/>
      <c r="C82" s="27" t="inlineStr"/>
      <c r="D82" s="36" t="inlineStr"/>
      <c r="E82" s="36" t="inlineStr"/>
      <c r="F82" s="27" t="inlineStr"/>
      <c r="G82" s="27">
        <f>IF(D82="","",MAX(0,IF(E82&lt;&gt;"",E82-D82,IF(F82="Completed",0,TODAY()-D82))))</f>
        <v/>
      </c>
      <c r="H82" s="27" t="inlineStr"/>
      <c r="I82" s="27" t="inlineStr"/>
    </row>
    <row r="83">
      <c r="A83" s="27" t="inlineStr"/>
      <c r="B83" s="27" t="inlineStr"/>
      <c r="C83" s="27" t="inlineStr"/>
      <c r="D83" s="36" t="inlineStr"/>
      <c r="E83" s="36" t="inlineStr"/>
      <c r="F83" s="27" t="inlineStr"/>
      <c r="G83" s="27">
        <f>IF(D83="","",MAX(0,IF(E83&lt;&gt;"",E83-D83,IF(F83="Completed",0,TODAY()-D83))))</f>
        <v/>
      </c>
      <c r="H83" s="27" t="inlineStr"/>
      <c r="I83" s="27" t="inlineStr"/>
    </row>
    <row r="84">
      <c r="A84" s="27" t="inlineStr"/>
      <c r="B84" s="27" t="inlineStr"/>
      <c r="C84" s="27" t="inlineStr"/>
      <c r="D84" s="36" t="inlineStr"/>
      <c r="E84" s="36" t="inlineStr"/>
      <c r="F84" s="27" t="inlineStr"/>
      <c r="G84" s="27">
        <f>IF(D84="","",MAX(0,IF(E84&lt;&gt;"",E84-D84,IF(F84="Completed",0,TODAY()-D84))))</f>
        <v/>
      </c>
      <c r="H84" s="27" t="inlineStr"/>
      <c r="I84" s="27" t="inlineStr"/>
    </row>
    <row r="85">
      <c r="A85" s="27" t="inlineStr"/>
      <c r="B85" s="27" t="inlineStr"/>
      <c r="C85" s="27" t="inlineStr"/>
      <c r="D85" s="36" t="inlineStr"/>
      <c r="E85" s="36" t="inlineStr"/>
      <c r="F85" s="27" t="inlineStr"/>
      <c r="G85" s="27">
        <f>IF(D85="","",MAX(0,IF(E85&lt;&gt;"",E85-D85,IF(F85="Completed",0,TODAY()-D85))))</f>
        <v/>
      </c>
      <c r="H85" s="27" t="inlineStr"/>
      <c r="I85" s="27" t="inlineStr"/>
    </row>
    <row r="86">
      <c r="A86" s="27" t="inlineStr"/>
      <c r="B86" s="27" t="inlineStr"/>
      <c r="C86" s="27" t="inlineStr"/>
      <c r="D86" s="36" t="inlineStr"/>
      <c r="E86" s="36" t="inlineStr"/>
      <c r="F86" s="27" t="inlineStr"/>
      <c r="G86" s="27">
        <f>IF(D86="","",MAX(0,IF(E86&lt;&gt;"",E86-D86,IF(F86="Completed",0,TODAY()-D86))))</f>
        <v/>
      </c>
      <c r="H86" s="27" t="inlineStr"/>
      <c r="I86" s="27" t="inlineStr"/>
    </row>
    <row r="87">
      <c r="A87" s="27" t="inlineStr"/>
      <c r="B87" s="27" t="inlineStr"/>
      <c r="C87" s="27" t="inlineStr"/>
      <c r="D87" s="36" t="inlineStr"/>
      <c r="E87" s="36" t="inlineStr"/>
      <c r="F87" s="27" t="inlineStr"/>
      <c r="G87" s="27">
        <f>IF(D87="","",MAX(0,IF(E87&lt;&gt;"",E87-D87,IF(F87="Completed",0,TODAY()-D87))))</f>
        <v/>
      </c>
      <c r="H87" s="27" t="inlineStr"/>
      <c r="I87" s="27" t="inlineStr"/>
    </row>
    <row r="88">
      <c r="A88" s="27" t="inlineStr"/>
      <c r="B88" s="27" t="inlineStr"/>
      <c r="C88" s="27" t="inlineStr"/>
      <c r="D88" s="36" t="inlineStr"/>
      <c r="E88" s="36" t="inlineStr"/>
      <c r="F88" s="27" t="inlineStr"/>
      <c r="G88" s="27">
        <f>IF(D88="","",MAX(0,IF(E88&lt;&gt;"",E88-D88,IF(F88="Completed",0,TODAY()-D88))))</f>
        <v/>
      </c>
      <c r="H88" s="27" t="inlineStr"/>
      <c r="I88" s="27" t="inlineStr"/>
    </row>
    <row r="89">
      <c r="A89" s="27" t="inlineStr"/>
      <c r="B89" s="27" t="inlineStr"/>
      <c r="C89" s="27" t="inlineStr"/>
      <c r="D89" s="36" t="inlineStr"/>
      <c r="E89" s="36" t="inlineStr"/>
      <c r="F89" s="27" t="inlineStr"/>
      <c r="G89" s="27">
        <f>IF(D89="","",MAX(0,IF(E89&lt;&gt;"",E89-D89,IF(F89="Completed",0,TODAY()-D89))))</f>
        <v/>
      </c>
      <c r="H89" s="27" t="inlineStr"/>
      <c r="I89" s="27" t="inlineStr"/>
    </row>
    <row r="90">
      <c r="A90" s="27" t="inlineStr"/>
      <c r="B90" s="27" t="inlineStr"/>
      <c r="C90" s="27" t="inlineStr"/>
      <c r="D90" s="36" t="inlineStr"/>
      <c r="E90" s="36" t="inlineStr"/>
      <c r="F90" s="27" t="inlineStr"/>
      <c r="G90" s="27">
        <f>IF(D90="","",MAX(0,IF(E90&lt;&gt;"",E90-D90,IF(F90="Completed",0,TODAY()-D90))))</f>
        <v/>
      </c>
      <c r="H90" s="27" t="inlineStr"/>
      <c r="I90" s="27" t="inlineStr"/>
    </row>
    <row r="91">
      <c r="A91" s="27" t="inlineStr"/>
      <c r="B91" s="27" t="inlineStr"/>
      <c r="C91" s="27" t="inlineStr"/>
      <c r="D91" s="36" t="inlineStr"/>
      <c r="E91" s="36" t="inlineStr"/>
      <c r="F91" s="27" t="inlineStr"/>
      <c r="G91" s="27">
        <f>IF(D91="","",MAX(0,IF(E91&lt;&gt;"",E91-D91,IF(F91="Completed",0,TODAY()-D91))))</f>
        <v/>
      </c>
      <c r="H91" s="27" t="inlineStr"/>
      <c r="I91" s="27" t="inlineStr"/>
    </row>
    <row r="92">
      <c r="A92" s="27" t="inlineStr"/>
      <c r="B92" s="27" t="inlineStr"/>
      <c r="C92" s="27" t="inlineStr"/>
      <c r="D92" s="36" t="inlineStr"/>
      <c r="E92" s="36" t="inlineStr"/>
      <c r="F92" s="27" t="inlineStr"/>
      <c r="G92" s="27">
        <f>IF(D92="","",MAX(0,IF(E92&lt;&gt;"",E92-D92,IF(F92="Completed",0,TODAY()-D92))))</f>
        <v/>
      </c>
      <c r="H92" s="27" t="inlineStr"/>
      <c r="I92" s="27" t="inlineStr"/>
    </row>
    <row r="93">
      <c r="A93" s="27" t="inlineStr"/>
      <c r="B93" s="27" t="inlineStr"/>
      <c r="C93" s="27" t="inlineStr"/>
      <c r="D93" s="36" t="inlineStr"/>
      <c r="E93" s="36" t="inlineStr"/>
      <c r="F93" s="27" t="inlineStr"/>
      <c r="G93" s="27">
        <f>IF(D93="","",MAX(0,IF(E93&lt;&gt;"",E93-D93,IF(F93="Completed",0,TODAY()-D93))))</f>
        <v/>
      </c>
      <c r="H93" s="27" t="inlineStr"/>
      <c r="I93" s="27" t="inlineStr"/>
    </row>
    <row r="94">
      <c r="A94" s="27" t="inlineStr"/>
      <c r="B94" s="27" t="inlineStr"/>
      <c r="C94" s="27" t="inlineStr"/>
      <c r="D94" s="36" t="inlineStr"/>
      <c r="E94" s="36" t="inlineStr"/>
      <c r="F94" s="27" t="inlineStr"/>
      <c r="G94" s="27">
        <f>IF(D94="","",MAX(0,IF(E94&lt;&gt;"",E94-D94,IF(F94="Completed",0,TODAY()-D94))))</f>
        <v/>
      </c>
      <c r="H94" s="27" t="inlineStr"/>
      <c r="I94" s="27" t="inlineStr"/>
    </row>
    <row r="95">
      <c r="A95" s="27" t="inlineStr"/>
      <c r="B95" s="27" t="inlineStr"/>
      <c r="C95" s="27" t="inlineStr"/>
      <c r="D95" s="36" t="inlineStr"/>
      <c r="E95" s="36" t="inlineStr"/>
      <c r="F95" s="27" t="inlineStr"/>
      <c r="G95" s="27">
        <f>IF(D95="","",MAX(0,IF(E95&lt;&gt;"",E95-D95,IF(F95="Completed",0,TODAY()-D95))))</f>
        <v/>
      </c>
      <c r="H95" s="27" t="inlineStr"/>
      <c r="I95" s="27" t="inlineStr"/>
    </row>
    <row r="96">
      <c r="A96" s="27" t="inlineStr"/>
      <c r="B96" s="27" t="inlineStr"/>
      <c r="C96" s="27" t="inlineStr"/>
      <c r="D96" s="36" t="inlineStr"/>
      <c r="E96" s="36" t="inlineStr"/>
      <c r="F96" s="27" t="inlineStr"/>
      <c r="G96" s="27">
        <f>IF(D96="","",MAX(0,IF(E96&lt;&gt;"",E96-D96,IF(F96="Completed",0,TODAY()-D96))))</f>
        <v/>
      </c>
      <c r="H96" s="27" t="inlineStr"/>
      <c r="I96" s="27" t="inlineStr"/>
    </row>
    <row r="97">
      <c r="A97" s="27" t="inlineStr"/>
      <c r="B97" s="27" t="inlineStr"/>
      <c r="C97" s="27" t="inlineStr"/>
      <c r="D97" s="36" t="inlineStr"/>
      <c r="E97" s="36" t="inlineStr"/>
      <c r="F97" s="27" t="inlineStr"/>
      <c r="G97" s="27">
        <f>IF(D97="","",MAX(0,IF(E97&lt;&gt;"",E97-D97,IF(F97="Completed",0,TODAY()-D97))))</f>
        <v/>
      </c>
      <c r="H97" s="27" t="inlineStr"/>
      <c r="I97" s="27" t="inlineStr"/>
    </row>
    <row r="98">
      <c r="A98" s="27" t="inlineStr"/>
      <c r="B98" s="27" t="inlineStr"/>
      <c r="C98" s="27" t="inlineStr"/>
      <c r="D98" s="36" t="inlineStr"/>
      <c r="E98" s="36" t="inlineStr"/>
      <c r="F98" s="27" t="inlineStr"/>
      <c r="G98" s="27">
        <f>IF(D98="","",MAX(0,IF(E98&lt;&gt;"",E98-D98,IF(F98="Completed",0,TODAY()-D98))))</f>
        <v/>
      </c>
      <c r="H98" s="27" t="inlineStr"/>
      <c r="I98" s="27" t="inlineStr"/>
    </row>
    <row r="99">
      <c r="A99" s="27" t="inlineStr"/>
      <c r="B99" s="27" t="inlineStr"/>
      <c r="C99" s="27" t="inlineStr"/>
      <c r="D99" s="36" t="inlineStr"/>
      <c r="E99" s="36" t="inlineStr"/>
      <c r="F99" s="27" t="inlineStr"/>
      <c r="G99" s="27">
        <f>IF(D99="","",MAX(0,IF(E99&lt;&gt;"",E99-D99,IF(F99="Completed",0,TODAY()-D99))))</f>
        <v/>
      </c>
      <c r="H99" s="27" t="inlineStr"/>
      <c r="I99" s="27" t="inlineStr"/>
    </row>
    <row r="100">
      <c r="A100" s="27" t="inlineStr"/>
      <c r="B100" s="27" t="inlineStr"/>
      <c r="C100" s="27" t="inlineStr"/>
      <c r="D100" s="36" t="inlineStr"/>
      <c r="E100" s="36" t="inlineStr"/>
      <c r="F100" s="27" t="inlineStr"/>
      <c r="G100" s="27">
        <f>IF(D100="","",MAX(0,IF(E100&lt;&gt;"",E100-D100,IF(F100="Completed",0,TODAY()-D100))))</f>
        <v/>
      </c>
      <c r="H100" s="27" t="inlineStr"/>
      <c r="I100" s="27" t="inlineStr"/>
    </row>
    <row r="101">
      <c r="A101" s="27" t="inlineStr"/>
      <c r="B101" s="27" t="inlineStr"/>
      <c r="C101" s="27" t="inlineStr"/>
      <c r="D101" s="36" t="inlineStr"/>
      <c r="E101" s="36" t="inlineStr"/>
      <c r="F101" s="27" t="inlineStr"/>
      <c r="G101" s="27">
        <f>IF(D101="","",MAX(0,IF(E101&lt;&gt;"",E101-D101,IF(F101="Completed",0,TODAY()-D101))))</f>
        <v/>
      </c>
      <c r="H101" s="27" t="inlineStr"/>
      <c r="I101" s="27" t="inlineStr"/>
    </row>
    <row r="102">
      <c r="A102" s="27" t="inlineStr"/>
      <c r="B102" s="27" t="inlineStr"/>
      <c r="C102" s="27" t="inlineStr"/>
      <c r="D102" s="36" t="inlineStr"/>
      <c r="E102" s="36" t="inlineStr"/>
      <c r="F102" s="27" t="inlineStr"/>
      <c r="G102" s="27">
        <f>IF(D102="","",MAX(0,IF(E102&lt;&gt;"",E102-D102,IF(F102="Completed",0,TODAY()-D102))))</f>
        <v/>
      </c>
      <c r="H102" s="27" t="inlineStr"/>
      <c r="I102" s="27" t="inlineStr"/>
    </row>
    <row r="103">
      <c r="A103" s="27" t="inlineStr"/>
      <c r="B103" s="27" t="inlineStr"/>
      <c r="C103" s="27" t="inlineStr"/>
      <c r="D103" s="36" t="inlineStr"/>
      <c r="E103" s="36" t="inlineStr"/>
      <c r="F103" s="27" t="inlineStr"/>
      <c r="G103" s="27">
        <f>IF(D103="","",MAX(0,IF(E103&lt;&gt;"",E103-D103,IF(F103="Completed",0,TODAY()-D103))))</f>
        <v/>
      </c>
      <c r="H103" s="27" t="inlineStr"/>
      <c r="I103" s="27" t="inlineStr"/>
    </row>
    <row r="104">
      <c r="A104" s="27" t="inlineStr"/>
      <c r="B104" s="27" t="inlineStr"/>
      <c r="C104" s="27" t="inlineStr"/>
      <c r="D104" s="36" t="inlineStr"/>
      <c r="E104" s="36" t="inlineStr"/>
      <c r="F104" s="27" t="inlineStr"/>
      <c r="G104" s="27">
        <f>IF(D104="","",MAX(0,IF(E104&lt;&gt;"",E104-D104,IF(F104="Completed",0,TODAY()-D104))))</f>
        <v/>
      </c>
      <c r="H104" s="27" t="inlineStr"/>
      <c r="I104" s="27" t="inlineStr"/>
    </row>
    <row r="105">
      <c r="A105" s="27" t="inlineStr"/>
      <c r="B105" s="27" t="inlineStr"/>
      <c r="C105" s="27" t="inlineStr"/>
      <c r="D105" s="36" t="inlineStr"/>
      <c r="E105" s="36" t="inlineStr"/>
      <c r="F105" s="27" t="inlineStr"/>
      <c r="G105" s="27">
        <f>IF(D105="","",MAX(0,IF(E105&lt;&gt;"",E105-D105,IF(F105="Completed",0,TODAY()-D105))))</f>
        <v/>
      </c>
      <c r="H105" s="27" t="inlineStr"/>
      <c r="I105" s="27" t="inlineStr"/>
    </row>
    <row r="106">
      <c r="A106" s="27" t="inlineStr"/>
      <c r="B106" s="27" t="inlineStr"/>
      <c r="C106" s="27" t="inlineStr"/>
      <c r="D106" s="36" t="inlineStr"/>
      <c r="E106" s="36" t="inlineStr"/>
      <c r="F106" s="27" t="inlineStr"/>
      <c r="G106" s="27">
        <f>IF(D106="","",MAX(0,IF(E106&lt;&gt;"",E106-D106,IF(F106="Completed",0,TODAY()-D106))))</f>
        <v/>
      </c>
      <c r="H106" s="27" t="inlineStr"/>
      <c r="I106" s="27" t="inlineStr"/>
    </row>
    <row r="107">
      <c r="A107" s="27" t="inlineStr"/>
      <c r="B107" s="27" t="inlineStr"/>
      <c r="C107" s="27" t="inlineStr"/>
      <c r="D107" s="36" t="inlineStr"/>
      <c r="E107" s="36" t="inlineStr"/>
      <c r="F107" s="27" t="inlineStr"/>
      <c r="G107" s="27">
        <f>IF(D107="","",MAX(0,IF(E107&lt;&gt;"",E107-D107,IF(F107="Completed",0,TODAY()-D107))))</f>
        <v/>
      </c>
      <c r="H107" s="27" t="inlineStr"/>
      <c r="I107" s="27" t="inlineStr"/>
    </row>
    <row r="108">
      <c r="A108" s="27" t="inlineStr"/>
      <c r="B108" s="27" t="inlineStr"/>
      <c r="C108" s="27" t="inlineStr"/>
      <c r="D108" s="36" t="inlineStr"/>
      <c r="E108" s="36" t="inlineStr"/>
      <c r="F108" s="27" t="inlineStr"/>
      <c r="G108" s="27">
        <f>IF(D108="","",MAX(0,IF(E108&lt;&gt;"",E108-D108,IF(F108="Completed",0,TODAY()-D108))))</f>
        <v/>
      </c>
      <c r="H108" s="27" t="inlineStr"/>
      <c r="I108" s="27" t="inlineStr"/>
    </row>
    <row r="109">
      <c r="A109" s="27" t="inlineStr"/>
      <c r="B109" s="27" t="inlineStr"/>
      <c r="C109" s="27" t="inlineStr"/>
      <c r="D109" s="36" t="inlineStr"/>
      <c r="E109" s="36" t="inlineStr"/>
      <c r="F109" s="27" t="inlineStr"/>
      <c r="G109" s="27">
        <f>IF(D109="","",MAX(0,IF(E109&lt;&gt;"",E109-D109,IF(F109="Completed",0,TODAY()-D109))))</f>
        <v/>
      </c>
      <c r="H109" s="27" t="inlineStr"/>
      <c r="I109" s="27" t="inlineStr"/>
    </row>
    <row r="110">
      <c r="A110" s="27" t="inlineStr"/>
      <c r="B110" s="27" t="inlineStr"/>
      <c r="C110" s="27" t="inlineStr"/>
      <c r="D110" s="36" t="inlineStr"/>
      <c r="E110" s="36" t="inlineStr"/>
      <c r="F110" s="27" t="inlineStr"/>
      <c r="G110" s="27">
        <f>IF(D110="","",MAX(0,IF(E110&lt;&gt;"",E110-D110,IF(F110="Completed",0,TODAY()-D110))))</f>
        <v/>
      </c>
      <c r="H110" s="27" t="inlineStr"/>
      <c r="I110" s="27" t="inlineStr"/>
    </row>
    <row r="111">
      <c r="A111" s="27" t="inlineStr"/>
      <c r="B111" s="27" t="inlineStr"/>
      <c r="C111" s="27" t="inlineStr"/>
      <c r="D111" s="36" t="inlineStr"/>
      <c r="E111" s="36" t="inlineStr"/>
      <c r="F111" s="27" t="inlineStr"/>
      <c r="G111" s="27">
        <f>IF(D111="","",MAX(0,IF(E111&lt;&gt;"",E111-D111,IF(F111="Completed",0,TODAY()-D111))))</f>
        <v/>
      </c>
      <c r="H111" s="27" t="inlineStr"/>
      <c r="I111" s="27" t="inlineStr"/>
    </row>
    <row r="112">
      <c r="A112" s="27" t="inlineStr"/>
      <c r="B112" s="27" t="inlineStr"/>
      <c r="C112" s="27" t="inlineStr"/>
      <c r="D112" s="36" t="inlineStr"/>
      <c r="E112" s="36" t="inlineStr"/>
      <c r="F112" s="27" t="inlineStr"/>
      <c r="G112" s="27">
        <f>IF(D112="","",MAX(0,IF(E112&lt;&gt;"",E112-D112,IF(F112="Completed",0,TODAY()-D112))))</f>
        <v/>
      </c>
      <c r="H112" s="27" t="inlineStr"/>
      <c r="I112" s="27" t="inlineStr"/>
    </row>
    <row r="113">
      <c r="A113" s="27" t="inlineStr"/>
      <c r="B113" s="27" t="inlineStr"/>
      <c r="C113" s="27" t="inlineStr"/>
      <c r="D113" s="36" t="inlineStr"/>
      <c r="E113" s="36" t="inlineStr"/>
      <c r="F113" s="27" t="inlineStr"/>
      <c r="G113" s="27">
        <f>IF(D113="","",MAX(0,IF(E113&lt;&gt;"",E113-D113,IF(F113="Completed",0,TODAY()-D113))))</f>
        <v/>
      </c>
      <c r="H113" s="27" t="inlineStr"/>
      <c r="I113" s="27" t="inlineStr"/>
    </row>
    <row r="114">
      <c r="A114" s="27" t="inlineStr"/>
      <c r="B114" s="27" t="inlineStr"/>
      <c r="C114" s="27" t="inlineStr"/>
      <c r="D114" s="36" t="inlineStr"/>
      <c r="E114" s="36" t="inlineStr"/>
      <c r="F114" s="27" t="inlineStr"/>
      <c r="G114" s="27">
        <f>IF(D114="","",MAX(0,IF(E114&lt;&gt;"",E114-D114,IF(F114="Completed",0,TODAY()-D114))))</f>
        <v/>
      </c>
      <c r="H114" s="27" t="inlineStr"/>
      <c r="I114" s="27" t="inlineStr"/>
    </row>
    <row r="115">
      <c r="A115" s="27" t="inlineStr"/>
      <c r="B115" s="27" t="inlineStr"/>
      <c r="C115" s="27" t="inlineStr"/>
      <c r="D115" s="36" t="inlineStr"/>
      <c r="E115" s="36" t="inlineStr"/>
      <c r="F115" s="27" t="inlineStr"/>
      <c r="G115" s="27">
        <f>IF(D115="","",MAX(0,IF(E115&lt;&gt;"",E115-D115,IF(F115="Completed",0,TODAY()-D115))))</f>
        <v/>
      </c>
      <c r="H115" s="27" t="inlineStr"/>
      <c r="I115" s="27" t="inlineStr"/>
    </row>
    <row r="116">
      <c r="A116" s="27" t="inlineStr"/>
      <c r="B116" s="27" t="inlineStr"/>
      <c r="C116" s="27" t="inlineStr"/>
      <c r="D116" s="36" t="inlineStr"/>
      <c r="E116" s="36" t="inlineStr"/>
      <c r="F116" s="27" t="inlineStr"/>
      <c r="G116" s="27">
        <f>IF(D116="","",MAX(0,IF(E116&lt;&gt;"",E116-D116,IF(F116="Completed",0,TODAY()-D116))))</f>
        <v/>
      </c>
      <c r="H116" s="27" t="inlineStr"/>
      <c r="I116" s="27" t="inlineStr"/>
    </row>
    <row r="117">
      <c r="A117" s="27" t="inlineStr"/>
      <c r="B117" s="27" t="inlineStr"/>
      <c r="C117" s="27" t="inlineStr"/>
      <c r="D117" s="36" t="inlineStr"/>
      <c r="E117" s="36" t="inlineStr"/>
      <c r="F117" s="27" t="inlineStr"/>
      <c r="G117" s="27">
        <f>IF(D117="","",MAX(0,IF(E117&lt;&gt;"",E117-D117,IF(F117="Completed",0,TODAY()-D117))))</f>
        <v/>
      </c>
      <c r="H117" s="27" t="inlineStr"/>
      <c r="I117" s="27" t="inlineStr"/>
    </row>
    <row r="118">
      <c r="A118" s="27" t="inlineStr"/>
      <c r="B118" s="27" t="inlineStr"/>
      <c r="C118" s="27" t="inlineStr"/>
      <c r="D118" s="36" t="inlineStr"/>
      <c r="E118" s="36" t="inlineStr"/>
      <c r="F118" s="27" t="inlineStr"/>
      <c r="G118" s="27">
        <f>IF(D118="","",MAX(0,IF(E118&lt;&gt;"",E118-D118,IF(F118="Completed",0,TODAY()-D118))))</f>
        <v/>
      </c>
      <c r="H118" s="27" t="inlineStr"/>
      <c r="I118" s="27" t="inlineStr"/>
    </row>
    <row r="119">
      <c r="A119" s="27" t="inlineStr"/>
      <c r="B119" s="27" t="inlineStr"/>
      <c r="C119" s="27" t="inlineStr"/>
      <c r="D119" s="36" t="inlineStr"/>
      <c r="E119" s="36" t="inlineStr"/>
      <c r="F119" s="27" t="inlineStr"/>
      <c r="G119" s="27">
        <f>IF(D119="","",MAX(0,IF(E119&lt;&gt;"",E119-D119,IF(F119="Completed",0,TODAY()-D119))))</f>
        <v/>
      </c>
      <c r="H119" s="27" t="inlineStr"/>
      <c r="I119" s="27" t="inlineStr"/>
    </row>
    <row r="120">
      <c r="A120" s="27" t="inlineStr"/>
      <c r="B120" s="27" t="inlineStr"/>
      <c r="C120" s="27" t="inlineStr"/>
      <c r="D120" s="36" t="inlineStr"/>
      <c r="E120" s="36" t="inlineStr"/>
      <c r="F120" s="27" t="inlineStr"/>
      <c r="G120" s="27">
        <f>IF(D120="","",MAX(0,IF(E120&lt;&gt;"",E120-D120,IF(F120="Completed",0,TODAY()-D120))))</f>
        <v/>
      </c>
      <c r="H120" s="27" t="inlineStr"/>
      <c r="I120" s="27" t="inlineStr"/>
    </row>
    <row r="121">
      <c r="A121" s="27" t="inlineStr"/>
      <c r="B121" s="27" t="inlineStr"/>
      <c r="C121" s="27" t="inlineStr"/>
      <c r="D121" s="36" t="inlineStr"/>
      <c r="E121" s="36" t="inlineStr"/>
      <c r="F121" s="27" t="inlineStr"/>
      <c r="G121" s="27">
        <f>IF(D121="","",MAX(0,IF(E121&lt;&gt;"",E121-D121,IF(F121="Completed",0,TODAY()-D121))))</f>
        <v/>
      </c>
      <c r="H121" s="27" t="inlineStr"/>
      <c r="I121" s="27" t="inlineStr"/>
    </row>
    <row r="122">
      <c r="A122" s="27" t="inlineStr"/>
      <c r="B122" s="27" t="inlineStr"/>
      <c r="C122" s="27" t="inlineStr"/>
      <c r="D122" s="36" t="inlineStr"/>
      <c r="E122" s="36" t="inlineStr"/>
      <c r="F122" s="27" t="inlineStr"/>
      <c r="G122" s="27">
        <f>IF(D122="","",MAX(0,IF(E122&lt;&gt;"",E122-D122,IF(F122="Completed",0,TODAY()-D122))))</f>
        <v/>
      </c>
      <c r="H122" s="27" t="inlineStr"/>
      <c r="I122" s="27" t="inlineStr"/>
    </row>
    <row r="123">
      <c r="A123" s="27" t="inlineStr"/>
      <c r="B123" s="27" t="inlineStr"/>
      <c r="C123" s="27" t="inlineStr"/>
      <c r="D123" s="36" t="inlineStr"/>
      <c r="E123" s="36" t="inlineStr"/>
      <c r="F123" s="27" t="inlineStr"/>
      <c r="G123" s="27">
        <f>IF(D123="","",MAX(0,IF(E123&lt;&gt;"",E123-D123,IF(F123="Completed",0,TODAY()-D123))))</f>
        <v/>
      </c>
      <c r="H123" s="27" t="inlineStr"/>
      <c r="I123" s="27" t="inlineStr"/>
    </row>
    <row r="124">
      <c r="A124" s="27" t="inlineStr"/>
      <c r="B124" s="27" t="inlineStr"/>
      <c r="C124" s="27" t="inlineStr"/>
      <c r="D124" s="36" t="inlineStr"/>
      <c r="E124" s="36" t="inlineStr"/>
      <c r="F124" s="27" t="inlineStr"/>
      <c r="G124" s="27">
        <f>IF(D124="","",MAX(0,IF(E124&lt;&gt;"",E124-D124,IF(F124="Completed",0,TODAY()-D124))))</f>
        <v/>
      </c>
      <c r="H124" s="27" t="inlineStr"/>
      <c r="I124" s="27" t="inlineStr"/>
    </row>
    <row r="125">
      <c r="A125" s="27" t="inlineStr"/>
      <c r="B125" s="27" t="inlineStr"/>
      <c r="C125" s="27" t="inlineStr"/>
      <c r="D125" s="36" t="inlineStr"/>
      <c r="E125" s="36" t="inlineStr"/>
      <c r="F125" s="27" t="inlineStr"/>
      <c r="G125" s="27">
        <f>IF(D125="","",MAX(0,IF(E125&lt;&gt;"",E125-D125,IF(F125="Completed",0,TODAY()-D125))))</f>
        <v/>
      </c>
      <c r="H125" s="27" t="inlineStr"/>
      <c r="I125" s="27" t="inlineStr"/>
    </row>
    <row r="126">
      <c r="A126" s="27" t="inlineStr"/>
      <c r="B126" s="27" t="inlineStr"/>
      <c r="C126" s="27" t="inlineStr"/>
      <c r="D126" s="36" t="inlineStr"/>
      <c r="E126" s="36" t="inlineStr"/>
      <c r="F126" s="27" t="inlineStr"/>
      <c r="G126" s="27">
        <f>IF(D126="","",MAX(0,IF(E126&lt;&gt;"",E126-D126,IF(F126="Completed",0,TODAY()-D126))))</f>
        <v/>
      </c>
      <c r="H126" s="27" t="inlineStr"/>
      <c r="I126" s="27" t="inlineStr"/>
    </row>
    <row r="127">
      <c r="A127" s="27" t="inlineStr"/>
      <c r="B127" s="27" t="inlineStr"/>
      <c r="C127" s="27" t="inlineStr"/>
      <c r="D127" s="36" t="inlineStr"/>
      <c r="E127" s="36" t="inlineStr"/>
      <c r="F127" s="27" t="inlineStr"/>
      <c r="G127" s="27">
        <f>IF(D127="","",MAX(0,IF(E127&lt;&gt;"",E127-D127,IF(F127="Completed",0,TODAY()-D127))))</f>
        <v/>
      </c>
      <c r="H127" s="27" t="inlineStr"/>
      <c r="I127" s="27" t="inlineStr"/>
    </row>
    <row r="128">
      <c r="A128" s="27" t="inlineStr"/>
      <c r="B128" s="27" t="inlineStr"/>
      <c r="C128" s="27" t="inlineStr"/>
      <c r="D128" s="36" t="inlineStr"/>
      <c r="E128" s="36" t="inlineStr"/>
      <c r="F128" s="27" t="inlineStr"/>
      <c r="G128" s="27">
        <f>IF(D128="","",MAX(0,IF(E128&lt;&gt;"",E128-D128,IF(F128="Completed",0,TODAY()-D128))))</f>
        <v/>
      </c>
      <c r="H128" s="27" t="inlineStr"/>
      <c r="I128" s="27" t="inlineStr"/>
    </row>
    <row r="129">
      <c r="A129" s="27" t="inlineStr"/>
      <c r="B129" s="27" t="inlineStr"/>
      <c r="C129" s="27" t="inlineStr"/>
      <c r="D129" s="36" t="inlineStr"/>
      <c r="E129" s="36" t="inlineStr"/>
      <c r="F129" s="27" t="inlineStr"/>
      <c r="G129" s="27">
        <f>IF(D129="","",MAX(0,IF(E129&lt;&gt;"",E129-D129,IF(F129="Completed",0,TODAY()-D129))))</f>
        <v/>
      </c>
      <c r="H129" s="27" t="inlineStr"/>
      <c r="I129" s="27" t="inlineStr"/>
    </row>
    <row r="130">
      <c r="A130" s="27" t="inlineStr"/>
      <c r="B130" s="27" t="inlineStr"/>
      <c r="C130" s="27" t="inlineStr"/>
      <c r="D130" s="36" t="inlineStr"/>
      <c r="E130" s="36" t="inlineStr"/>
      <c r="F130" s="27" t="inlineStr"/>
      <c r="G130" s="27">
        <f>IF(D130="","",MAX(0,IF(E130&lt;&gt;"",E130-D130,IF(F130="Completed",0,TODAY()-D130))))</f>
        <v/>
      </c>
      <c r="H130" s="27" t="inlineStr"/>
      <c r="I130" s="27" t="inlineStr"/>
    </row>
    <row r="131">
      <c r="A131" s="27" t="inlineStr"/>
      <c r="B131" s="27" t="inlineStr"/>
      <c r="C131" s="27" t="inlineStr"/>
      <c r="D131" s="36" t="inlineStr"/>
      <c r="E131" s="36" t="inlineStr"/>
      <c r="F131" s="27" t="inlineStr"/>
      <c r="G131" s="27">
        <f>IF(D131="","",MAX(0,IF(E131&lt;&gt;"",E131-D131,IF(F131="Completed",0,TODAY()-D131))))</f>
        <v/>
      </c>
      <c r="H131" s="27" t="inlineStr"/>
      <c r="I131" s="27" t="inlineStr"/>
    </row>
    <row r="132">
      <c r="A132" s="27" t="inlineStr"/>
      <c r="B132" s="27" t="inlineStr"/>
      <c r="C132" s="27" t="inlineStr"/>
      <c r="D132" s="36" t="inlineStr"/>
      <c r="E132" s="36" t="inlineStr"/>
      <c r="F132" s="27" t="inlineStr"/>
      <c r="G132" s="27">
        <f>IF(D132="","",MAX(0,IF(E132&lt;&gt;"",E132-D132,IF(F132="Completed",0,TODAY()-D132))))</f>
        <v/>
      </c>
      <c r="H132" s="27" t="inlineStr"/>
      <c r="I132" s="27" t="inlineStr"/>
    </row>
    <row r="133">
      <c r="A133" s="27" t="inlineStr"/>
      <c r="B133" s="27" t="inlineStr"/>
      <c r="C133" s="27" t="inlineStr"/>
      <c r="D133" s="36" t="inlineStr"/>
      <c r="E133" s="36" t="inlineStr"/>
      <c r="F133" s="27" t="inlineStr"/>
      <c r="G133" s="27">
        <f>IF(D133="","",MAX(0,IF(E133&lt;&gt;"",E133-D133,IF(F133="Completed",0,TODAY()-D133))))</f>
        <v/>
      </c>
      <c r="H133" s="27" t="inlineStr"/>
      <c r="I133" s="27" t="inlineStr"/>
    </row>
    <row r="134">
      <c r="A134" s="27" t="inlineStr"/>
      <c r="B134" s="27" t="inlineStr"/>
      <c r="C134" s="27" t="inlineStr"/>
      <c r="D134" s="36" t="inlineStr"/>
      <c r="E134" s="36" t="inlineStr"/>
      <c r="F134" s="27" t="inlineStr"/>
      <c r="G134" s="27">
        <f>IF(D134="","",MAX(0,IF(E134&lt;&gt;"",E134-D134,IF(F134="Completed",0,TODAY()-D134))))</f>
        <v/>
      </c>
      <c r="H134" s="27" t="inlineStr"/>
      <c r="I134" s="27" t="inlineStr"/>
    </row>
    <row r="135">
      <c r="A135" s="27" t="inlineStr"/>
      <c r="B135" s="27" t="inlineStr"/>
      <c r="C135" s="27" t="inlineStr"/>
      <c r="D135" s="36" t="inlineStr"/>
      <c r="E135" s="36" t="inlineStr"/>
      <c r="F135" s="27" t="inlineStr"/>
      <c r="G135" s="27">
        <f>IF(D135="","",MAX(0,IF(E135&lt;&gt;"",E135-D135,IF(F135="Completed",0,TODAY()-D135))))</f>
        <v/>
      </c>
      <c r="H135" s="27" t="inlineStr"/>
      <c r="I135" s="27" t="inlineStr"/>
    </row>
    <row r="136">
      <c r="A136" s="27" t="inlineStr"/>
      <c r="B136" s="27" t="inlineStr"/>
      <c r="C136" s="27" t="inlineStr"/>
      <c r="D136" s="36" t="inlineStr"/>
      <c r="E136" s="36" t="inlineStr"/>
      <c r="F136" s="27" t="inlineStr"/>
      <c r="G136" s="27">
        <f>IF(D136="","",MAX(0,IF(E136&lt;&gt;"",E136-D136,IF(F136="Completed",0,TODAY()-D136))))</f>
        <v/>
      </c>
      <c r="H136" s="27" t="inlineStr"/>
      <c r="I136" s="27" t="inlineStr"/>
    </row>
    <row r="137">
      <c r="A137" s="27" t="inlineStr"/>
      <c r="B137" s="27" t="inlineStr"/>
      <c r="C137" s="27" t="inlineStr"/>
      <c r="D137" s="36" t="inlineStr"/>
      <c r="E137" s="36" t="inlineStr"/>
      <c r="F137" s="27" t="inlineStr"/>
      <c r="G137" s="27">
        <f>IF(D137="","",MAX(0,IF(E137&lt;&gt;"",E137-D137,IF(F137="Completed",0,TODAY()-D137))))</f>
        <v/>
      </c>
      <c r="H137" s="27" t="inlineStr"/>
      <c r="I137" s="27" t="inlineStr"/>
    </row>
    <row r="138">
      <c r="A138" s="27" t="inlineStr"/>
      <c r="B138" s="27" t="inlineStr"/>
      <c r="C138" s="27" t="inlineStr"/>
      <c r="D138" s="36" t="inlineStr"/>
      <c r="E138" s="36" t="inlineStr"/>
      <c r="F138" s="27" t="inlineStr"/>
      <c r="G138" s="27">
        <f>IF(D138="","",MAX(0,IF(E138&lt;&gt;"",E138-D138,IF(F138="Completed",0,TODAY()-D138))))</f>
        <v/>
      </c>
      <c r="H138" s="27" t="inlineStr"/>
      <c r="I138" s="27" t="inlineStr"/>
    </row>
    <row r="139">
      <c r="A139" s="27" t="inlineStr"/>
      <c r="B139" s="27" t="inlineStr"/>
      <c r="C139" s="27" t="inlineStr"/>
      <c r="D139" s="36" t="inlineStr"/>
      <c r="E139" s="36" t="inlineStr"/>
      <c r="F139" s="27" t="inlineStr"/>
      <c r="G139" s="27">
        <f>IF(D139="","",MAX(0,IF(E139&lt;&gt;"",E139-D139,IF(F139="Completed",0,TODAY()-D139))))</f>
        <v/>
      </c>
      <c r="H139" s="27" t="inlineStr"/>
      <c r="I139" s="27" t="inlineStr"/>
    </row>
    <row r="140">
      <c r="A140" s="27" t="inlineStr"/>
      <c r="B140" s="27" t="inlineStr"/>
      <c r="C140" s="27" t="inlineStr"/>
      <c r="D140" s="36" t="inlineStr"/>
      <c r="E140" s="36" t="inlineStr"/>
      <c r="F140" s="27" t="inlineStr"/>
      <c r="G140" s="27">
        <f>IF(D140="","",MAX(0,IF(E140&lt;&gt;"",E140-D140,IF(F140="Completed",0,TODAY()-D140))))</f>
        <v/>
      </c>
      <c r="H140" s="27" t="inlineStr"/>
      <c r="I140" s="27" t="inlineStr"/>
    </row>
    <row r="141">
      <c r="A141" s="27" t="inlineStr"/>
      <c r="B141" s="27" t="inlineStr"/>
      <c r="C141" s="27" t="inlineStr"/>
      <c r="D141" s="36" t="inlineStr"/>
      <c r="E141" s="36" t="inlineStr"/>
      <c r="F141" s="27" t="inlineStr"/>
      <c r="G141" s="27">
        <f>IF(D141="","",MAX(0,IF(E141&lt;&gt;"",E141-D141,IF(F141="Completed",0,TODAY()-D141))))</f>
        <v/>
      </c>
      <c r="H141" s="27" t="inlineStr"/>
      <c r="I141" s="27" t="inlineStr"/>
    </row>
    <row r="142">
      <c r="A142" s="27" t="inlineStr"/>
      <c r="B142" s="27" t="inlineStr"/>
      <c r="C142" s="27" t="inlineStr"/>
      <c r="D142" s="36" t="inlineStr"/>
      <c r="E142" s="36" t="inlineStr"/>
      <c r="F142" s="27" t="inlineStr"/>
      <c r="G142" s="27">
        <f>IF(D142="","",MAX(0,IF(E142&lt;&gt;"",E142-D142,IF(F142="Completed",0,TODAY()-D142))))</f>
        <v/>
      </c>
      <c r="H142" s="27" t="inlineStr"/>
      <c r="I142" s="27" t="inlineStr"/>
    </row>
    <row r="143">
      <c r="A143" s="27" t="inlineStr"/>
      <c r="B143" s="27" t="inlineStr"/>
      <c r="C143" s="27" t="inlineStr"/>
      <c r="D143" s="36" t="inlineStr"/>
      <c r="E143" s="36" t="inlineStr"/>
      <c r="F143" s="27" t="inlineStr"/>
      <c r="G143" s="27">
        <f>IF(D143="","",MAX(0,IF(E143&lt;&gt;"",E143-D143,IF(F143="Completed",0,TODAY()-D143))))</f>
        <v/>
      </c>
      <c r="H143" s="27" t="inlineStr"/>
      <c r="I143" s="27" t="inlineStr"/>
    </row>
    <row r="144">
      <c r="A144" s="27" t="inlineStr"/>
      <c r="B144" s="27" t="inlineStr"/>
      <c r="C144" s="27" t="inlineStr"/>
      <c r="D144" s="36" t="inlineStr"/>
      <c r="E144" s="36" t="inlineStr"/>
      <c r="F144" s="27" t="inlineStr"/>
      <c r="G144" s="27">
        <f>IF(D144="","",MAX(0,IF(E144&lt;&gt;"",E144-D144,IF(F144="Completed",0,TODAY()-D144))))</f>
        <v/>
      </c>
      <c r="H144" s="27" t="inlineStr"/>
      <c r="I144" s="27" t="inlineStr"/>
    </row>
    <row r="145">
      <c r="A145" s="27" t="inlineStr"/>
      <c r="B145" s="27" t="inlineStr"/>
      <c r="C145" s="27" t="inlineStr"/>
      <c r="D145" s="36" t="inlineStr"/>
      <c r="E145" s="36" t="inlineStr"/>
      <c r="F145" s="27" t="inlineStr"/>
      <c r="G145" s="27">
        <f>IF(D145="","",MAX(0,IF(E145&lt;&gt;"",E145-D145,IF(F145="Completed",0,TODAY()-D145))))</f>
        <v/>
      </c>
      <c r="H145" s="27" t="inlineStr"/>
      <c r="I145" s="27" t="inlineStr"/>
    </row>
    <row r="146">
      <c r="A146" s="27" t="inlineStr"/>
      <c r="B146" s="27" t="inlineStr"/>
      <c r="C146" s="27" t="inlineStr"/>
      <c r="D146" s="36" t="inlineStr"/>
      <c r="E146" s="36" t="inlineStr"/>
      <c r="F146" s="27" t="inlineStr"/>
      <c r="G146" s="27">
        <f>IF(D146="","",MAX(0,IF(E146&lt;&gt;"",E146-D146,IF(F146="Completed",0,TODAY()-D146))))</f>
        <v/>
      </c>
      <c r="H146" s="27" t="inlineStr"/>
      <c r="I146" s="27" t="inlineStr"/>
    </row>
    <row r="147">
      <c r="A147" s="27" t="inlineStr"/>
      <c r="B147" s="27" t="inlineStr"/>
      <c r="C147" s="27" t="inlineStr"/>
      <c r="D147" s="36" t="inlineStr"/>
      <c r="E147" s="36" t="inlineStr"/>
      <c r="F147" s="27" t="inlineStr"/>
      <c r="G147" s="27">
        <f>IF(D147="","",MAX(0,IF(E147&lt;&gt;"",E147-D147,IF(F147="Completed",0,TODAY()-D147))))</f>
        <v/>
      </c>
      <c r="H147" s="27" t="inlineStr"/>
      <c r="I147" s="27" t="inlineStr"/>
    </row>
    <row r="148">
      <c r="A148" s="27" t="inlineStr"/>
      <c r="B148" s="27" t="inlineStr"/>
      <c r="C148" s="27" t="inlineStr"/>
      <c r="D148" s="36" t="inlineStr"/>
      <c r="E148" s="36" t="inlineStr"/>
      <c r="F148" s="27" t="inlineStr"/>
      <c r="G148" s="27">
        <f>IF(D148="","",MAX(0,IF(E148&lt;&gt;"",E148-D148,IF(F148="Completed",0,TODAY()-D148))))</f>
        <v/>
      </c>
      <c r="H148" s="27" t="inlineStr"/>
      <c r="I148" s="27" t="inlineStr"/>
    </row>
    <row r="149">
      <c r="A149" s="27" t="inlineStr"/>
      <c r="B149" s="27" t="inlineStr"/>
      <c r="C149" s="27" t="inlineStr"/>
      <c r="D149" s="36" t="inlineStr"/>
      <c r="E149" s="36" t="inlineStr"/>
      <c r="F149" s="27" t="inlineStr"/>
      <c r="G149" s="27">
        <f>IF(D149="","",MAX(0,IF(E149&lt;&gt;"",E149-D149,IF(F149="Completed",0,TODAY()-D149))))</f>
        <v/>
      </c>
      <c r="H149" s="27" t="inlineStr"/>
      <c r="I149" s="27" t="inlineStr"/>
    </row>
    <row r="150">
      <c r="A150" s="27" t="inlineStr"/>
      <c r="B150" s="27" t="inlineStr"/>
      <c r="C150" s="27" t="inlineStr"/>
      <c r="D150" s="36" t="inlineStr"/>
      <c r="E150" s="36" t="inlineStr"/>
      <c r="F150" s="27" t="inlineStr"/>
      <c r="G150" s="27">
        <f>IF(D150="","",MAX(0,IF(E150&lt;&gt;"",E150-D150,IF(F150="Completed",0,TODAY()-D150))))</f>
        <v/>
      </c>
      <c r="H150" s="27" t="inlineStr"/>
      <c r="I150" s="27" t="inlineStr"/>
    </row>
    <row r="151">
      <c r="A151" s="27" t="inlineStr"/>
      <c r="B151" s="27" t="inlineStr"/>
      <c r="C151" s="27" t="inlineStr"/>
      <c r="D151" s="36" t="inlineStr"/>
      <c r="E151" s="36" t="inlineStr"/>
      <c r="F151" s="27" t="inlineStr"/>
      <c r="G151" s="27">
        <f>IF(D151="","",MAX(0,IF(E151&lt;&gt;"",E151-D151,IF(F151="Completed",0,TODAY()-D151))))</f>
        <v/>
      </c>
      <c r="H151" s="27" t="inlineStr"/>
      <c r="I151" s="27" t="inlineStr"/>
    </row>
    <row r="152">
      <c r="A152" s="27" t="inlineStr"/>
      <c r="B152" s="27" t="inlineStr"/>
      <c r="C152" s="27" t="inlineStr"/>
      <c r="D152" s="36" t="inlineStr"/>
      <c r="E152" s="36" t="inlineStr"/>
      <c r="F152" s="27" t="inlineStr"/>
      <c r="G152" s="27">
        <f>IF(D152="","",MAX(0,IF(E152&lt;&gt;"",E152-D152,IF(F152="Completed",0,TODAY()-D152))))</f>
        <v/>
      </c>
      <c r="H152" s="27" t="inlineStr"/>
      <c r="I152" s="27" t="inlineStr"/>
    </row>
    <row r="153">
      <c r="A153" s="27" t="inlineStr"/>
      <c r="B153" s="27" t="inlineStr"/>
      <c r="C153" s="27" t="inlineStr"/>
      <c r="D153" s="36" t="inlineStr"/>
      <c r="E153" s="36" t="inlineStr"/>
      <c r="F153" s="27" t="inlineStr"/>
      <c r="G153" s="27">
        <f>IF(D153="","",MAX(0,IF(E153&lt;&gt;"",E153-D153,IF(F153="Completed",0,TODAY()-D153))))</f>
        <v/>
      </c>
      <c r="H153" s="27" t="inlineStr"/>
      <c r="I153" s="27" t="inlineStr"/>
    </row>
  </sheetData>
  <autoFilter ref="A3:I153"/>
  <mergeCells count="1">
    <mergeCell ref="A1:H1"/>
  </mergeCells>
  <conditionalFormatting sqref="G4:G153">
    <cfRule type="cellIs" priority="1" operator="greaterThan" dxfId="0">
      <formula>0</formula>
    </cfRule>
  </conditionalFormatting>
  <conditionalFormatting sqref="A4:I153">
    <cfRule type="expression" priority="2" dxfId="1">
      <formula>$F4="Completed"</formula>
    </cfRule>
    <cfRule type="expression" priority="3" dxfId="2">
      <formula>OR($F4="Delayed",$F4="Blocked",$F4="Open")</formula>
    </cfRule>
    <cfRule type="expression" priority="4" dxfId="3">
      <formula>OR($F4="At Risk",$F4="In Progress")</formula>
    </cfRule>
  </conditionalFormatting>
  <dataValidations count="6">
    <dataValidation sqref="B4:B15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F4:F153" showDropDown="0" showInputMessage="0" showErrorMessage="1" allowBlank="1" errorTitle="Invalid selection" error="Select a value from the dropdown list." promptTitle="Dropdown" prompt="Choose from the list." type="list">
      <formula1>='Lists'!$J$2:$J$6</formula1>
    </dataValidation>
    <dataValidation sqref="H4:H153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='Lists'!$J$2:$J$6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6" customWidth="1" min="9" max="9"/>
    <col width="26" customWidth="1" min="10" max="10"/>
    <col width="14" customWidth="1" min="11" max="11"/>
    <col width="34" customWidth="1" min="12" max="12"/>
  </cols>
  <sheetData>
    <row r="1">
      <c r="A1" s="25" t="inlineStr">
        <is>
          <t>Issue Tracker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Raised By</t>
        </is>
      </c>
      <c r="E2" s="48" t="inlineStr"/>
      <c r="F2" s="49" t="inlineStr">
        <is>
          <t>Assigned To</t>
        </is>
      </c>
      <c r="G2" s="48" t="inlineStr"/>
      <c r="H2" s="49" t="inlineStr">
        <is>
          <t>Severity</t>
        </is>
      </c>
      <c r="I2" s="48" t="inlineStr"/>
      <c r="J2" s="49" t="inlineStr">
        <is>
          <t>Status</t>
        </is>
      </c>
      <c r="K2" s="48" t="inlineStr"/>
    </row>
    <row r="3">
      <c r="A3" s="26" t="inlineStr">
        <is>
          <t>Issue ID</t>
        </is>
      </c>
      <c r="B3" s="47" t="inlineStr">
        <is>
          <t>Project ID</t>
        </is>
      </c>
      <c r="C3" s="26" t="inlineStr">
        <is>
          <t>Issue Description</t>
        </is>
      </c>
      <c r="D3" s="47" t="inlineStr">
        <is>
          <t>Raised By</t>
        </is>
      </c>
      <c r="E3" s="26" t="inlineStr">
        <is>
          <t>Raised Date</t>
        </is>
      </c>
      <c r="F3" s="47" t="inlineStr">
        <is>
          <t>Assigned To</t>
        </is>
      </c>
      <c r="G3" s="47" t="inlineStr">
        <is>
          <t>Severity</t>
        </is>
      </c>
      <c r="H3" s="47" t="inlineStr">
        <is>
          <t>Status</t>
        </is>
      </c>
      <c r="I3" s="26" t="inlineStr">
        <is>
          <t>Target Resolution Date</t>
        </is>
      </c>
      <c r="J3" s="26" t="inlineStr">
        <is>
          <t>Actual Resolution Date</t>
        </is>
      </c>
      <c r="K3" s="26" t="inlineStr">
        <is>
          <t>Delay Days</t>
        </is>
      </c>
      <c r="L3" s="26" t="inlineStr">
        <is>
          <t>Remarks</t>
        </is>
      </c>
    </row>
    <row r="4">
      <c r="A4" s="27" t="inlineStr">
        <is>
          <t>ISS-001</t>
        </is>
      </c>
      <c r="B4" s="27" t="inlineStr">
        <is>
          <t>PRJ-001</t>
        </is>
      </c>
      <c r="C4" s="27" t="inlineStr">
        <is>
          <t>Payment confirmation timeout</t>
        </is>
      </c>
      <c r="D4" s="27" t="inlineStr">
        <is>
          <t>QA Team</t>
        </is>
      </c>
      <c r="E4" s="36" t="n">
        <v>46171</v>
      </c>
      <c r="F4" s="27" t="inlineStr">
        <is>
          <t>Arjun Patel</t>
        </is>
      </c>
      <c r="G4" s="27" t="inlineStr">
        <is>
          <t>High</t>
        </is>
      </c>
      <c r="H4" s="27" t="inlineStr">
        <is>
          <t>In Progress</t>
        </is>
      </c>
      <c r="I4" s="36" t="n">
        <v>46185</v>
      </c>
      <c r="J4" s="36" t="inlineStr"/>
      <c r="K4" s="27">
        <f>IF(I4="","",MAX(0,IF(J4&lt;&gt;"",J4-I4,IF(OR(H4="Resolved",H4="Closed"),0,TODAY()-I4))))</f>
        <v/>
      </c>
      <c r="L4" s="27" t="inlineStr">
        <is>
          <t>Fix in review</t>
        </is>
      </c>
    </row>
    <row r="5">
      <c r="A5" s="27" t="inlineStr">
        <is>
          <t>ISS-002</t>
        </is>
      </c>
      <c r="B5" s="27" t="inlineStr">
        <is>
          <t>PRJ-002</t>
        </is>
      </c>
      <c r="C5" s="27" t="inlineStr">
        <is>
          <t>CBS sandbox unavailable</t>
        </is>
      </c>
      <c r="D5" s="27" t="inlineStr">
        <is>
          <t>Integration Lead</t>
        </is>
      </c>
      <c r="E5" s="36" t="n">
        <v>46162</v>
      </c>
      <c r="F5" s="27" t="inlineStr">
        <is>
          <t>Nikhil Verma</t>
        </is>
      </c>
      <c r="G5" s="27" t="inlineStr">
        <is>
          <t>Critical</t>
        </is>
      </c>
      <c r="H5" s="27" t="inlineStr">
        <is>
          <t>Open</t>
        </is>
      </c>
      <c r="I5" s="36" t="n">
        <v>46178</v>
      </c>
      <c r="J5" s="36" t="inlineStr"/>
      <c r="K5" s="27">
        <f>IF(I5="","",MAX(0,IF(J5&lt;&gt;"",J5-I5,IF(OR(H5="Resolved",H5="Closed"),0,TODAY()-I5))))</f>
        <v/>
      </c>
      <c r="L5" s="27" t="inlineStr">
        <is>
          <t>Escalated</t>
        </is>
      </c>
    </row>
    <row r="6">
      <c r="A6" s="27" t="inlineStr"/>
      <c r="B6" s="27" t="inlineStr"/>
      <c r="C6" s="27" t="inlineStr"/>
      <c r="D6" s="27" t="inlineStr"/>
      <c r="E6" s="36" t="inlineStr"/>
      <c r="F6" s="27" t="inlineStr"/>
      <c r="G6" s="27" t="inlineStr"/>
      <c r="H6" s="27" t="inlineStr"/>
      <c r="I6" s="36" t="inlineStr"/>
      <c r="J6" s="36" t="inlineStr"/>
      <c r="K6" s="27">
        <f>IF(I6="","",MAX(0,IF(J6&lt;&gt;"",J6-I6,IF(OR(H6="Resolved",H6="Closed"),0,TODAY()-I6))))</f>
        <v/>
      </c>
      <c r="L6" s="27" t="inlineStr"/>
    </row>
    <row r="7">
      <c r="A7" s="27" t="inlineStr"/>
      <c r="B7" s="27" t="inlineStr"/>
      <c r="C7" s="27" t="inlineStr"/>
      <c r="D7" s="27" t="inlineStr"/>
      <c r="E7" s="36" t="inlineStr"/>
      <c r="F7" s="27" t="inlineStr"/>
      <c r="G7" s="27" t="inlineStr"/>
      <c r="H7" s="27" t="inlineStr"/>
      <c r="I7" s="36" t="inlineStr"/>
      <c r="J7" s="36" t="inlineStr"/>
      <c r="K7" s="27">
        <f>IF(I7="","",MAX(0,IF(J7&lt;&gt;"",J7-I7,IF(OR(H7="Resolved",H7="Closed"),0,TODAY()-I7))))</f>
        <v/>
      </c>
      <c r="L7" s="27" t="inlineStr"/>
    </row>
    <row r="8">
      <c r="A8" s="27" t="inlineStr"/>
      <c r="B8" s="27" t="inlineStr"/>
      <c r="C8" s="27" t="inlineStr"/>
      <c r="D8" s="27" t="inlineStr"/>
      <c r="E8" s="36" t="inlineStr"/>
      <c r="F8" s="27" t="inlineStr"/>
      <c r="G8" s="27" t="inlineStr"/>
      <c r="H8" s="27" t="inlineStr"/>
      <c r="I8" s="36" t="inlineStr"/>
      <c r="J8" s="36" t="inlineStr"/>
      <c r="K8" s="27">
        <f>IF(I8="","",MAX(0,IF(J8&lt;&gt;"",J8-I8,IF(OR(H8="Resolved",H8="Closed"),0,TODAY()-I8))))</f>
        <v/>
      </c>
      <c r="L8" s="27" t="inlineStr"/>
    </row>
    <row r="9">
      <c r="A9" s="27" t="inlineStr"/>
      <c r="B9" s="27" t="inlineStr"/>
      <c r="C9" s="27" t="inlineStr"/>
      <c r="D9" s="27" t="inlineStr"/>
      <c r="E9" s="36" t="inlineStr"/>
      <c r="F9" s="27" t="inlineStr"/>
      <c r="G9" s="27" t="inlineStr"/>
      <c r="H9" s="27" t="inlineStr"/>
      <c r="I9" s="36" t="inlineStr"/>
      <c r="J9" s="36" t="inlineStr"/>
      <c r="K9" s="27">
        <f>IF(I9="","",MAX(0,IF(J9&lt;&gt;"",J9-I9,IF(OR(H9="Resolved",H9="Closed"),0,TODAY()-I9))))</f>
        <v/>
      </c>
      <c r="L9" s="27" t="inlineStr"/>
    </row>
    <row r="10">
      <c r="A10" s="27" t="inlineStr"/>
      <c r="B10" s="27" t="inlineStr"/>
      <c r="C10" s="27" t="inlineStr"/>
      <c r="D10" s="27" t="inlineStr"/>
      <c r="E10" s="36" t="inlineStr"/>
      <c r="F10" s="27" t="inlineStr"/>
      <c r="G10" s="27" t="inlineStr"/>
      <c r="H10" s="27" t="inlineStr"/>
      <c r="I10" s="36" t="inlineStr"/>
      <c r="J10" s="36" t="inlineStr"/>
      <c r="K10" s="27">
        <f>IF(I10="","",MAX(0,IF(J10&lt;&gt;"",J10-I10,IF(OR(H10="Resolved",H10="Closed"),0,TODAY()-I10))))</f>
        <v/>
      </c>
      <c r="L10" s="27" t="inlineStr"/>
    </row>
    <row r="11">
      <c r="A11" s="27" t="inlineStr"/>
      <c r="B11" s="27" t="inlineStr"/>
      <c r="C11" s="27" t="inlineStr"/>
      <c r="D11" s="27" t="inlineStr"/>
      <c r="E11" s="36" t="inlineStr"/>
      <c r="F11" s="27" t="inlineStr"/>
      <c r="G11" s="27" t="inlineStr"/>
      <c r="H11" s="27" t="inlineStr"/>
      <c r="I11" s="36" t="inlineStr"/>
      <c r="J11" s="36" t="inlineStr"/>
      <c r="K11" s="27">
        <f>IF(I11="","",MAX(0,IF(J11&lt;&gt;"",J11-I11,IF(OR(H11="Resolved",H11="Closed"),0,TODAY()-I11))))</f>
        <v/>
      </c>
      <c r="L11" s="27" t="inlineStr"/>
    </row>
    <row r="12">
      <c r="A12" s="27" t="inlineStr"/>
      <c r="B12" s="27" t="inlineStr"/>
      <c r="C12" s="27" t="inlineStr"/>
      <c r="D12" s="27" t="inlineStr"/>
      <c r="E12" s="36" t="inlineStr"/>
      <c r="F12" s="27" t="inlineStr"/>
      <c r="G12" s="27" t="inlineStr"/>
      <c r="H12" s="27" t="inlineStr"/>
      <c r="I12" s="36" t="inlineStr"/>
      <c r="J12" s="36" t="inlineStr"/>
      <c r="K12" s="27">
        <f>IF(I12="","",MAX(0,IF(J12&lt;&gt;"",J12-I12,IF(OR(H12="Resolved",H12="Closed"),0,TODAY()-I12))))</f>
        <v/>
      </c>
      <c r="L12" s="27" t="inlineStr"/>
    </row>
    <row r="13">
      <c r="A13" s="27" t="inlineStr"/>
      <c r="B13" s="27" t="inlineStr"/>
      <c r="C13" s="27" t="inlineStr"/>
      <c r="D13" s="27" t="inlineStr"/>
      <c r="E13" s="36" t="inlineStr"/>
      <c r="F13" s="27" t="inlineStr"/>
      <c r="G13" s="27" t="inlineStr"/>
      <c r="H13" s="27" t="inlineStr"/>
      <c r="I13" s="36" t="inlineStr"/>
      <c r="J13" s="36" t="inlineStr"/>
      <c r="K13" s="27">
        <f>IF(I13="","",MAX(0,IF(J13&lt;&gt;"",J13-I13,IF(OR(H13="Resolved",H13="Closed"),0,TODAY()-I13))))</f>
        <v/>
      </c>
      <c r="L13" s="27" t="inlineStr"/>
    </row>
    <row r="14">
      <c r="A14" s="27" t="inlineStr"/>
      <c r="B14" s="27" t="inlineStr"/>
      <c r="C14" s="27" t="inlineStr"/>
      <c r="D14" s="27" t="inlineStr"/>
      <c r="E14" s="36" t="inlineStr"/>
      <c r="F14" s="27" t="inlineStr"/>
      <c r="G14" s="27" t="inlineStr"/>
      <c r="H14" s="27" t="inlineStr"/>
      <c r="I14" s="36" t="inlineStr"/>
      <c r="J14" s="36" t="inlineStr"/>
      <c r="K14" s="27">
        <f>IF(I14="","",MAX(0,IF(J14&lt;&gt;"",J14-I14,IF(OR(H14="Resolved",H14="Closed"),0,TODAY()-I14))))</f>
        <v/>
      </c>
      <c r="L14" s="27" t="inlineStr"/>
    </row>
    <row r="15">
      <c r="A15" s="27" t="inlineStr"/>
      <c r="B15" s="27" t="inlineStr"/>
      <c r="C15" s="27" t="inlineStr"/>
      <c r="D15" s="27" t="inlineStr"/>
      <c r="E15" s="36" t="inlineStr"/>
      <c r="F15" s="27" t="inlineStr"/>
      <c r="G15" s="27" t="inlineStr"/>
      <c r="H15" s="27" t="inlineStr"/>
      <c r="I15" s="36" t="inlineStr"/>
      <c r="J15" s="36" t="inlineStr"/>
      <c r="K15" s="27">
        <f>IF(I15="","",MAX(0,IF(J15&lt;&gt;"",J15-I15,IF(OR(H15="Resolved",H15="Closed"),0,TODAY()-I15))))</f>
        <v/>
      </c>
      <c r="L15" s="27" t="inlineStr"/>
    </row>
    <row r="16">
      <c r="A16" s="27" t="inlineStr"/>
      <c r="B16" s="27" t="inlineStr"/>
      <c r="C16" s="27" t="inlineStr"/>
      <c r="D16" s="27" t="inlineStr"/>
      <c r="E16" s="36" t="inlineStr"/>
      <c r="F16" s="27" t="inlineStr"/>
      <c r="G16" s="27" t="inlineStr"/>
      <c r="H16" s="27" t="inlineStr"/>
      <c r="I16" s="36" t="inlineStr"/>
      <c r="J16" s="36" t="inlineStr"/>
      <c r="K16" s="27">
        <f>IF(I16="","",MAX(0,IF(J16&lt;&gt;"",J16-I16,IF(OR(H16="Resolved",H16="Closed"),0,TODAY()-I16))))</f>
        <v/>
      </c>
      <c r="L16" s="27" t="inlineStr"/>
    </row>
    <row r="17">
      <c r="A17" s="27" t="inlineStr"/>
      <c r="B17" s="27" t="inlineStr"/>
      <c r="C17" s="27" t="inlineStr"/>
      <c r="D17" s="27" t="inlineStr"/>
      <c r="E17" s="36" t="inlineStr"/>
      <c r="F17" s="27" t="inlineStr"/>
      <c r="G17" s="27" t="inlineStr"/>
      <c r="H17" s="27" t="inlineStr"/>
      <c r="I17" s="36" t="inlineStr"/>
      <c r="J17" s="36" t="inlineStr"/>
      <c r="K17" s="27">
        <f>IF(I17="","",MAX(0,IF(J17&lt;&gt;"",J17-I17,IF(OR(H17="Resolved",H17="Closed"),0,TODAY()-I17))))</f>
        <v/>
      </c>
      <c r="L17" s="27" t="inlineStr"/>
    </row>
    <row r="18">
      <c r="A18" s="27" t="inlineStr"/>
      <c r="B18" s="27" t="inlineStr"/>
      <c r="C18" s="27" t="inlineStr"/>
      <c r="D18" s="27" t="inlineStr"/>
      <c r="E18" s="36" t="inlineStr"/>
      <c r="F18" s="27" t="inlineStr"/>
      <c r="G18" s="27" t="inlineStr"/>
      <c r="H18" s="27" t="inlineStr"/>
      <c r="I18" s="36" t="inlineStr"/>
      <c r="J18" s="36" t="inlineStr"/>
      <c r="K18" s="27">
        <f>IF(I18="","",MAX(0,IF(J18&lt;&gt;"",J18-I18,IF(OR(H18="Resolved",H18="Closed"),0,TODAY()-I18))))</f>
        <v/>
      </c>
      <c r="L18" s="27" t="inlineStr"/>
    </row>
    <row r="19">
      <c r="A19" s="27" t="inlineStr"/>
      <c r="B19" s="27" t="inlineStr"/>
      <c r="C19" s="27" t="inlineStr"/>
      <c r="D19" s="27" t="inlineStr"/>
      <c r="E19" s="36" t="inlineStr"/>
      <c r="F19" s="27" t="inlineStr"/>
      <c r="G19" s="27" t="inlineStr"/>
      <c r="H19" s="27" t="inlineStr"/>
      <c r="I19" s="36" t="inlineStr"/>
      <c r="J19" s="36" t="inlineStr"/>
      <c r="K19" s="27">
        <f>IF(I19="","",MAX(0,IF(J19&lt;&gt;"",J19-I19,IF(OR(H19="Resolved",H19="Closed"),0,TODAY()-I19))))</f>
        <v/>
      </c>
      <c r="L19" s="27" t="inlineStr"/>
    </row>
    <row r="20">
      <c r="A20" s="27" t="inlineStr"/>
      <c r="B20" s="27" t="inlineStr"/>
      <c r="C20" s="27" t="inlineStr"/>
      <c r="D20" s="27" t="inlineStr"/>
      <c r="E20" s="36" t="inlineStr"/>
      <c r="F20" s="27" t="inlineStr"/>
      <c r="G20" s="27" t="inlineStr"/>
      <c r="H20" s="27" t="inlineStr"/>
      <c r="I20" s="36" t="inlineStr"/>
      <c r="J20" s="36" t="inlineStr"/>
      <c r="K20" s="27">
        <f>IF(I20="","",MAX(0,IF(J20&lt;&gt;"",J20-I20,IF(OR(H20="Resolved",H20="Closed"),0,TODAY()-I20))))</f>
        <v/>
      </c>
      <c r="L20" s="27" t="inlineStr"/>
    </row>
    <row r="21">
      <c r="A21" s="27" t="inlineStr"/>
      <c r="B21" s="27" t="inlineStr"/>
      <c r="C21" s="27" t="inlineStr"/>
      <c r="D21" s="27" t="inlineStr"/>
      <c r="E21" s="36" t="inlineStr"/>
      <c r="F21" s="27" t="inlineStr"/>
      <c r="G21" s="27" t="inlineStr"/>
      <c r="H21" s="27" t="inlineStr"/>
      <c r="I21" s="36" t="inlineStr"/>
      <c r="J21" s="36" t="inlineStr"/>
      <c r="K21" s="27">
        <f>IF(I21="","",MAX(0,IF(J21&lt;&gt;"",J21-I21,IF(OR(H21="Resolved",H21="Closed"),0,TODAY()-I21))))</f>
        <v/>
      </c>
      <c r="L21" s="27" t="inlineStr"/>
    </row>
    <row r="22">
      <c r="A22" s="27" t="inlineStr"/>
      <c r="B22" s="27" t="inlineStr"/>
      <c r="C22" s="27" t="inlineStr"/>
      <c r="D22" s="27" t="inlineStr"/>
      <c r="E22" s="36" t="inlineStr"/>
      <c r="F22" s="27" t="inlineStr"/>
      <c r="G22" s="27" t="inlineStr"/>
      <c r="H22" s="27" t="inlineStr"/>
      <c r="I22" s="36" t="inlineStr"/>
      <c r="J22" s="36" t="inlineStr"/>
      <c r="K22" s="27">
        <f>IF(I22="","",MAX(0,IF(J22&lt;&gt;"",J22-I22,IF(OR(H22="Resolved",H22="Closed"),0,TODAY()-I22))))</f>
        <v/>
      </c>
      <c r="L22" s="27" t="inlineStr"/>
    </row>
    <row r="23">
      <c r="A23" s="27" t="inlineStr"/>
      <c r="B23" s="27" t="inlineStr"/>
      <c r="C23" s="27" t="inlineStr"/>
      <c r="D23" s="27" t="inlineStr"/>
      <c r="E23" s="36" t="inlineStr"/>
      <c r="F23" s="27" t="inlineStr"/>
      <c r="G23" s="27" t="inlineStr"/>
      <c r="H23" s="27" t="inlineStr"/>
      <c r="I23" s="36" t="inlineStr"/>
      <c r="J23" s="36" t="inlineStr"/>
      <c r="K23" s="27">
        <f>IF(I23="","",MAX(0,IF(J23&lt;&gt;"",J23-I23,IF(OR(H23="Resolved",H23="Closed"),0,TODAY()-I23))))</f>
        <v/>
      </c>
      <c r="L23" s="27" t="inlineStr"/>
    </row>
    <row r="24">
      <c r="A24" s="27" t="inlineStr"/>
      <c r="B24" s="27" t="inlineStr"/>
      <c r="C24" s="27" t="inlineStr"/>
      <c r="D24" s="27" t="inlineStr"/>
      <c r="E24" s="36" t="inlineStr"/>
      <c r="F24" s="27" t="inlineStr"/>
      <c r="G24" s="27" t="inlineStr"/>
      <c r="H24" s="27" t="inlineStr"/>
      <c r="I24" s="36" t="inlineStr"/>
      <c r="J24" s="36" t="inlineStr"/>
      <c r="K24" s="27">
        <f>IF(I24="","",MAX(0,IF(J24&lt;&gt;"",J24-I24,IF(OR(H24="Resolved",H24="Closed"),0,TODAY()-I24))))</f>
        <v/>
      </c>
      <c r="L24" s="27" t="inlineStr"/>
    </row>
    <row r="25">
      <c r="A25" s="27" t="inlineStr"/>
      <c r="B25" s="27" t="inlineStr"/>
      <c r="C25" s="27" t="inlineStr"/>
      <c r="D25" s="27" t="inlineStr"/>
      <c r="E25" s="36" t="inlineStr"/>
      <c r="F25" s="27" t="inlineStr"/>
      <c r="G25" s="27" t="inlineStr"/>
      <c r="H25" s="27" t="inlineStr"/>
      <c r="I25" s="36" t="inlineStr"/>
      <c r="J25" s="36" t="inlineStr"/>
      <c r="K25" s="27">
        <f>IF(I25="","",MAX(0,IF(J25&lt;&gt;"",J25-I25,IF(OR(H25="Resolved",H25="Closed"),0,TODAY()-I25))))</f>
        <v/>
      </c>
      <c r="L25" s="27" t="inlineStr"/>
    </row>
    <row r="26">
      <c r="A26" s="27" t="inlineStr"/>
      <c r="B26" s="27" t="inlineStr"/>
      <c r="C26" s="27" t="inlineStr"/>
      <c r="D26" s="27" t="inlineStr"/>
      <c r="E26" s="36" t="inlineStr"/>
      <c r="F26" s="27" t="inlineStr"/>
      <c r="G26" s="27" t="inlineStr"/>
      <c r="H26" s="27" t="inlineStr"/>
      <c r="I26" s="36" t="inlineStr"/>
      <c r="J26" s="36" t="inlineStr"/>
      <c r="K26" s="27">
        <f>IF(I26="","",MAX(0,IF(J26&lt;&gt;"",J26-I26,IF(OR(H26="Resolved",H26="Closed"),0,TODAY()-I26))))</f>
        <v/>
      </c>
      <c r="L26" s="27" t="inlineStr"/>
    </row>
    <row r="27">
      <c r="A27" s="27" t="inlineStr"/>
      <c r="B27" s="27" t="inlineStr"/>
      <c r="C27" s="27" t="inlineStr"/>
      <c r="D27" s="27" t="inlineStr"/>
      <c r="E27" s="36" t="inlineStr"/>
      <c r="F27" s="27" t="inlineStr"/>
      <c r="G27" s="27" t="inlineStr"/>
      <c r="H27" s="27" t="inlineStr"/>
      <c r="I27" s="36" t="inlineStr"/>
      <c r="J27" s="36" t="inlineStr"/>
      <c r="K27" s="27">
        <f>IF(I27="","",MAX(0,IF(J27&lt;&gt;"",J27-I27,IF(OR(H27="Resolved",H27="Closed"),0,TODAY()-I27))))</f>
        <v/>
      </c>
      <c r="L27" s="27" t="inlineStr"/>
    </row>
    <row r="28">
      <c r="A28" s="27" t="inlineStr"/>
      <c r="B28" s="27" t="inlineStr"/>
      <c r="C28" s="27" t="inlineStr"/>
      <c r="D28" s="27" t="inlineStr"/>
      <c r="E28" s="36" t="inlineStr"/>
      <c r="F28" s="27" t="inlineStr"/>
      <c r="G28" s="27" t="inlineStr"/>
      <c r="H28" s="27" t="inlineStr"/>
      <c r="I28" s="36" t="inlineStr"/>
      <c r="J28" s="36" t="inlineStr"/>
      <c r="K28" s="27">
        <f>IF(I28="","",MAX(0,IF(J28&lt;&gt;"",J28-I28,IF(OR(H28="Resolved",H28="Closed"),0,TODAY()-I28))))</f>
        <v/>
      </c>
      <c r="L28" s="27" t="inlineStr"/>
    </row>
    <row r="29">
      <c r="A29" s="27" t="inlineStr"/>
      <c r="B29" s="27" t="inlineStr"/>
      <c r="C29" s="27" t="inlineStr"/>
      <c r="D29" s="27" t="inlineStr"/>
      <c r="E29" s="36" t="inlineStr"/>
      <c r="F29" s="27" t="inlineStr"/>
      <c r="G29" s="27" t="inlineStr"/>
      <c r="H29" s="27" t="inlineStr"/>
      <c r="I29" s="36" t="inlineStr"/>
      <c r="J29" s="36" t="inlineStr"/>
      <c r="K29" s="27">
        <f>IF(I29="","",MAX(0,IF(J29&lt;&gt;"",J29-I29,IF(OR(H29="Resolved",H29="Closed"),0,TODAY()-I29))))</f>
        <v/>
      </c>
      <c r="L29" s="27" t="inlineStr"/>
    </row>
    <row r="30">
      <c r="A30" s="27" t="inlineStr"/>
      <c r="B30" s="27" t="inlineStr"/>
      <c r="C30" s="27" t="inlineStr"/>
      <c r="D30" s="27" t="inlineStr"/>
      <c r="E30" s="36" t="inlineStr"/>
      <c r="F30" s="27" t="inlineStr"/>
      <c r="G30" s="27" t="inlineStr"/>
      <c r="H30" s="27" t="inlineStr"/>
      <c r="I30" s="36" t="inlineStr"/>
      <c r="J30" s="36" t="inlineStr"/>
      <c r="K30" s="27">
        <f>IF(I30="","",MAX(0,IF(J30&lt;&gt;"",J30-I30,IF(OR(H30="Resolved",H30="Closed"),0,TODAY()-I30))))</f>
        <v/>
      </c>
      <c r="L30" s="27" t="inlineStr"/>
    </row>
    <row r="31">
      <c r="A31" s="27" t="inlineStr"/>
      <c r="B31" s="27" t="inlineStr"/>
      <c r="C31" s="27" t="inlineStr"/>
      <c r="D31" s="27" t="inlineStr"/>
      <c r="E31" s="36" t="inlineStr"/>
      <c r="F31" s="27" t="inlineStr"/>
      <c r="G31" s="27" t="inlineStr"/>
      <c r="H31" s="27" t="inlineStr"/>
      <c r="I31" s="36" t="inlineStr"/>
      <c r="J31" s="36" t="inlineStr"/>
      <c r="K31" s="27">
        <f>IF(I31="","",MAX(0,IF(J31&lt;&gt;"",J31-I31,IF(OR(H31="Resolved",H31="Closed"),0,TODAY()-I31))))</f>
        <v/>
      </c>
      <c r="L31" s="27" t="inlineStr"/>
    </row>
    <row r="32">
      <c r="A32" s="27" t="inlineStr"/>
      <c r="B32" s="27" t="inlineStr"/>
      <c r="C32" s="27" t="inlineStr"/>
      <c r="D32" s="27" t="inlineStr"/>
      <c r="E32" s="36" t="inlineStr"/>
      <c r="F32" s="27" t="inlineStr"/>
      <c r="G32" s="27" t="inlineStr"/>
      <c r="H32" s="27" t="inlineStr"/>
      <c r="I32" s="36" t="inlineStr"/>
      <c r="J32" s="36" t="inlineStr"/>
      <c r="K32" s="27">
        <f>IF(I32="","",MAX(0,IF(J32&lt;&gt;"",J32-I32,IF(OR(H32="Resolved",H32="Closed"),0,TODAY()-I32))))</f>
        <v/>
      </c>
      <c r="L32" s="27" t="inlineStr"/>
    </row>
    <row r="33">
      <c r="A33" s="27" t="inlineStr"/>
      <c r="B33" s="27" t="inlineStr"/>
      <c r="C33" s="27" t="inlineStr"/>
      <c r="D33" s="27" t="inlineStr"/>
      <c r="E33" s="36" t="inlineStr"/>
      <c r="F33" s="27" t="inlineStr"/>
      <c r="G33" s="27" t="inlineStr"/>
      <c r="H33" s="27" t="inlineStr"/>
      <c r="I33" s="36" t="inlineStr"/>
      <c r="J33" s="36" t="inlineStr"/>
      <c r="K33" s="27">
        <f>IF(I33="","",MAX(0,IF(J33&lt;&gt;"",J33-I33,IF(OR(H33="Resolved",H33="Closed"),0,TODAY()-I33))))</f>
        <v/>
      </c>
      <c r="L33" s="27" t="inlineStr"/>
    </row>
    <row r="34">
      <c r="A34" s="27" t="inlineStr"/>
      <c r="B34" s="27" t="inlineStr"/>
      <c r="C34" s="27" t="inlineStr"/>
      <c r="D34" s="27" t="inlineStr"/>
      <c r="E34" s="36" t="inlineStr"/>
      <c r="F34" s="27" t="inlineStr"/>
      <c r="G34" s="27" t="inlineStr"/>
      <c r="H34" s="27" t="inlineStr"/>
      <c r="I34" s="36" t="inlineStr"/>
      <c r="J34" s="36" t="inlineStr"/>
      <c r="K34" s="27">
        <f>IF(I34="","",MAX(0,IF(J34&lt;&gt;"",J34-I34,IF(OR(H34="Resolved",H34="Closed"),0,TODAY()-I34))))</f>
        <v/>
      </c>
      <c r="L34" s="27" t="inlineStr"/>
    </row>
    <row r="35">
      <c r="A35" s="27" t="inlineStr"/>
      <c r="B35" s="27" t="inlineStr"/>
      <c r="C35" s="27" t="inlineStr"/>
      <c r="D35" s="27" t="inlineStr"/>
      <c r="E35" s="36" t="inlineStr"/>
      <c r="F35" s="27" t="inlineStr"/>
      <c r="G35" s="27" t="inlineStr"/>
      <c r="H35" s="27" t="inlineStr"/>
      <c r="I35" s="36" t="inlineStr"/>
      <c r="J35" s="36" t="inlineStr"/>
      <c r="K35" s="27">
        <f>IF(I35="","",MAX(0,IF(J35&lt;&gt;"",J35-I35,IF(OR(H35="Resolved",H35="Closed"),0,TODAY()-I35))))</f>
        <v/>
      </c>
      <c r="L35" s="27" t="inlineStr"/>
    </row>
    <row r="36">
      <c r="A36" s="27" t="inlineStr"/>
      <c r="B36" s="27" t="inlineStr"/>
      <c r="C36" s="27" t="inlineStr"/>
      <c r="D36" s="27" t="inlineStr"/>
      <c r="E36" s="36" t="inlineStr"/>
      <c r="F36" s="27" t="inlineStr"/>
      <c r="G36" s="27" t="inlineStr"/>
      <c r="H36" s="27" t="inlineStr"/>
      <c r="I36" s="36" t="inlineStr"/>
      <c r="J36" s="36" t="inlineStr"/>
      <c r="K36" s="27">
        <f>IF(I36="","",MAX(0,IF(J36&lt;&gt;"",J36-I36,IF(OR(H36="Resolved",H36="Closed"),0,TODAY()-I36))))</f>
        <v/>
      </c>
      <c r="L36" s="27" t="inlineStr"/>
    </row>
    <row r="37">
      <c r="A37" s="27" t="inlineStr"/>
      <c r="B37" s="27" t="inlineStr"/>
      <c r="C37" s="27" t="inlineStr"/>
      <c r="D37" s="27" t="inlineStr"/>
      <c r="E37" s="36" t="inlineStr"/>
      <c r="F37" s="27" t="inlineStr"/>
      <c r="G37" s="27" t="inlineStr"/>
      <c r="H37" s="27" t="inlineStr"/>
      <c r="I37" s="36" t="inlineStr"/>
      <c r="J37" s="36" t="inlineStr"/>
      <c r="K37" s="27">
        <f>IF(I37="","",MAX(0,IF(J37&lt;&gt;"",J37-I37,IF(OR(H37="Resolved",H37="Closed"),0,TODAY()-I37))))</f>
        <v/>
      </c>
      <c r="L37" s="27" t="inlineStr"/>
    </row>
    <row r="38">
      <c r="A38" s="27" t="inlineStr"/>
      <c r="B38" s="27" t="inlineStr"/>
      <c r="C38" s="27" t="inlineStr"/>
      <c r="D38" s="27" t="inlineStr"/>
      <c r="E38" s="36" t="inlineStr"/>
      <c r="F38" s="27" t="inlineStr"/>
      <c r="G38" s="27" t="inlineStr"/>
      <c r="H38" s="27" t="inlineStr"/>
      <c r="I38" s="36" t="inlineStr"/>
      <c r="J38" s="36" t="inlineStr"/>
      <c r="K38" s="27">
        <f>IF(I38="","",MAX(0,IF(J38&lt;&gt;"",J38-I38,IF(OR(H38="Resolved",H38="Closed"),0,TODAY()-I38))))</f>
        <v/>
      </c>
      <c r="L38" s="27" t="inlineStr"/>
    </row>
    <row r="39">
      <c r="A39" s="27" t="inlineStr"/>
      <c r="B39" s="27" t="inlineStr"/>
      <c r="C39" s="27" t="inlineStr"/>
      <c r="D39" s="27" t="inlineStr"/>
      <c r="E39" s="36" t="inlineStr"/>
      <c r="F39" s="27" t="inlineStr"/>
      <c r="G39" s="27" t="inlineStr"/>
      <c r="H39" s="27" t="inlineStr"/>
      <c r="I39" s="36" t="inlineStr"/>
      <c r="J39" s="36" t="inlineStr"/>
      <c r="K39" s="27">
        <f>IF(I39="","",MAX(0,IF(J39&lt;&gt;"",J39-I39,IF(OR(H39="Resolved",H39="Closed"),0,TODAY()-I39))))</f>
        <v/>
      </c>
      <c r="L39" s="27" t="inlineStr"/>
    </row>
    <row r="40">
      <c r="A40" s="27" t="inlineStr"/>
      <c r="B40" s="27" t="inlineStr"/>
      <c r="C40" s="27" t="inlineStr"/>
      <c r="D40" s="27" t="inlineStr"/>
      <c r="E40" s="36" t="inlineStr"/>
      <c r="F40" s="27" t="inlineStr"/>
      <c r="G40" s="27" t="inlineStr"/>
      <c r="H40" s="27" t="inlineStr"/>
      <c r="I40" s="36" t="inlineStr"/>
      <c r="J40" s="36" t="inlineStr"/>
      <c r="K40" s="27">
        <f>IF(I40="","",MAX(0,IF(J40&lt;&gt;"",J40-I40,IF(OR(H40="Resolved",H40="Closed"),0,TODAY()-I40))))</f>
        <v/>
      </c>
      <c r="L40" s="27" t="inlineStr"/>
    </row>
    <row r="41">
      <c r="A41" s="27" t="inlineStr"/>
      <c r="B41" s="27" t="inlineStr"/>
      <c r="C41" s="27" t="inlineStr"/>
      <c r="D41" s="27" t="inlineStr"/>
      <c r="E41" s="36" t="inlineStr"/>
      <c r="F41" s="27" t="inlineStr"/>
      <c r="G41" s="27" t="inlineStr"/>
      <c r="H41" s="27" t="inlineStr"/>
      <c r="I41" s="36" t="inlineStr"/>
      <c r="J41" s="36" t="inlineStr"/>
      <c r="K41" s="27">
        <f>IF(I41="","",MAX(0,IF(J41&lt;&gt;"",J41-I41,IF(OR(H41="Resolved",H41="Closed"),0,TODAY()-I41))))</f>
        <v/>
      </c>
      <c r="L41" s="27" t="inlineStr"/>
    </row>
    <row r="42">
      <c r="A42" s="27" t="inlineStr"/>
      <c r="B42" s="27" t="inlineStr"/>
      <c r="C42" s="27" t="inlineStr"/>
      <c r="D42" s="27" t="inlineStr"/>
      <c r="E42" s="36" t="inlineStr"/>
      <c r="F42" s="27" t="inlineStr"/>
      <c r="G42" s="27" t="inlineStr"/>
      <c r="H42" s="27" t="inlineStr"/>
      <c r="I42" s="36" t="inlineStr"/>
      <c r="J42" s="36" t="inlineStr"/>
      <c r="K42" s="27">
        <f>IF(I42="","",MAX(0,IF(J42&lt;&gt;"",J42-I42,IF(OR(H42="Resolved",H42="Closed"),0,TODAY()-I42))))</f>
        <v/>
      </c>
      <c r="L42" s="27" t="inlineStr"/>
    </row>
    <row r="43">
      <c r="A43" s="27" t="inlineStr"/>
      <c r="B43" s="27" t="inlineStr"/>
      <c r="C43" s="27" t="inlineStr"/>
      <c r="D43" s="27" t="inlineStr"/>
      <c r="E43" s="36" t="inlineStr"/>
      <c r="F43" s="27" t="inlineStr"/>
      <c r="G43" s="27" t="inlineStr"/>
      <c r="H43" s="27" t="inlineStr"/>
      <c r="I43" s="36" t="inlineStr"/>
      <c r="J43" s="36" t="inlineStr"/>
      <c r="K43" s="27">
        <f>IF(I43="","",MAX(0,IF(J43&lt;&gt;"",J43-I43,IF(OR(H43="Resolved",H43="Closed"),0,TODAY()-I43))))</f>
        <v/>
      </c>
      <c r="L43" s="27" t="inlineStr"/>
    </row>
    <row r="44">
      <c r="A44" s="27" t="inlineStr"/>
      <c r="B44" s="27" t="inlineStr"/>
      <c r="C44" s="27" t="inlineStr"/>
      <c r="D44" s="27" t="inlineStr"/>
      <c r="E44" s="36" t="inlineStr"/>
      <c r="F44" s="27" t="inlineStr"/>
      <c r="G44" s="27" t="inlineStr"/>
      <c r="H44" s="27" t="inlineStr"/>
      <c r="I44" s="36" t="inlineStr"/>
      <c r="J44" s="36" t="inlineStr"/>
      <c r="K44" s="27">
        <f>IF(I44="","",MAX(0,IF(J44&lt;&gt;"",J44-I44,IF(OR(H44="Resolved",H44="Closed"),0,TODAY()-I44))))</f>
        <v/>
      </c>
      <c r="L44" s="27" t="inlineStr"/>
    </row>
    <row r="45">
      <c r="A45" s="27" t="inlineStr"/>
      <c r="B45" s="27" t="inlineStr"/>
      <c r="C45" s="27" t="inlineStr"/>
      <c r="D45" s="27" t="inlineStr"/>
      <c r="E45" s="36" t="inlineStr"/>
      <c r="F45" s="27" t="inlineStr"/>
      <c r="G45" s="27" t="inlineStr"/>
      <c r="H45" s="27" t="inlineStr"/>
      <c r="I45" s="36" t="inlineStr"/>
      <c r="J45" s="36" t="inlineStr"/>
      <c r="K45" s="27">
        <f>IF(I45="","",MAX(0,IF(J45&lt;&gt;"",J45-I45,IF(OR(H45="Resolved",H45="Closed"),0,TODAY()-I45))))</f>
        <v/>
      </c>
      <c r="L45" s="27" t="inlineStr"/>
    </row>
    <row r="46">
      <c r="A46" s="27" t="inlineStr"/>
      <c r="B46" s="27" t="inlineStr"/>
      <c r="C46" s="27" t="inlineStr"/>
      <c r="D46" s="27" t="inlineStr"/>
      <c r="E46" s="36" t="inlineStr"/>
      <c r="F46" s="27" t="inlineStr"/>
      <c r="G46" s="27" t="inlineStr"/>
      <c r="H46" s="27" t="inlineStr"/>
      <c r="I46" s="36" t="inlineStr"/>
      <c r="J46" s="36" t="inlineStr"/>
      <c r="K46" s="27">
        <f>IF(I46="","",MAX(0,IF(J46&lt;&gt;"",J46-I46,IF(OR(H46="Resolved",H46="Closed"),0,TODAY()-I46))))</f>
        <v/>
      </c>
      <c r="L46" s="27" t="inlineStr"/>
    </row>
    <row r="47">
      <c r="A47" s="27" t="inlineStr"/>
      <c r="B47" s="27" t="inlineStr"/>
      <c r="C47" s="27" t="inlineStr"/>
      <c r="D47" s="27" t="inlineStr"/>
      <c r="E47" s="36" t="inlineStr"/>
      <c r="F47" s="27" t="inlineStr"/>
      <c r="G47" s="27" t="inlineStr"/>
      <c r="H47" s="27" t="inlineStr"/>
      <c r="I47" s="36" t="inlineStr"/>
      <c r="J47" s="36" t="inlineStr"/>
      <c r="K47" s="27">
        <f>IF(I47="","",MAX(0,IF(J47&lt;&gt;"",J47-I47,IF(OR(H47="Resolved",H47="Closed"),0,TODAY()-I47))))</f>
        <v/>
      </c>
      <c r="L47" s="27" t="inlineStr"/>
    </row>
    <row r="48">
      <c r="A48" s="27" t="inlineStr"/>
      <c r="B48" s="27" t="inlineStr"/>
      <c r="C48" s="27" t="inlineStr"/>
      <c r="D48" s="27" t="inlineStr"/>
      <c r="E48" s="36" t="inlineStr"/>
      <c r="F48" s="27" t="inlineStr"/>
      <c r="G48" s="27" t="inlineStr"/>
      <c r="H48" s="27" t="inlineStr"/>
      <c r="I48" s="36" t="inlineStr"/>
      <c r="J48" s="36" t="inlineStr"/>
      <c r="K48" s="27">
        <f>IF(I48="","",MAX(0,IF(J48&lt;&gt;"",J48-I48,IF(OR(H48="Resolved",H48="Closed"),0,TODAY()-I48))))</f>
        <v/>
      </c>
      <c r="L48" s="27" t="inlineStr"/>
    </row>
    <row r="49">
      <c r="A49" s="27" t="inlineStr"/>
      <c r="B49" s="27" t="inlineStr"/>
      <c r="C49" s="27" t="inlineStr"/>
      <c r="D49" s="27" t="inlineStr"/>
      <c r="E49" s="36" t="inlineStr"/>
      <c r="F49" s="27" t="inlineStr"/>
      <c r="G49" s="27" t="inlineStr"/>
      <c r="H49" s="27" t="inlineStr"/>
      <c r="I49" s="36" t="inlineStr"/>
      <c r="J49" s="36" t="inlineStr"/>
      <c r="K49" s="27">
        <f>IF(I49="","",MAX(0,IF(J49&lt;&gt;"",J49-I49,IF(OR(H49="Resolved",H49="Closed"),0,TODAY()-I49))))</f>
        <v/>
      </c>
      <c r="L49" s="27" t="inlineStr"/>
    </row>
    <row r="50">
      <c r="A50" s="27" t="inlineStr"/>
      <c r="B50" s="27" t="inlineStr"/>
      <c r="C50" s="27" t="inlineStr"/>
      <c r="D50" s="27" t="inlineStr"/>
      <c r="E50" s="36" t="inlineStr"/>
      <c r="F50" s="27" t="inlineStr"/>
      <c r="G50" s="27" t="inlineStr"/>
      <c r="H50" s="27" t="inlineStr"/>
      <c r="I50" s="36" t="inlineStr"/>
      <c r="J50" s="36" t="inlineStr"/>
      <c r="K50" s="27">
        <f>IF(I50="","",MAX(0,IF(J50&lt;&gt;"",J50-I50,IF(OR(H50="Resolved",H50="Closed"),0,TODAY()-I50))))</f>
        <v/>
      </c>
      <c r="L50" s="27" t="inlineStr"/>
    </row>
    <row r="51">
      <c r="A51" s="27" t="inlineStr"/>
      <c r="B51" s="27" t="inlineStr"/>
      <c r="C51" s="27" t="inlineStr"/>
      <c r="D51" s="27" t="inlineStr"/>
      <c r="E51" s="36" t="inlineStr"/>
      <c r="F51" s="27" t="inlineStr"/>
      <c r="G51" s="27" t="inlineStr"/>
      <c r="H51" s="27" t="inlineStr"/>
      <c r="I51" s="36" t="inlineStr"/>
      <c r="J51" s="36" t="inlineStr"/>
      <c r="K51" s="27">
        <f>IF(I51="","",MAX(0,IF(J51&lt;&gt;"",J51-I51,IF(OR(H51="Resolved",H51="Closed"),0,TODAY()-I51))))</f>
        <v/>
      </c>
      <c r="L51" s="27" t="inlineStr"/>
    </row>
    <row r="52">
      <c r="A52" s="27" t="inlineStr"/>
      <c r="B52" s="27" t="inlineStr"/>
      <c r="C52" s="27" t="inlineStr"/>
      <c r="D52" s="27" t="inlineStr"/>
      <c r="E52" s="36" t="inlineStr"/>
      <c r="F52" s="27" t="inlineStr"/>
      <c r="G52" s="27" t="inlineStr"/>
      <c r="H52" s="27" t="inlineStr"/>
      <c r="I52" s="36" t="inlineStr"/>
      <c r="J52" s="36" t="inlineStr"/>
      <c r="K52" s="27">
        <f>IF(I52="","",MAX(0,IF(J52&lt;&gt;"",J52-I52,IF(OR(H52="Resolved",H52="Closed"),0,TODAY()-I52))))</f>
        <v/>
      </c>
      <c r="L52" s="27" t="inlineStr"/>
    </row>
    <row r="53">
      <c r="A53" s="27" t="inlineStr"/>
      <c r="B53" s="27" t="inlineStr"/>
      <c r="C53" s="27" t="inlineStr"/>
      <c r="D53" s="27" t="inlineStr"/>
      <c r="E53" s="36" t="inlineStr"/>
      <c r="F53" s="27" t="inlineStr"/>
      <c r="G53" s="27" t="inlineStr"/>
      <c r="H53" s="27" t="inlineStr"/>
      <c r="I53" s="36" t="inlineStr"/>
      <c r="J53" s="36" t="inlineStr"/>
      <c r="K53" s="27">
        <f>IF(I53="","",MAX(0,IF(J53&lt;&gt;"",J53-I53,IF(OR(H53="Resolved",H53="Closed"),0,TODAY()-I53))))</f>
        <v/>
      </c>
      <c r="L53" s="27" t="inlineStr"/>
    </row>
    <row r="54">
      <c r="A54" s="27" t="inlineStr"/>
      <c r="B54" s="27" t="inlineStr"/>
      <c r="C54" s="27" t="inlineStr"/>
      <c r="D54" s="27" t="inlineStr"/>
      <c r="E54" s="36" t="inlineStr"/>
      <c r="F54" s="27" t="inlineStr"/>
      <c r="G54" s="27" t="inlineStr"/>
      <c r="H54" s="27" t="inlineStr"/>
      <c r="I54" s="36" t="inlineStr"/>
      <c r="J54" s="36" t="inlineStr"/>
      <c r="K54" s="27">
        <f>IF(I54="","",MAX(0,IF(J54&lt;&gt;"",J54-I54,IF(OR(H54="Resolved",H54="Closed"),0,TODAY()-I54))))</f>
        <v/>
      </c>
      <c r="L54" s="27" t="inlineStr"/>
    </row>
    <row r="55">
      <c r="A55" s="27" t="inlineStr"/>
      <c r="B55" s="27" t="inlineStr"/>
      <c r="C55" s="27" t="inlineStr"/>
      <c r="D55" s="27" t="inlineStr"/>
      <c r="E55" s="36" t="inlineStr"/>
      <c r="F55" s="27" t="inlineStr"/>
      <c r="G55" s="27" t="inlineStr"/>
      <c r="H55" s="27" t="inlineStr"/>
      <c r="I55" s="36" t="inlineStr"/>
      <c r="J55" s="36" t="inlineStr"/>
      <c r="K55" s="27">
        <f>IF(I55="","",MAX(0,IF(J55&lt;&gt;"",J55-I55,IF(OR(H55="Resolved",H55="Closed"),0,TODAY()-I55))))</f>
        <v/>
      </c>
      <c r="L55" s="27" t="inlineStr"/>
    </row>
    <row r="56">
      <c r="A56" s="27" t="inlineStr"/>
      <c r="B56" s="27" t="inlineStr"/>
      <c r="C56" s="27" t="inlineStr"/>
      <c r="D56" s="27" t="inlineStr"/>
      <c r="E56" s="36" t="inlineStr"/>
      <c r="F56" s="27" t="inlineStr"/>
      <c r="G56" s="27" t="inlineStr"/>
      <c r="H56" s="27" t="inlineStr"/>
      <c r="I56" s="36" t="inlineStr"/>
      <c r="J56" s="36" t="inlineStr"/>
      <c r="K56" s="27">
        <f>IF(I56="","",MAX(0,IF(J56&lt;&gt;"",J56-I56,IF(OR(H56="Resolved",H56="Closed"),0,TODAY()-I56))))</f>
        <v/>
      </c>
      <c r="L56" s="27" t="inlineStr"/>
    </row>
    <row r="57">
      <c r="A57" s="27" t="inlineStr"/>
      <c r="B57" s="27" t="inlineStr"/>
      <c r="C57" s="27" t="inlineStr"/>
      <c r="D57" s="27" t="inlineStr"/>
      <c r="E57" s="36" t="inlineStr"/>
      <c r="F57" s="27" t="inlineStr"/>
      <c r="G57" s="27" t="inlineStr"/>
      <c r="H57" s="27" t="inlineStr"/>
      <c r="I57" s="36" t="inlineStr"/>
      <c r="J57" s="36" t="inlineStr"/>
      <c r="K57" s="27">
        <f>IF(I57="","",MAX(0,IF(J57&lt;&gt;"",J57-I57,IF(OR(H57="Resolved",H57="Closed"),0,TODAY()-I57))))</f>
        <v/>
      </c>
      <c r="L57" s="27" t="inlineStr"/>
    </row>
    <row r="58">
      <c r="A58" s="27" t="inlineStr"/>
      <c r="B58" s="27" t="inlineStr"/>
      <c r="C58" s="27" t="inlineStr"/>
      <c r="D58" s="27" t="inlineStr"/>
      <c r="E58" s="36" t="inlineStr"/>
      <c r="F58" s="27" t="inlineStr"/>
      <c r="G58" s="27" t="inlineStr"/>
      <c r="H58" s="27" t="inlineStr"/>
      <c r="I58" s="36" t="inlineStr"/>
      <c r="J58" s="36" t="inlineStr"/>
      <c r="K58" s="27">
        <f>IF(I58="","",MAX(0,IF(J58&lt;&gt;"",J58-I58,IF(OR(H58="Resolved",H58="Closed"),0,TODAY()-I58))))</f>
        <v/>
      </c>
      <c r="L58" s="27" t="inlineStr"/>
    </row>
    <row r="59">
      <c r="A59" s="27" t="inlineStr"/>
      <c r="B59" s="27" t="inlineStr"/>
      <c r="C59" s="27" t="inlineStr"/>
      <c r="D59" s="27" t="inlineStr"/>
      <c r="E59" s="36" t="inlineStr"/>
      <c r="F59" s="27" t="inlineStr"/>
      <c r="G59" s="27" t="inlineStr"/>
      <c r="H59" s="27" t="inlineStr"/>
      <c r="I59" s="36" t="inlineStr"/>
      <c r="J59" s="36" t="inlineStr"/>
      <c r="K59" s="27">
        <f>IF(I59="","",MAX(0,IF(J59&lt;&gt;"",J59-I59,IF(OR(H59="Resolved",H59="Closed"),0,TODAY()-I59))))</f>
        <v/>
      </c>
      <c r="L59" s="27" t="inlineStr"/>
    </row>
    <row r="60">
      <c r="A60" s="27" t="inlineStr"/>
      <c r="B60" s="27" t="inlineStr"/>
      <c r="C60" s="27" t="inlineStr"/>
      <c r="D60" s="27" t="inlineStr"/>
      <c r="E60" s="36" t="inlineStr"/>
      <c r="F60" s="27" t="inlineStr"/>
      <c r="G60" s="27" t="inlineStr"/>
      <c r="H60" s="27" t="inlineStr"/>
      <c r="I60" s="36" t="inlineStr"/>
      <c r="J60" s="36" t="inlineStr"/>
      <c r="K60" s="27">
        <f>IF(I60="","",MAX(0,IF(J60&lt;&gt;"",J60-I60,IF(OR(H60="Resolved",H60="Closed"),0,TODAY()-I60))))</f>
        <v/>
      </c>
      <c r="L60" s="27" t="inlineStr"/>
    </row>
    <row r="61">
      <c r="A61" s="27" t="inlineStr"/>
      <c r="B61" s="27" t="inlineStr"/>
      <c r="C61" s="27" t="inlineStr"/>
      <c r="D61" s="27" t="inlineStr"/>
      <c r="E61" s="36" t="inlineStr"/>
      <c r="F61" s="27" t="inlineStr"/>
      <c r="G61" s="27" t="inlineStr"/>
      <c r="H61" s="27" t="inlineStr"/>
      <c r="I61" s="36" t="inlineStr"/>
      <c r="J61" s="36" t="inlineStr"/>
      <c r="K61" s="27">
        <f>IF(I61="","",MAX(0,IF(J61&lt;&gt;"",J61-I61,IF(OR(H61="Resolved",H61="Closed"),0,TODAY()-I61))))</f>
        <v/>
      </c>
      <c r="L61" s="27" t="inlineStr"/>
    </row>
    <row r="62">
      <c r="A62" s="27" t="inlineStr"/>
      <c r="B62" s="27" t="inlineStr"/>
      <c r="C62" s="27" t="inlineStr"/>
      <c r="D62" s="27" t="inlineStr"/>
      <c r="E62" s="36" t="inlineStr"/>
      <c r="F62" s="27" t="inlineStr"/>
      <c r="G62" s="27" t="inlineStr"/>
      <c r="H62" s="27" t="inlineStr"/>
      <c r="I62" s="36" t="inlineStr"/>
      <c r="J62" s="36" t="inlineStr"/>
      <c r="K62" s="27">
        <f>IF(I62="","",MAX(0,IF(J62&lt;&gt;"",J62-I62,IF(OR(H62="Resolved",H62="Closed"),0,TODAY()-I62))))</f>
        <v/>
      </c>
      <c r="L62" s="27" t="inlineStr"/>
    </row>
    <row r="63">
      <c r="A63" s="27" t="inlineStr"/>
      <c r="B63" s="27" t="inlineStr"/>
      <c r="C63" s="27" t="inlineStr"/>
      <c r="D63" s="27" t="inlineStr"/>
      <c r="E63" s="36" t="inlineStr"/>
      <c r="F63" s="27" t="inlineStr"/>
      <c r="G63" s="27" t="inlineStr"/>
      <c r="H63" s="27" t="inlineStr"/>
      <c r="I63" s="36" t="inlineStr"/>
      <c r="J63" s="36" t="inlineStr"/>
      <c r="K63" s="27">
        <f>IF(I63="","",MAX(0,IF(J63&lt;&gt;"",J63-I63,IF(OR(H63="Resolved",H63="Closed"),0,TODAY()-I63))))</f>
        <v/>
      </c>
      <c r="L63" s="27" t="inlineStr"/>
    </row>
    <row r="64">
      <c r="A64" s="27" t="inlineStr"/>
      <c r="B64" s="27" t="inlineStr"/>
      <c r="C64" s="27" t="inlineStr"/>
      <c r="D64" s="27" t="inlineStr"/>
      <c r="E64" s="36" t="inlineStr"/>
      <c r="F64" s="27" t="inlineStr"/>
      <c r="G64" s="27" t="inlineStr"/>
      <c r="H64" s="27" t="inlineStr"/>
      <c r="I64" s="36" t="inlineStr"/>
      <c r="J64" s="36" t="inlineStr"/>
      <c r="K64" s="27">
        <f>IF(I64="","",MAX(0,IF(J64&lt;&gt;"",J64-I64,IF(OR(H64="Resolved",H64="Closed"),0,TODAY()-I64))))</f>
        <v/>
      </c>
      <c r="L64" s="27" t="inlineStr"/>
    </row>
    <row r="65">
      <c r="A65" s="27" t="inlineStr"/>
      <c r="B65" s="27" t="inlineStr"/>
      <c r="C65" s="27" t="inlineStr"/>
      <c r="D65" s="27" t="inlineStr"/>
      <c r="E65" s="36" t="inlineStr"/>
      <c r="F65" s="27" t="inlineStr"/>
      <c r="G65" s="27" t="inlineStr"/>
      <c r="H65" s="27" t="inlineStr"/>
      <c r="I65" s="36" t="inlineStr"/>
      <c r="J65" s="36" t="inlineStr"/>
      <c r="K65" s="27">
        <f>IF(I65="","",MAX(0,IF(J65&lt;&gt;"",J65-I65,IF(OR(H65="Resolved",H65="Closed"),0,TODAY()-I65))))</f>
        <v/>
      </c>
      <c r="L65" s="27" t="inlineStr"/>
    </row>
    <row r="66">
      <c r="A66" s="27" t="inlineStr"/>
      <c r="B66" s="27" t="inlineStr"/>
      <c r="C66" s="27" t="inlineStr"/>
      <c r="D66" s="27" t="inlineStr"/>
      <c r="E66" s="36" t="inlineStr"/>
      <c r="F66" s="27" t="inlineStr"/>
      <c r="G66" s="27" t="inlineStr"/>
      <c r="H66" s="27" t="inlineStr"/>
      <c r="I66" s="36" t="inlineStr"/>
      <c r="J66" s="36" t="inlineStr"/>
      <c r="K66" s="27">
        <f>IF(I66="","",MAX(0,IF(J66&lt;&gt;"",J66-I66,IF(OR(H66="Resolved",H66="Closed"),0,TODAY()-I66))))</f>
        <v/>
      </c>
      <c r="L66" s="27" t="inlineStr"/>
    </row>
    <row r="67">
      <c r="A67" s="27" t="inlineStr"/>
      <c r="B67" s="27" t="inlineStr"/>
      <c r="C67" s="27" t="inlineStr"/>
      <c r="D67" s="27" t="inlineStr"/>
      <c r="E67" s="36" t="inlineStr"/>
      <c r="F67" s="27" t="inlineStr"/>
      <c r="G67" s="27" t="inlineStr"/>
      <c r="H67" s="27" t="inlineStr"/>
      <c r="I67" s="36" t="inlineStr"/>
      <c r="J67" s="36" t="inlineStr"/>
      <c r="K67" s="27">
        <f>IF(I67="","",MAX(0,IF(J67&lt;&gt;"",J67-I67,IF(OR(H67="Resolved",H67="Closed"),0,TODAY()-I67))))</f>
        <v/>
      </c>
      <c r="L67" s="27" t="inlineStr"/>
    </row>
    <row r="68">
      <c r="A68" s="27" t="inlineStr"/>
      <c r="B68" s="27" t="inlineStr"/>
      <c r="C68" s="27" t="inlineStr"/>
      <c r="D68" s="27" t="inlineStr"/>
      <c r="E68" s="36" t="inlineStr"/>
      <c r="F68" s="27" t="inlineStr"/>
      <c r="G68" s="27" t="inlineStr"/>
      <c r="H68" s="27" t="inlineStr"/>
      <c r="I68" s="36" t="inlineStr"/>
      <c r="J68" s="36" t="inlineStr"/>
      <c r="K68" s="27">
        <f>IF(I68="","",MAX(0,IF(J68&lt;&gt;"",J68-I68,IF(OR(H68="Resolved",H68="Closed"),0,TODAY()-I68))))</f>
        <v/>
      </c>
      <c r="L68" s="27" t="inlineStr"/>
    </row>
    <row r="69">
      <c r="A69" s="27" t="inlineStr"/>
      <c r="B69" s="27" t="inlineStr"/>
      <c r="C69" s="27" t="inlineStr"/>
      <c r="D69" s="27" t="inlineStr"/>
      <c r="E69" s="36" t="inlineStr"/>
      <c r="F69" s="27" t="inlineStr"/>
      <c r="G69" s="27" t="inlineStr"/>
      <c r="H69" s="27" t="inlineStr"/>
      <c r="I69" s="36" t="inlineStr"/>
      <c r="J69" s="36" t="inlineStr"/>
      <c r="K69" s="27">
        <f>IF(I69="","",MAX(0,IF(J69&lt;&gt;"",J69-I69,IF(OR(H69="Resolved",H69="Closed"),0,TODAY()-I69))))</f>
        <v/>
      </c>
      <c r="L69" s="27" t="inlineStr"/>
    </row>
    <row r="70">
      <c r="A70" s="27" t="inlineStr"/>
      <c r="B70" s="27" t="inlineStr"/>
      <c r="C70" s="27" t="inlineStr"/>
      <c r="D70" s="27" t="inlineStr"/>
      <c r="E70" s="36" t="inlineStr"/>
      <c r="F70" s="27" t="inlineStr"/>
      <c r="G70" s="27" t="inlineStr"/>
      <c r="H70" s="27" t="inlineStr"/>
      <c r="I70" s="36" t="inlineStr"/>
      <c r="J70" s="36" t="inlineStr"/>
      <c r="K70" s="27">
        <f>IF(I70="","",MAX(0,IF(J70&lt;&gt;"",J70-I70,IF(OR(H70="Resolved",H70="Closed"),0,TODAY()-I70))))</f>
        <v/>
      </c>
      <c r="L70" s="27" t="inlineStr"/>
    </row>
    <row r="71">
      <c r="A71" s="27" t="inlineStr"/>
      <c r="B71" s="27" t="inlineStr"/>
      <c r="C71" s="27" t="inlineStr"/>
      <c r="D71" s="27" t="inlineStr"/>
      <c r="E71" s="36" t="inlineStr"/>
      <c r="F71" s="27" t="inlineStr"/>
      <c r="G71" s="27" t="inlineStr"/>
      <c r="H71" s="27" t="inlineStr"/>
      <c r="I71" s="36" t="inlineStr"/>
      <c r="J71" s="36" t="inlineStr"/>
      <c r="K71" s="27">
        <f>IF(I71="","",MAX(0,IF(J71&lt;&gt;"",J71-I71,IF(OR(H71="Resolved",H71="Closed"),0,TODAY()-I71))))</f>
        <v/>
      </c>
      <c r="L71" s="27" t="inlineStr"/>
    </row>
    <row r="72">
      <c r="A72" s="27" t="inlineStr"/>
      <c r="B72" s="27" t="inlineStr"/>
      <c r="C72" s="27" t="inlineStr"/>
      <c r="D72" s="27" t="inlineStr"/>
      <c r="E72" s="36" t="inlineStr"/>
      <c r="F72" s="27" t="inlineStr"/>
      <c r="G72" s="27" t="inlineStr"/>
      <c r="H72" s="27" t="inlineStr"/>
      <c r="I72" s="36" t="inlineStr"/>
      <c r="J72" s="36" t="inlineStr"/>
      <c r="K72" s="27">
        <f>IF(I72="","",MAX(0,IF(J72&lt;&gt;"",J72-I72,IF(OR(H72="Resolved",H72="Closed"),0,TODAY()-I72))))</f>
        <v/>
      </c>
      <c r="L72" s="27" t="inlineStr"/>
    </row>
    <row r="73">
      <c r="A73" s="27" t="inlineStr"/>
      <c r="B73" s="27" t="inlineStr"/>
      <c r="C73" s="27" t="inlineStr"/>
      <c r="D73" s="27" t="inlineStr"/>
      <c r="E73" s="36" t="inlineStr"/>
      <c r="F73" s="27" t="inlineStr"/>
      <c r="G73" s="27" t="inlineStr"/>
      <c r="H73" s="27" t="inlineStr"/>
      <c r="I73" s="36" t="inlineStr"/>
      <c r="J73" s="36" t="inlineStr"/>
      <c r="K73" s="27">
        <f>IF(I73="","",MAX(0,IF(J73&lt;&gt;"",J73-I73,IF(OR(H73="Resolved",H73="Closed"),0,TODAY()-I73))))</f>
        <v/>
      </c>
      <c r="L73" s="27" t="inlineStr"/>
    </row>
    <row r="74">
      <c r="A74" s="27" t="inlineStr"/>
      <c r="B74" s="27" t="inlineStr"/>
      <c r="C74" s="27" t="inlineStr"/>
      <c r="D74" s="27" t="inlineStr"/>
      <c r="E74" s="36" t="inlineStr"/>
      <c r="F74" s="27" t="inlineStr"/>
      <c r="G74" s="27" t="inlineStr"/>
      <c r="H74" s="27" t="inlineStr"/>
      <c r="I74" s="36" t="inlineStr"/>
      <c r="J74" s="36" t="inlineStr"/>
      <c r="K74" s="27">
        <f>IF(I74="","",MAX(0,IF(J74&lt;&gt;"",J74-I74,IF(OR(H74="Resolved",H74="Closed"),0,TODAY()-I74))))</f>
        <v/>
      </c>
      <c r="L74" s="27" t="inlineStr"/>
    </row>
    <row r="75">
      <c r="A75" s="27" t="inlineStr"/>
      <c r="B75" s="27" t="inlineStr"/>
      <c r="C75" s="27" t="inlineStr"/>
      <c r="D75" s="27" t="inlineStr"/>
      <c r="E75" s="36" t="inlineStr"/>
      <c r="F75" s="27" t="inlineStr"/>
      <c r="G75" s="27" t="inlineStr"/>
      <c r="H75" s="27" t="inlineStr"/>
      <c r="I75" s="36" t="inlineStr"/>
      <c r="J75" s="36" t="inlineStr"/>
      <c r="K75" s="27">
        <f>IF(I75="","",MAX(0,IF(J75&lt;&gt;"",J75-I75,IF(OR(H75="Resolved",H75="Closed"),0,TODAY()-I75))))</f>
        <v/>
      </c>
      <c r="L75" s="27" t="inlineStr"/>
    </row>
    <row r="76">
      <c r="A76" s="27" t="inlineStr"/>
      <c r="B76" s="27" t="inlineStr"/>
      <c r="C76" s="27" t="inlineStr"/>
      <c r="D76" s="27" t="inlineStr"/>
      <c r="E76" s="36" t="inlineStr"/>
      <c r="F76" s="27" t="inlineStr"/>
      <c r="G76" s="27" t="inlineStr"/>
      <c r="H76" s="27" t="inlineStr"/>
      <c r="I76" s="36" t="inlineStr"/>
      <c r="J76" s="36" t="inlineStr"/>
      <c r="K76" s="27">
        <f>IF(I76="","",MAX(0,IF(J76&lt;&gt;"",J76-I76,IF(OR(H76="Resolved",H76="Closed"),0,TODAY()-I76))))</f>
        <v/>
      </c>
      <c r="L76" s="27" t="inlineStr"/>
    </row>
    <row r="77">
      <c r="A77" s="27" t="inlineStr"/>
      <c r="B77" s="27" t="inlineStr"/>
      <c r="C77" s="27" t="inlineStr"/>
      <c r="D77" s="27" t="inlineStr"/>
      <c r="E77" s="36" t="inlineStr"/>
      <c r="F77" s="27" t="inlineStr"/>
      <c r="G77" s="27" t="inlineStr"/>
      <c r="H77" s="27" t="inlineStr"/>
      <c r="I77" s="36" t="inlineStr"/>
      <c r="J77" s="36" t="inlineStr"/>
      <c r="K77" s="27">
        <f>IF(I77="","",MAX(0,IF(J77&lt;&gt;"",J77-I77,IF(OR(H77="Resolved",H77="Closed"),0,TODAY()-I77))))</f>
        <v/>
      </c>
      <c r="L77" s="27" t="inlineStr"/>
    </row>
    <row r="78">
      <c r="A78" s="27" t="inlineStr"/>
      <c r="B78" s="27" t="inlineStr"/>
      <c r="C78" s="27" t="inlineStr"/>
      <c r="D78" s="27" t="inlineStr"/>
      <c r="E78" s="36" t="inlineStr"/>
      <c r="F78" s="27" t="inlineStr"/>
      <c r="G78" s="27" t="inlineStr"/>
      <c r="H78" s="27" t="inlineStr"/>
      <c r="I78" s="36" t="inlineStr"/>
      <c r="J78" s="36" t="inlineStr"/>
      <c r="K78" s="27">
        <f>IF(I78="","",MAX(0,IF(J78&lt;&gt;"",J78-I78,IF(OR(H78="Resolved",H78="Closed"),0,TODAY()-I78))))</f>
        <v/>
      </c>
      <c r="L78" s="27" t="inlineStr"/>
    </row>
    <row r="79">
      <c r="A79" s="27" t="inlineStr"/>
      <c r="B79" s="27" t="inlineStr"/>
      <c r="C79" s="27" t="inlineStr"/>
      <c r="D79" s="27" t="inlineStr"/>
      <c r="E79" s="36" t="inlineStr"/>
      <c r="F79" s="27" t="inlineStr"/>
      <c r="G79" s="27" t="inlineStr"/>
      <c r="H79" s="27" t="inlineStr"/>
      <c r="I79" s="36" t="inlineStr"/>
      <c r="J79" s="36" t="inlineStr"/>
      <c r="K79" s="27">
        <f>IF(I79="","",MAX(0,IF(J79&lt;&gt;"",J79-I79,IF(OR(H79="Resolved",H79="Closed"),0,TODAY()-I79))))</f>
        <v/>
      </c>
      <c r="L79" s="27" t="inlineStr"/>
    </row>
    <row r="80">
      <c r="A80" s="27" t="inlineStr"/>
      <c r="B80" s="27" t="inlineStr"/>
      <c r="C80" s="27" t="inlineStr"/>
      <c r="D80" s="27" t="inlineStr"/>
      <c r="E80" s="36" t="inlineStr"/>
      <c r="F80" s="27" t="inlineStr"/>
      <c r="G80" s="27" t="inlineStr"/>
      <c r="H80" s="27" t="inlineStr"/>
      <c r="I80" s="36" t="inlineStr"/>
      <c r="J80" s="36" t="inlineStr"/>
      <c r="K80" s="27">
        <f>IF(I80="","",MAX(0,IF(J80&lt;&gt;"",J80-I80,IF(OR(H80="Resolved",H80="Closed"),0,TODAY()-I80))))</f>
        <v/>
      </c>
      <c r="L80" s="27" t="inlineStr"/>
    </row>
    <row r="81">
      <c r="A81" s="27" t="inlineStr"/>
      <c r="B81" s="27" t="inlineStr"/>
      <c r="C81" s="27" t="inlineStr"/>
      <c r="D81" s="27" t="inlineStr"/>
      <c r="E81" s="36" t="inlineStr"/>
      <c r="F81" s="27" t="inlineStr"/>
      <c r="G81" s="27" t="inlineStr"/>
      <c r="H81" s="27" t="inlineStr"/>
      <c r="I81" s="36" t="inlineStr"/>
      <c r="J81" s="36" t="inlineStr"/>
      <c r="K81" s="27">
        <f>IF(I81="","",MAX(0,IF(J81&lt;&gt;"",J81-I81,IF(OR(H81="Resolved",H81="Closed"),0,TODAY()-I81))))</f>
        <v/>
      </c>
      <c r="L81" s="27" t="inlineStr"/>
    </row>
    <row r="82">
      <c r="A82" s="27" t="inlineStr"/>
      <c r="B82" s="27" t="inlineStr"/>
      <c r="C82" s="27" t="inlineStr"/>
      <c r="D82" s="27" t="inlineStr"/>
      <c r="E82" s="36" t="inlineStr"/>
      <c r="F82" s="27" t="inlineStr"/>
      <c r="G82" s="27" t="inlineStr"/>
      <c r="H82" s="27" t="inlineStr"/>
      <c r="I82" s="36" t="inlineStr"/>
      <c r="J82" s="36" t="inlineStr"/>
      <c r="K82" s="27">
        <f>IF(I82="","",MAX(0,IF(J82&lt;&gt;"",J82-I82,IF(OR(H82="Resolved",H82="Closed"),0,TODAY()-I82))))</f>
        <v/>
      </c>
      <c r="L82" s="27" t="inlineStr"/>
    </row>
    <row r="83">
      <c r="A83" s="27" t="inlineStr"/>
      <c r="B83" s="27" t="inlineStr"/>
      <c r="C83" s="27" t="inlineStr"/>
      <c r="D83" s="27" t="inlineStr"/>
      <c r="E83" s="36" t="inlineStr"/>
      <c r="F83" s="27" t="inlineStr"/>
      <c r="G83" s="27" t="inlineStr"/>
      <c r="H83" s="27" t="inlineStr"/>
      <c r="I83" s="36" t="inlineStr"/>
      <c r="J83" s="36" t="inlineStr"/>
      <c r="K83" s="27">
        <f>IF(I83="","",MAX(0,IF(J83&lt;&gt;"",J83-I83,IF(OR(H83="Resolved",H83="Closed"),0,TODAY()-I83))))</f>
        <v/>
      </c>
      <c r="L83" s="27" t="inlineStr"/>
    </row>
    <row r="84">
      <c r="A84" s="27" t="inlineStr"/>
      <c r="B84" s="27" t="inlineStr"/>
      <c r="C84" s="27" t="inlineStr"/>
      <c r="D84" s="27" t="inlineStr"/>
      <c r="E84" s="36" t="inlineStr"/>
      <c r="F84" s="27" t="inlineStr"/>
      <c r="G84" s="27" t="inlineStr"/>
      <c r="H84" s="27" t="inlineStr"/>
      <c r="I84" s="36" t="inlineStr"/>
      <c r="J84" s="36" t="inlineStr"/>
      <c r="K84" s="27">
        <f>IF(I84="","",MAX(0,IF(J84&lt;&gt;"",J84-I84,IF(OR(H84="Resolved",H84="Closed"),0,TODAY()-I84))))</f>
        <v/>
      </c>
      <c r="L84" s="27" t="inlineStr"/>
    </row>
    <row r="85">
      <c r="A85" s="27" t="inlineStr"/>
      <c r="B85" s="27" t="inlineStr"/>
      <c r="C85" s="27" t="inlineStr"/>
      <c r="D85" s="27" t="inlineStr"/>
      <c r="E85" s="36" t="inlineStr"/>
      <c r="F85" s="27" t="inlineStr"/>
      <c r="G85" s="27" t="inlineStr"/>
      <c r="H85" s="27" t="inlineStr"/>
      <c r="I85" s="36" t="inlineStr"/>
      <c r="J85" s="36" t="inlineStr"/>
      <c r="K85" s="27">
        <f>IF(I85="","",MAX(0,IF(J85&lt;&gt;"",J85-I85,IF(OR(H85="Resolved",H85="Closed"),0,TODAY()-I85))))</f>
        <v/>
      </c>
      <c r="L85" s="27" t="inlineStr"/>
    </row>
    <row r="86">
      <c r="A86" s="27" t="inlineStr"/>
      <c r="B86" s="27" t="inlineStr"/>
      <c r="C86" s="27" t="inlineStr"/>
      <c r="D86" s="27" t="inlineStr"/>
      <c r="E86" s="36" t="inlineStr"/>
      <c r="F86" s="27" t="inlineStr"/>
      <c r="G86" s="27" t="inlineStr"/>
      <c r="H86" s="27" t="inlineStr"/>
      <c r="I86" s="36" t="inlineStr"/>
      <c r="J86" s="36" t="inlineStr"/>
      <c r="K86" s="27">
        <f>IF(I86="","",MAX(0,IF(J86&lt;&gt;"",J86-I86,IF(OR(H86="Resolved",H86="Closed"),0,TODAY()-I86))))</f>
        <v/>
      </c>
      <c r="L86" s="27" t="inlineStr"/>
    </row>
    <row r="87">
      <c r="A87" s="27" t="inlineStr"/>
      <c r="B87" s="27" t="inlineStr"/>
      <c r="C87" s="27" t="inlineStr"/>
      <c r="D87" s="27" t="inlineStr"/>
      <c r="E87" s="36" t="inlineStr"/>
      <c r="F87" s="27" t="inlineStr"/>
      <c r="G87" s="27" t="inlineStr"/>
      <c r="H87" s="27" t="inlineStr"/>
      <c r="I87" s="36" t="inlineStr"/>
      <c r="J87" s="36" t="inlineStr"/>
      <c r="K87" s="27">
        <f>IF(I87="","",MAX(0,IF(J87&lt;&gt;"",J87-I87,IF(OR(H87="Resolved",H87="Closed"),0,TODAY()-I87))))</f>
        <v/>
      </c>
      <c r="L87" s="27" t="inlineStr"/>
    </row>
    <row r="88">
      <c r="A88" s="27" t="inlineStr"/>
      <c r="B88" s="27" t="inlineStr"/>
      <c r="C88" s="27" t="inlineStr"/>
      <c r="D88" s="27" t="inlineStr"/>
      <c r="E88" s="36" t="inlineStr"/>
      <c r="F88" s="27" t="inlineStr"/>
      <c r="G88" s="27" t="inlineStr"/>
      <c r="H88" s="27" t="inlineStr"/>
      <c r="I88" s="36" t="inlineStr"/>
      <c r="J88" s="36" t="inlineStr"/>
      <c r="K88" s="27">
        <f>IF(I88="","",MAX(0,IF(J88&lt;&gt;"",J88-I88,IF(OR(H88="Resolved",H88="Closed"),0,TODAY()-I88))))</f>
        <v/>
      </c>
      <c r="L88" s="27" t="inlineStr"/>
    </row>
    <row r="89">
      <c r="A89" s="27" t="inlineStr"/>
      <c r="B89" s="27" t="inlineStr"/>
      <c r="C89" s="27" t="inlineStr"/>
      <c r="D89" s="27" t="inlineStr"/>
      <c r="E89" s="36" t="inlineStr"/>
      <c r="F89" s="27" t="inlineStr"/>
      <c r="G89" s="27" t="inlineStr"/>
      <c r="H89" s="27" t="inlineStr"/>
      <c r="I89" s="36" t="inlineStr"/>
      <c r="J89" s="36" t="inlineStr"/>
      <c r="K89" s="27">
        <f>IF(I89="","",MAX(0,IF(J89&lt;&gt;"",J89-I89,IF(OR(H89="Resolved",H89="Closed"),0,TODAY()-I89))))</f>
        <v/>
      </c>
      <c r="L89" s="27" t="inlineStr"/>
    </row>
    <row r="90">
      <c r="A90" s="27" t="inlineStr"/>
      <c r="B90" s="27" t="inlineStr"/>
      <c r="C90" s="27" t="inlineStr"/>
      <c r="D90" s="27" t="inlineStr"/>
      <c r="E90" s="36" t="inlineStr"/>
      <c r="F90" s="27" t="inlineStr"/>
      <c r="G90" s="27" t="inlineStr"/>
      <c r="H90" s="27" t="inlineStr"/>
      <c r="I90" s="36" t="inlineStr"/>
      <c r="J90" s="36" t="inlineStr"/>
      <c r="K90" s="27">
        <f>IF(I90="","",MAX(0,IF(J90&lt;&gt;"",J90-I90,IF(OR(H90="Resolved",H90="Closed"),0,TODAY()-I90))))</f>
        <v/>
      </c>
      <c r="L90" s="27" t="inlineStr"/>
    </row>
    <row r="91">
      <c r="A91" s="27" t="inlineStr"/>
      <c r="B91" s="27" t="inlineStr"/>
      <c r="C91" s="27" t="inlineStr"/>
      <c r="D91" s="27" t="inlineStr"/>
      <c r="E91" s="36" t="inlineStr"/>
      <c r="F91" s="27" t="inlineStr"/>
      <c r="G91" s="27" t="inlineStr"/>
      <c r="H91" s="27" t="inlineStr"/>
      <c r="I91" s="36" t="inlineStr"/>
      <c r="J91" s="36" t="inlineStr"/>
      <c r="K91" s="27">
        <f>IF(I91="","",MAX(0,IF(J91&lt;&gt;"",J91-I91,IF(OR(H91="Resolved",H91="Closed"),0,TODAY()-I91))))</f>
        <v/>
      </c>
      <c r="L91" s="27" t="inlineStr"/>
    </row>
    <row r="92">
      <c r="A92" s="27" t="inlineStr"/>
      <c r="B92" s="27" t="inlineStr"/>
      <c r="C92" s="27" t="inlineStr"/>
      <c r="D92" s="27" t="inlineStr"/>
      <c r="E92" s="36" t="inlineStr"/>
      <c r="F92" s="27" t="inlineStr"/>
      <c r="G92" s="27" t="inlineStr"/>
      <c r="H92" s="27" t="inlineStr"/>
      <c r="I92" s="36" t="inlineStr"/>
      <c r="J92" s="36" t="inlineStr"/>
      <c r="K92" s="27">
        <f>IF(I92="","",MAX(0,IF(J92&lt;&gt;"",J92-I92,IF(OR(H92="Resolved",H92="Closed"),0,TODAY()-I92))))</f>
        <v/>
      </c>
      <c r="L92" s="27" t="inlineStr"/>
    </row>
    <row r="93">
      <c r="A93" s="27" t="inlineStr"/>
      <c r="B93" s="27" t="inlineStr"/>
      <c r="C93" s="27" t="inlineStr"/>
      <c r="D93" s="27" t="inlineStr"/>
      <c r="E93" s="36" t="inlineStr"/>
      <c r="F93" s="27" t="inlineStr"/>
      <c r="G93" s="27" t="inlineStr"/>
      <c r="H93" s="27" t="inlineStr"/>
      <c r="I93" s="36" t="inlineStr"/>
      <c r="J93" s="36" t="inlineStr"/>
      <c r="K93" s="27">
        <f>IF(I93="","",MAX(0,IF(J93&lt;&gt;"",J93-I93,IF(OR(H93="Resolved",H93="Closed"),0,TODAY()-I93))))</f>
        <v/>
      </c>
      <c r="L93" s="27" t="inlineStr"/>
    </row>
    <row r="94">
      <c r="A94" s="27" t="inlineStr"/>
      <c r="B94" s="27" t="inlineStr"/>
      <c r="C94" s="27" t="inlineStr"/>
      <c r="D94" s="27" t="inlineStr"/>
      <c r="E94" s="36" t="inlineStr"/>
      <c r="F94" s="27" t="inlineStr"/>
      <c r="G94" s="27" t="inlineStr"/>
      <c r="H94" s="27" t="inlineStr"/>
      <c r="I94" s="36" t="inlineStr"/>
      <c r="J94" s="36" t="inlineStr"/>
      <c r="K94" s="27">
        <f>IF(I94="","",MAX(0,IF(J94&lt;&gt;"",J94-I94,IF(OR(H94="Resolved",H94="Closed"),0,TODAY()-I94))))</f>
        <v/>
      </c>
      <c r="L94" s="27" t="inlineStr"/>
    </row>
    <row r="95">
      <c r="A95" s="27" t="inlineStr"/>
      <c r="B95" s="27" t="inlineStr"/>
      <c r="C95" s="27" t="inlineStr"/>
      <c r="D95" s="27" t="inlineStr"/>
      <c r="E95" s="36" t="inlineStr"/>
      <c r="F95" s="27" t="inlineStr"/>
      <c r="G95" s="27" t="inlineStr"/>
      <c r="H95" s="27" t="inlineStr"/>
      <c r="I95" s="36" t="inlineStr"/>
      <c r="J95" s="36" t="inlineStr"/>
      <c r="K95" s="27">
        <f>IF(I95="","",MAX(0,IF(J95&lt;&gt;"",J95-I95,IF(OR(H95="Resolved",H95="Closed"),0,TODAY()-I95))))</f>
        <v/>
      </c>
      <c r="L95" s="27" t="inlineStr"/>
    </row>
    <row r="96">
      <c r="A96" s="27" t="inlineStr"/>
      <c r="B96" s="27" t="inlineStr"/>
      <c r="C96" s="27" t="inlineStr"/>
      <c r="D96" s="27" t="inlineStr"/>
      <c r="E96" s="36" t="inlineStr"/>
      <c r="F96" s="27" t="inlineStr"/>
      <c r="G96" s="27" t="inlineStr"/>
      <c r="H96" s="27" t="inlineStr"/>
      <c r="I96" s="36" t="inlineStr"/>
      <c r="J96" s="36" t="inlineStr"/>
      <c r="K96" s="27">
        <f>IF(I96="","",MAX(0,IF(J96&lt;&gt;"",J96-I96,IF(OR(H96="Resolved",H96="Closed"),0,TODAY()-I96))))</f>
        <v/>
      </c>
      <c r="L96" s="27" t="inlineStr"/>
    </row>
    <row r="97">
      <c r="A97" s="27" t="inlineStr"/>
      <c r="B97" s="27" t="inlineStr"/>
      <c r="C97" s="27" t="inlineStr"/>
      <c r="D97" s="27" t="inlineStr"/>
      <c r="E97" s="36" t="inlineStr"/>
      <c r="F97" s="27" t="inlineStr"/>
      <c r="G97" s="27" t="inlineStr"/>
      <c r="H97" s="27" t="inlineStr"/>
      <c r="I97" s="36" t="inlineStr"/>
      <c r="J97" s="36" t="inlineStr"/>
      <c r="K97" s="27">
        <f>IF(I97="","",MAX(0,IF(J97&lt;&gt;"",J97-I97,IF(OR(H97="Resolved",H97="Closed"),0,TODAY()-I97))))</f>
        <v/>
      </c>
      <c r="L97" s="27" t="inlineStr"/>
    </row>
    <row r="98">
      <c r="A98" s="27" t="inlineStr"/>
      <c r="B98" s="27" t="inlineStr"/>
      <c r="C98" s="27" t="inlineStr"/>
      <c r="D98" s="27" t="inlineStr"/>
      <c r="E98" s="36" t="inlineStr"/>
      <c r="F98" s="27" t="inlineStr"/>
      <c r="G98" s="27" t="inlineStr"/>
      <c r="H98" s="27" t="inlineStr"/>
      <c r="I98" s="36" t="inlineStr"/>
      <c r="J98" s="36" t="inlineStr"/>
      <c r="K98" s="27">
        <f>IF(I98="","",MAX(0,IF(J98&lt;&gt;"",J98-I98,IF(OR(H98="Resolved",H98="Closed"),0,TODAY()-I98))))</f>
        <v/>
      </c>
      <c r="L98" s="27" t="inlineStr"/>
    </row>
    <row r="99">
      <c r="A99" s="27" t="inlineStr"/>
      <c r="B99" s="27" t="inlineStr"/>
      <c r="C99" s="27" t="inlineStr"/>
      <c r="D99" s="27" t="inlineStr"/>
      <c r="E99" s="36" t="inlineStr"/>
      <c r="F99" s="27" t="inlineStr"/>
      <c r="G99" s="27" t="inlineStr"/>
      <c r="H99" s="27" t="inlineStr"/>
      <c r="I99" s="36" t="inlineStr"/>
      <c r="J99" s="36" t="inlineStr"/>
      <c r="K99" s="27">
        <f>IF(I99="","",MAX(0,IF(J99&lt;&gt;"",J99-I99,IF(OR(H99="Resolved",H99="Closed"),0,TODAY()-I99))))</f>
        <v/>
      </c>
      <c r="L99" s="27" t="inlineStr"/>
    </row>
    <row r="100">
      <c r="A100" s="27" t="inlineStr"/>
      <c r="B100" s="27" t="inlineStr"/>
      <c r="C100" s="27" t="inlineStr"/>
      <c r="D100" s="27" t="inlineStr"/>
      <c r="E100" s="36" t="inlineStr"/>
      <c r="F100" s="27" t="inlineStr"/>
      <c r="G100" s="27" t="inlineStr"/>
      <c r="H100" s="27" t="inlineStr"/>
      <c r="I100" s="36" t="inlineStr"/>
      <c r="J100" s="36" t="inlineStr"/>
      <c r="K100" s="27">
        <f>IF(I100="","",MAX(0,IF(J100&lt;&gt;"",J100-I100,IF(OR(H100="Resolved",H100="Closed"),0,TODAY()-I100))))</f>
        <v/>
      </c>
      <c r="L100" s="27" t="inlineStr"/>
    </row>
    <row r="101">
      <c r="A101" s="27" t="inlineStr"/>
      <c r="B101" s="27" t="inlineStr"/>
      <c r="C101" s="27" t="inlineStr"/>
      <c r="D101" s="27" t="inlineStr"/>
      <c r="E101" s="36" t="inlineStr"/>
      <c r="F101" s="27" t="inlineStr"/>
      <c r="G101" s="27" t="inlineStr"/>
      <c r="H101" s="27" t="inlineStr"/>
      <c r="I101" s="36" t="inlineStr"/>
      <c r="J101" s="36" t="inlineStr"/>
      <c r="K101" s="27">
        <f>IF(I101="","",MAX(0,IF(J101&lt;&gt;"",J101-I101,IF(OR(H101="Resolved",H101="Closed"),0,TODAY()-I101))))</f>
        <v/>
      </c>
      <c r="L101" s="27" t="inlineStr"/>
    </row>
    <row r="102">
      <c r="A102" s="27" t="inlineStr"/>
      <c r="B102" s="27" t="inlineStr"/>
      <c r="C102" s="27" t="inlineStr"/>
      <c r="D102" s="27" t="inlineStr"/>
      <c r="E102" s="36" t="inlineStr"/>
      <c r="F102" s="27" t="inlineStr"/>
      <c r="G102" s="27" t="inlineStr"/>
      <c r="H102" s="27" t="inlineStr"/>
      <c r="I102" s="36" t="inlineStr"/>
      <c r="J102" s="36" t="inlineStr"/>
      <c r="K102" s="27">
        <f>IF(I102="","",MAX(0,IF(J102&lt;&gt;"",J102-I102,IF(OR(H102="Resolved",H102="Closed"),0,TODAY()-I102))))</f>
        <v/>
      </c>
      <c r="L102" s="27" t="inlineStr"/>
    </row>
    <row r="103">
      <c r="A103" s="27" t="inlineStr"/>
      <c r="B103" s="27" t="inlineStr"/>
      <c r="C103" s="27" t="inlineStr"/>
      <c r="D103" s="27" t="inlineStr"/>
      <c r="E103" s="36" t="inlineStr"/>
      <c r="F103" s="27" t="inlineStr"/>
      <c r="G103" s="27" t="inlineStr"/>
      <c r="H103" s="27" t="inlineStr"/>
      <c r="I103" s="36" t="inlineStr"/>
      <c r="J103" s="36" t="inlineStr"/>
      <c r="K103" s="27">
        <f>IF(I103="","",MAX(0,IF(J103&lt;&gt;"",J103-I103,IF(OR(H103="Resolved",H103="Closed"),0,TODAY()-I103))))</f>
        <v/>
      </c>
      <c r="L103" s="27" t="inlineStr"/>
    </row>
    <row r="104">
      <c r="A104" s="27" t="inlineStr"/>
      <c r="B104" s="27" t="inlineStr"/>
      <c r="C104" s="27" t="inlineStr"/>
      <c r="D104" s="27" t="inlineStr"/>
      <c r="E104" s="36" t="inlineStr"/>
      <c r="F104" s="27" t="inlineStr"/>
      <c r="G104" s="27" t="inlineStr"/>
      <c r="H104" s="27" t="inlineStr"/>
      <c r="I104" s="36" t="inlineStr"/>
      <c r="J104" s="36" t="inlineStr"/>
      <c r="K104" s="27">
        <f>IF(I104="","",MAX(0,IF(J104&lt;&gt;"",J104-I104,IF(OR(H104="Resolved",H104="Closed"),0,TODAY()-I104))))</f>
        <v/>
      </c>
      <c r="L104" s="27" t="inlineStr"/>
    </row>
    <row r="105">
      <c r="A105" s="27" t="inlineStr"/>
      <c r="B105" s="27" t="inlineStr"/>
      <c r="C105" s="27" t="inlineStr"/>
      <c r="D105" s="27" t="inlineStr"/>
      <c r="E105" s="36" t="inlineStr"/>
      <c r="F105" s="27" t="inlineStr"/>
      <c r="G105" s="27" t="inlineStr"/>
      <c r="H105" s="27" t="inlineStr"/>
      <c r="I105" s="36" t="inlineStr"/>
      <c r="J105" s="36" t="inlineStr"/>
      <c r="K105" s="27">
        <f>IF(I105="","",MAX(0,IF(J105&lt;&gt;"",J105-I105,IF(OR(H105="Resolved",H105="Closed"),0,TODAY()-I105))))</f>
        <v/>
      </c>
      <c r="L105" s="27" t="inlineStr"/>
    </row>
    <row r="106">
      <c r="A106" s="27" t="inlineStr"/>
      <c r="B106" s="27" t="inlineStr"/>
      <c r="C106" s="27" t="inlineStr"/>
      <c r="D106" s="27" t="inlineStr"/>
      <c r="E106" s="36" t="inlineStr"/>
      <c r="F106" s="27" t="inlineStr"/>
      <c r="G106" s="27" t="inlineStr"/>
      <c r="H106" s="27" t="inlineStr"/>
      <c r="I106" s="36" t="inlineStr"/>
      <c r="J106" s="36" t="inlineStr"/>
      <c r="K106" s="27">
        <f>IF(I106="","",MAX(0,IF(J106&lt;&gt;"",J106-I106,IF(OR(H106="Resolved",H106="Closed"),0,TODAY()-I106))))</f>
        <v/>
      </c>
      <c r="L106" s="27" t="inlineStr"/>
    </row>
    <row r="107">
      <c r="A107" s="27" t="inlineStr"/>
      <c r="B107" s="27" t="inlineStr"/>
      <c r="C107" s="27" t="inlineStr"/>
      <c r="D107" s="27" t="inlineStr"/>
      <c r="E107" s="36" t="inlineStr"/>
      <c r="F107" s="27" t="inlineStr"/>
      <c r="G107" s="27" t="inlineStr"/>
      <c r="H107" s="27" t="inlineStr"/>
      <c r="I107" s="36" t="inlineStr"/>
      <c r="J107" s="36" t="inlineStr"/>
      <c r="K107" s="27">
        <f>IF(I107="","",MAX(0,IF(J107&lt;&gt;"",J107-I107,IF(OR(H107="Resolved",H107="Closed"),0,TODAY()-I107))))</f>
        <v/>
      </c>
      <c r="L107" s="27" t="inlineStr"/>
    </row>
    <row r="108">
      <c r="A108" s="27" t="inlineStr"/>
      <c r="B108" s="27" t="inlineStr"/>
      <c r="C108" s="27" t="inlineStr"/>
      <c r="D108" s="27" t="inlineStr"/>
      <c r="E108" s="36" t="inlineStr"/>
      <c r="F108" s="27" t="inlineStr"/>
      <c r="G108" s="27" t="inlineStr"/>
      <c r="H108" s="27" t="inlineStr"/>
      <c r="I108" s="36" t="inlineStr"/>
      <c r="J108" s="36" t="inlineStr"/>
      <c r="K108" s="27">
        <f>IF(I108="","",MAX(0,IF(J108&lt;&gt;"",J108-I108,IF(OR(H108="Resolved",H108="Closed"),0,TODAY()-I108))))</f>
        <v/>
      </c>
      <c r="L108" s="27" t="inlineStr"/>
    </row>
    <row r="109">
      <c r="A109" s="27" t="inlineStr"/>
      <c r="B109" s="27" t="inlineStr"/>
      <c r="C109" s="27" t="inlineStr"/>
      <c r="D109" s="27" t="inlineStr"/>
      <c r="E109" s="36" t="inlineStr"/>
      <c r="F109" s="27" t="inlineStr"/>
      <c r="G109" s="27" t="inlineStr"/>
      <c r="H109" s="27" t="inlineStr"/>
      <c r="I109" s="36" t="inlineStr"/>
      <c r="J109" s="36" t="inlineStr"/>
      <c r="K109" s="27">
        <f>IF(I109="","",MAX(0,IF(J109&lt;&gt;"",J109-I109,IF(OR(H109="Resolved",H109="Closed"),0,TODAY()-I109))))</f>
        <v/>
      </c>
      <c r="L109" s="27" t="inlineStr"/>
    </row>
    <row r="110">
      <c r="A110" s="27" t="inlineStr"/>
      <c r="B110" s="27" t="inlineStr"/>
      <c r="C110" s="27" t="inlineStr"/>
      <c r="D110" s="27" t="inlineStr"/>
      <c r="E110" s="36" t="inlineStr"/>
      <c r="F110" s="27" t="inlineStr"/>
      <c r="G110" s="27" t="inlineStr"/>
      <c r="H110" s="27" t="inlineStr"/>
      <c r="I110" s="36" t="inlineStr"/>
      <c r="J110" s="36" t="inlineStr"/>
      <c r="K110" s="27">
        <f>IF(I110="","",MAX(0,IF(J110&lt;&gt;"",J110-I110,IF(OR(H110="Resolved",H110="Closed"),0,TODAY()-I110))))</f>
        <v/>
      </c>
      <c r="L110" s="27" t="inlineStr"/>
    </row>
    <row r="111">
      <c r="A111" s="27" t="inlineStr"/>
      <c r="B111" s="27" t="inlineStr"/>
      <c r="C111" s="27" t="inlineStr"/>
      <c r="D111" s="27" t="inlineStr"/>
      <c r="E111" s="36" t="inlineStr"/>
      <c r="F111" s="27" t="inlineStr"/>
      <c r="G111" s="27" t="inlineStr"/>
      <c r="H111" s="27" t="inlineStr"/>
      <c r="I111" s="36" t="inlineStr"/>
      <c r="J111" s="36" t="inlineStr"/>
      <c r="K111" s="27">
        <f>IF(I111="","",MAX(0,IF(J111&lt;&gt;"",J111-I111,IF(OR(H111="Resolved",H111="Closed"),0,TODAY()-I111))))</f>
        <v/>
      </c>
      <c r="L111" s="27" t="inlineStr"/>
    </row>
    <row r="112">
      <c r="A112" s="27" t="inlineStr"/>
      <c r="B112" s="27" t="inlineStr"/>
      <c r="C112" s="27" t="inlineStr"/>
      <c r="D112" s="27" t="inlineStr"/>
      <c r="E112" s="36" t="inlineStr"/>
      <c r="F112" s="27" t="inlineStr"/>
      <c r="G112" s="27" t="inlineStr"/>
      <c r="H112" s="27" t="inlineStr"/>
      <c r="I112" s="36" t="inlineStr"/>
      <c r="J112" s="36" t="inlineStr"/>
      <c r="K112" s="27">
        <f>IF(I112="","",MAX(0,IF(J112&lt;&gt;"",J112-I112,IF(OR(H112="Resolved",H112="Closed"),0,TODAY()-I112))))</f>
        <v/>
      </c>
      <c r="L112" s="27" t="inlineStr"/>
    </row>
    <row r="113">
      <c r="A113" s="27" t="inlineStr"/>
      <c r="B113" s="27" t="inlineStr"/>
      <c r="C113" s="27" t="inlineStr"/>
      <c r="D113" s="27" t="inlineStr"/>
      <c r="E113" s="36" t="inlineStr"/>
      <c r="F113" s="27" t="inlineStr"/>
      <c r="G113" s="27" t="inlineStr"/>
      <c r="H113" s="27" t="inlineStr"/>
      <c r="I113" s="36" t="inlineStr"/>
      <c r="J113" s="36" t="inlineStr"/>
      <c r="K113" s="27">
        <f>IF(I113="","",MAX(0,IF(J113&lt;&gt;"",J113-I113,IF(OR(H113="Resolved",H113="Closed"),0,TODAY()-I113))))</f>
        <v/>
      </c>
      <c r="L113" s="27" t="inlineStr"/>
    </row>
    <row r="114">
      <c r="A114" s="27" t="inlineStr"/>
      <c r="B114" s="27" t="inlineStr"/>
      <c r="C114" s="27" t="inlineStr"/>
      <c r="D114" s="27" t="inlineStr"/>
      <c r="E114" s="36" t="inlineStr"/>
      <c r="F114" s="27" t="inlineStr"/>
      <c r="G114" s="27" t="inlineStr"/>
      <c r="H114" s="27" t="inlineStr"/>
      <c r="I114" s="36" t="inlineStr"/>
      <c r="J114" s="36" t="inlineStr"/>
      <c r="K114" s="27">
        <f>IF(I114="","",MAX(0,IF(J114&lt;&gt;"",J114-I114,IF(OR(H114="Resolved",H114="Closed"),0,TODAY()-I114))))</f>
        <v/>
      </c>
      <c r="L114" s="27" t="inlineStr"/>
    </row>
    <row r="115">
      <c r="A115" s="27" t="inlineStr"/>
      <c r="B115" s="27" t="inlineStr"/>
      <c r="C115" s="27" t="inlineStr"/>
      <c r="D115" s="27" t="inlineStr"/>
      <c r="E115" s="36" t="inlineStr"/>
      <c r="F115" s="27" t="inlineStr"/>
      <c r="G115" s="27" t="inlineStr"/>
      <c r="H115" s="27" t="inlineStr"/>
      <c r="I115" s="36" t="inlineStr"/>
      <c r="J115" s="36" t="inlineStr"/>
      <c r="K115" s="27">
        <f>IF(I115="","",MAX(0,IF(J115&lt;&gt;"",J115-I115,IF(OR(H115="Resolved",H115="Closed"),0,TODAY()-I115))))</f>
        <v/>
      </c>
      <c r="L115" s="27" t="inlineStr"/>
    </row>
    <row r="116">
      <c r="A116" s="27" t="inlineStr"/>
      <c r="B116" s="27" t="inlineStr"/>
      <c r="C116" s="27" t="inlineStr"/>
      <c r="D116" s="27" t="inlineStr"/>
      <c r="E116" s="36" t="inlineStr"/>
      <c r="F116" s="27" t="inlineStr"/>
      <c r="G116" s="27" t="inlineStr"/>
      <c r="H116" s="27" t="inlineStr"/>
      <c r="I116" s="36" t="inlineStr"/>
      <c r="J116" s="36" t="inlineStr"/>
      <c r="K116" s="27">
        <f>IF(I116="","",MAX(0,IF(J116&lt;&gt;"",J116-I116,IF(OR(H116="Resolved",H116="Closed"),0,TODAY()-I116))))</f>
        <v/>
      </c>
      <c r="L116" s="27" t="inlineStr"/>
    </row>
    <row r="117">
      <c r="A117" s="27" t="inlineStr"/>
      <c r="B117" s="27" t="inlineStr"/>
      <c r="C117" s="27" t="inlineStr"/>
      <c r="D117" s="27" t="inlineStr"/>
      <c r="E117" s="36" t="inlineStr"/>
      <c r="F117" s="27" t="inlineStr"/>
      <c r="G117" s="27" t="inlineStr"/>
      <c r="H117" s="27" t="inlineStr"/>
      <c r="I117" s="36" t="inlineStr"/>
      <c r="J117" s="36" t="inlineStr"/>
      <c r="K117" s="27">
        <f>IF(I117="","",MAX(0,IF(J117&lt;&gt;"",J117-I117,IF(OR(H117="Resolved",H117="Closed"),0,TODAY()-I117))))</f>
        <v/>
      </c>
      <c r="L117" s="27" t="inlineStr"/>
    </row>
    <row r="118">
      <c r="A118" s="27" t="inlineStr"/>
      <c r="B118" s="27" t="inlineStr"/>
      <c r="C118" s="27" t="inlineStr"/>
      <c r="D118" s="27" t="inlineStr"/>
      <c r="E118" s="36" t="inlineStr"/>
      <c r="F118" s="27" t="inlineStr"/>
      <c r="G118" s="27" t="inlineStr"/>
      <c r="H118" s="27" t="inlineStr"/>
      <c r="I118" s="36" t="inlineStr"/>
      <c r="J118" s="36" t="inlineStr"/>
      <c r="K118" s="27">
        <f>IF(I118="","",MAX(0,IF(J118&lt;&gt;"",J118-I118,IF(OR(H118="Resolved",H118="Closed"),0,TODAY()-I118))))</f>
        <v/>
      </c>
      <c r="L118" s="27" t="inlineStr"/>
    </row>
    <row r="119">
      <c r="A119" s="27" t="inlineStr"/>
      <c r="B119" s="27" t="inlineStr"/>
      <c r="C119" s="27" t="inlineStr"/>
      <c r="D119" s="27" t="inlineStr"/>
      <c r="E119" s="36" t="inlineStr"/>
      <c r="F119" s="27" t="inlineStr"/>
      <c r="G119" s="27" t="inlineStr"/>
      <c r="H119" s="27" t="inlineStr"/>
      <c r="I119" s="36" t="inlineStr"/>
      <c r="J119" s="36" t="inlineStr"/>
      <c r="K119" s="27">
        <f>IF(I119="","",MAX(0,IF(J119&lt;&gt;"",J119-I119,IF(OR(H119="Resolved",H119="Closed"),0,TODAY()-I119))))</f>
        <v/>
      </c>
      <c r="L119" s="27" t="inlineStr"/>
    </row>
    <row r="120">
      <c r="A120" s="27" t="inlineStr"/>
      <c r="B120" s="27" t="inlineStr"/>
      <c r="C120" s="27" t="inlineStr"/>
      <c r="D120" s="27" t="inlineStr"/>
      <c r="E120" s="36" t="inlineStr"/>
      <c r="F120" s="27" t="inlineStr"/>
      <c r="G120" s="27" t="inlineStr"/>
      <c r="H120" s="27" t="inlineStr"/>
      <c r="I120" s="36" t="inlineStr"/>
      <c r="J120" s="36" t="inlineStr"/>
      <c r="K120" s="27">
        <f>IF(I120="","",MAX(0,IF(J120&lt;&gt;"",J120-I120,IF(OR(H120="Resolved",H120="Closed"),0,TODAY()-I120))))</f>
        <v/>
      </c>
      <c r="L120" s="27" t="inlineStr"/>
    </row>
    <row r="121">
      <c r="A121" s="27" t="inlineStr"/>
      <c r="B121" s="27" t="inlineStr"/>
      <c r="C121" s="27" t="inlineStr"/>
      <c r="D121" s="27" t="inlineStr"/>
      <c r="E121" s="36" t="inlineStr"/>
      <c r="F121" s="27" t="inlineStr"/>
      <c r="G121" s="27" t="inlineStr"/>
      <c r="H121" s="27" t="inlineStr"/>
      <c r="I121" s="36" t="inlineStr"/>
      <c r="J121" s="36" t="inlineStr"/>
      <c r="K121" s="27">
        <f>IF(I121="","",MAX(0,IF(J121&lt;&gt;"",J121-I121,IF(OR(H121="Resolved",H121="Closed"),0,TODAY()-I121))))</f>
        <v/>
      </c>
      <c r="L121" s="27" t="inlineStr"/>
    </row>
    <row r="122">
      <c r="A122" s="27" t="inlineStr"/>
      <c r="B122" s="27" t="inlineStr"/>
      <c r="C122" s="27" t="inlineStr"/>
      <c r="D122" s="27" t="inlineStr"/>
      <c r="E122" s="36" t="inlineStr"/>
      <c r="F122" s="27" t="inlineStr"/>
      <c r="G122" s="27" t="inlineStr"/>
      <c r="H122" s="27" t="inlineStr"/>
      <c r="I122" s="36" t="inlineStr"/>
      <c r="J122" s="36" t="inlineStr"/>
      <c r="K122" s="27">
        <f>IF(I122="","",MAX(0,IF(J122&lt;&gt;"",J122-I122,IF(OR(H122="Resolved",H122="Closed"),0,TODAY()-I122))))</f>
        <v/>
      </c>
      <c r="L122" s="27" t="inlineStr"/>
    </row>
    <row r="123">
      <c r="A123" s="27" t="inlineStr"/>
      <c r="B123" s="27" t="inlineStr"/>
      <c r="C123" s="27" t="inlineStr"/>
      <c r="D123" s="27" t="inlineStr"/>
      <c r="E123" s="36" t="inlineStr"/>
      <c r="F123" s="27" t="inlineStr"/>
      <c r="G123" s="27" t="inlineStr"/>
      <c r="H123" s="27" t="inlineStr"/>
      <c r="I123" s="36" t="inlineStr"/>
      <c r="J123" s="36" t="inlineStr"/>
      <c r="K123" s="27">
        <f>IF(I123="","",MAX(0,IF(J123&lt;&gt;"",J123-I123,IF(OR(H123="Resolved",H123="Closed"),0,TODAY()-I123))))</f>
        <v/>
      </c>
      <c r="L123" s="27" t="inlineStr"/>
    </row>
    <row r="124">
      <c r="A124" s="27" t="inlineStr"/>
      <c r="B124" s="27" t="inlineStr"/>
      <c r="C124" s="27" t="inlineStr"/>
      <c r="D124" s="27" t="inlineStr"/>
      <c r="E124" s="36" t="inlineStr"/>
      <c r="F124" s="27" t="inlineStr"/>
      <c r="G124" s="27" t="inlineStr"/>
      <c r="H124" s="27" t="inlineStr"/>
      <c r="I124" s="36" t="inlineStr"/>
      <c r="J124" s="36" t="inlineStr"/>
      <c r="K124" s="27">
        <f>IF(I124="","",MAX(0,IF(J124&lt;&gt;"",J124-I124,IF(OR(H124="Resolved",H124="Closed"),0,TODAY()-I124))))</f>
        <v/>
      </c>
      <c r="L124" s="27" t="inlineStr"/>
    </row>
    <row r="125">
      <c r="A125" s="27" t="inlineStr"/>
      <c r="B125" s="27" t="inlineStr"/>
      <c r="C125" s="27" t="inlineStr"/>
      <c r="D125" s="27" t="inlineStr"/>
      <c r="E125" s="36" t="inlineStr"/>
      <c r="F125" s="27" t="inlineStr"/>
      <c r="G125" s="27" t="inlineStr"/>
      <c r="H125" s="27" t="inlineStr"/>
      <c r="I125" s="36" t="inlineStr"/>
      <c r="J125" s="36" t="inlineStr"/>
      <c r="K125" s="27">
        <f>IF(I125="","",MAX(0,IF(J125&lt;&gt;"",J125-I125,IF(OR(H125="Resolved",H125="Closed"),0,TODAY()-I125))))</f>
        <v/>
      </c>
      <c r="L125" s="27" t="inlineStr"/>
    </row>
    <row r="126">
      <c r="A126" s="27" t="inlineStr"/>
      <c r="B126" s="27" t="inlineStr"/>
      <c r="C126" s="27" t="inlineStr"/>
      <c r="D126" s="27" t="inlineStr"/>
      <c r="E126" s="36" t="inlineStr"/>
      <c r="F126" s="27" t="inlineStr"/>
      <c r="G126" s="27" t="inlineStr"/>
      <c r="H126" s="27" t="inlineStr"/>
      <c r="I126" s="36" t="inlineStr"/>
      <c r="J126" s="36" t="inlineStr"/>
      <c r="K126" s="27">
        <f>IF(I126="","",MAX(0,IF(J126&lt;&gt;"",J126-I126,IF(OR(H126="Resolved",H126="Closed"),0,TODAY()-I126))))</f>
        <v/>
      </c>
      <c r="L126" s="27" t="inlineStr"/>
    </row>
    <row r="127">
      <c r="A127" s="27" t="inlineStr"/>
      <c r="B127" s="27" t="inlineStr"/>
      <c r="C127" s="27" t="inlineStr"/>
      <c r="D127" s="27" t="inlineStr"/>
      <c r="E127" s="36" t="inlineStr"/>
      <c r="F127" s="27" t="inlineStr"/>
      <c r="G127" s="27" t="inlineStr"/>
      <c r="H127" s="27" t="inlineStr"/>
      <c r="I127" s="36" t="inlineStr"/>
      <c r="J127" s="36" t="inlineStr"/>
      <c r="K127" s="27">
        <f>IF(I127="","",MAX(0,IF(J127&lt;&gt;"",J127-I127,IF(OR(H127="Resolved",H127="Closed"),0,TODAY()-I127))))</f>
        <v/>
      </c>
      <c r="L127" s="27" t="inlineStr"/>
    </row>
    <row r="128">
      <c r="A128" s="27" t="inlineStr"/>
      <c r="B128" s="27" t="inlineStr"/>
      <c r="C128" s="27" t="inlineStr"/>
      <c r="D128" s="27" t="inlineStr"/>
      <c r="E128" s="36" t="inlineStr"/>
      <c r="F128" s="27" t="inlineStr"/>
      <c r="G128" s="27" t="inlineStr"/>
      <c r="H128" s="27" t="inlineStr"/>
      <c r="I128" s="36" t="inlineStr"/>
      <c r="J128" s="36" t="inlineStr"/>
      <c r="K128" s="27">
        <f>IF(I128="","",MAX(0,IF(J128&lt;&gt;"",J128-I128,IF(OR(H128="Resolved",H128="Closed"),0,TODAY()-I128))))</f>
        <v/>
      </c>
      <c r="L128" s="27" t="inlineStr"/>
    </row>
    <row r="129">
      <c r="A129" s="27" t="inlineStr"/>
      <c r="B129" s="27" t="inlineStr"/>
      <c r="C129" s="27" t="inlineStr"/>
      <c r="D129" s="27" t="inlineStr"/>
      <c r="E129" s="36" t="inlineStr"/>
      <c r="F129" s="27" t="inlineStr"/>
      <c r="G129" s="27" t="inlineStr"/>
      <c r="H129" s="27" t="inlineStr"/>
      <c r="I129" s="36" t="inlineStr"/>
      <c r="J129" s="36" t="inlineStr"/>
      <c r="K129" s="27">
        <f>IF(I129="","",MAX(0,IF(J129&lt;&gt;"",J129-I129,IF(OR(H129="Resolved",H129="Closed"),0,TODAY()-I129))))</f>
        <v/>
      </c>
      <c r="L129" s="27" t="inlineStr"/>
    </row>
    <row r="130">
      <c r="A130" s="27" t="inlineStr"/>
      <c r="B130" s="27" t="inlineStr"/>
      <c r="C130" s="27" t="inlineStr"/>
      <c r="D130" s="27" t="inlineStr"/>
      <c r="E130" s="36" t="inlineStr"/>
      <c r="F130" s="27" t="inlineStr"/>
      <c r="G130" s="27" t="inlineStr"/>
      <c r="H130" s="27" t="inlineStr"/>
      <c r="I130" s="36" t="inlineStr"/>
      <c r="J130" s="36" t="inlineStr"/>
      <c r="K130" s="27">
        <f>IF(I130="","",MAX(0,IF(J130&lt;&gt;"",J130-I130,IF(OR(H130="Resolved",H130="Closed"),0,TODAY()-I130))))</f>
        <v/>
      </c>
      <c r="L130" s="27" t="inlineStr"/>
    </row>
    <row r="131">
      <c r="A131" s="27" t="inlineStr"/>
      <c r="B131" s="27" t="inlineStr"/>
      <c r="C131" s="27" t="inlineStr"/>
      <c r="D131" s="27" t="inlineStr"/>
      <c r="E131" s="36" t="inlineStr"/>
      <c r="F131" s="27" t="inlineStr"/>
      <c r="G131" s="27" t="inlineStr"/>
      <c r="H131" s="27" t="inlineStr"/>
      <c r="I131" s="36" t="inlineStr"/>
      <c r="J131" s="36" t="inlineStr"/>
      <c r="K131" s="27">
        <f>IF(I131="","",MAX(0,IF(J131&lt;&gt;"",J131-I131,IF(OR(H131="Resolved",H131="Closed"),0,TODAY()-I131))))</f>
        <v/>
      </c>
      <c r="L131" s="27" t="inlineStr"/>
    </row>
    <row r="132">
      <c r="A132" s="27" t="inlineStr"/>
      <c r="B132" s="27" t="inlineStr"/>
      <c r="C132" s="27" t="inlineStr"/>
      <c r="D132" s="27" t="inlineStr"/>
      <c r="E132" s="36" t="inlineStr"/>
      <c r="F132" s="27" t="inlineStr"/>
      <c r="G132" s="27" t="inlineStr"/>
      <c r="H132" s="27" t="inlineStr"/>
      <c r="I132" s="36" t="inlineStr"/>
      <c r="J132" s="36" t="inlineStr"/>
      <c r="K132" s="27">
        <f>IF(I132="","",MAX(0,IF(J132&lt;&gt;"",J132-I132,IF(OR(H132="Resolved",H132="Closed"),0,TODAY()-I132))))</f>
        <v/>
      </c>
      <c r="L132" s="27" t="inlineStr"/>
    </row>
    <row r="133">
      <c r="A133" s="27" t="inlineStr"/>
      <c r="B133" s="27" t="inlineStr"/>
      <c r="C133" s="27" t="inlineStr"/>
      <c r="D133" s="27" t="inlineStr"/>
      <c r="E133" s="36" t="inlineStr"/>
      <c r="F133" s="27" t="inlineStr"/>
      <c r="G133" s="27" t="inlineStr"/>
      <c r="H133" s="27" t="inlineStr"/>
      <c r="I133" s="36" t="inlineStr"/>
      <c r="J133" s="36" t="inlineStr"/>
      <c r="K133" s="27">
        <f>IF(I133="","",MAX(0,IF(J133&lt;&gt;"",J133-I133,IF(OR(H133="Resolved",H133="Closed"),0,TODAY()-I133))))</f>
        <v/>
      </c>
      <c r="L133" s="27" t="inlineStr"/>
    </row>
    <row r="134">
      <c r="A134" s="27" t="inlineStr"/>
      <c r="B134" s="27" t="inlineStr"/>
      <c r="C134" s="27" t="inlineStr"/>
      <c r="D134" s="27" t="inlineStr"/>
      <c r="E134" s="36" t="inlineStr"/>
      <c r="F134" s="27" t="inlineStr"/>
      <c r="G134" s="27" t="inlineStr"/>
      <c r="H134" s="27" t="inlineStr"/>
      <c r="I134" s="36" t="inlineStr"/>
      <c r="J134" s="36" t="inlineStr"/>
      <c r="K134" s="27">
        <f>IF(I134="","",MAX(0,IF(J134&lt;&gt;"",J134-I134,IF(OR(H134="Resolved",H134="Closed"),0,TODAY()-I134))))</f>
        <v/>
      </c>
      <c r="L134" s="27" t="inlineStr"/>
    </row>
    <row r="135">
      <c r="A135" s="27" t="inlineStr"/>
      <c r="B135" s="27" t="inlineStr"/>
      <c r="C135" s="27" t="inlineStr"/>
      <c r="D135" s="27" t="inlineStr"/>
      <c r="E135" s="36" t="inlineStr"/>
      <c r="F135" s="27" t="inlineStr"/>
      <c r="G135" s="27" t="inlineStr"/>
      <c r="H135" s="27" t="inlineStr"/>
      <c r="I135" s="36" t="inlineStr"/>
      <c r="J135" s="36" t="inlineStr"/>
      <c r="K135" s="27">
        <f>IF(I135="","",MAX(0,IF(J135&lt;&gt;"",J135-I135,IF(OR(H135="Resolved",H135="Closed"),0,TODAY()-I135))))</f>
        <v/>
      </c>
      <c r="L135" s="27" t="inlineStr"/>
    </row>
    <row r="136">
      <c r="A136" s="27" t="inlineStr"/>
      <c r="B136" s="27" t="inlineStr"/>
      <c r="C136" s="27" t="inlineStr"/>
      <c r="D136" s="27" t="inlineStr"/>
      <c r="E136" s="36" t="inlineStr"/>
      <c r="F136" s="27" t="inlineStr"/>
      <c r="G136" s="27" t="inlineStr"/>
      <c r="H136" s="27" t="inlineStr"/>
      <c r="I136" s="36" t="inlineStr"/>
      <c r="J136" s="36" t="inlineStr"/>
      <c r="K136" s="27">
        <f>IF(I136="","",MAX(0,IF(J136&lt;&gt;"",J136-I136,IF(OR(H136="Resolved",H136="Closed"),0,TODAY()-I136))))</f>
        <v/>
      </c>
      <c r="L136" s="27" t="inlineStr"/>
    </row>
    <row r="137">
      <c r="A137" s="27" t="inlineStr"/>
      <c r="B137" s="27" t="inlineStr"/>
      <c r="C137" s="27" t="inlineStr"/>
      <c r="D137" s="27" t="inlineStr"/>
      <c r="E137" s="36" t="inlineStr"/>
      <c r="F137" s="27" t="inlineStr"/>
      <c r="G137" s="27" t="inlineStr"/>
      <c r="H137" s="27" t="inlineStr"/>
      <c r="I137" s="36" t="inlineStr"/>
      <c r="J137" s="36" t="inlineStr"/>
      <c r="K137" s="27">
        <f>IF(I137="","",MAX(0,IF(J137&lt;&gt;"",J137-I137,IF(OR(H137="Resolved",H137="Closed"),0,TODAY()-I137))))</f>
        <v/>
      </c>
      <c r="L137" s="27" t="inlineStr"/>
    </row>
    <row r="138">
      <c r="A138" s="27" t="inlineStr"/>
      <c r="B138" s="27" t="inlineStr"/>
      <c r="C138" s="27" t="inlineStr"/>
      <c r="D138" s="27" t="inlineStr"/>
      <c r="E138" s="36" t="inlineStr"/>
      <c r="F138" s="27" t="inlineStr"/>
      <c r="G138" s="27" t="inlineStr"/>
      <c r="H138" s="27" t="inlineStr"/>
      <c r="I138" s="36" t="inlineStr"/>
      <c r="J138" s="36" t="inlineStr"/>
      <c r="K138" s="27">
        <f>IF(I138="","",MAX(0,IF(J138&lt;&gt;"",J138-I138,IF(OR(H138="Resolved",H138="Closed"),0,TODAY()-I138))))</f>
        <v/>
      </c>
      <c r="L138" s="27" t="inlineStr"/>
    </row>
    <row r="139">
      <c r="A139" s="27" t="inlineStr"/>
      <c r="B139" s="27" t="inlineStr"/>
      <c r="C139" s="27" t="inlineStr"/>
      <c r="D139" s="27" t="inlineStr"/>
      <c r="E139" s="36" t="inlineStr"/>
      <c r="F139" s="27" t="inlineStr"/>
      <c r="G139" s="27" t="inlineStr"/>
      <c r="H139" s="27" t="inlineStr"/>
      <c r="I139" s="36" t="inlineStr"/>
      <c r="J139" s="36" t="inlineStr"/>
      <c r="K139" s="27">
        <f>IF(I139="","",MAX(0,IF(J139&lt;&gt;"",J139-I139,IF(OR(H139="Resolved",H139="Closed"),0,TODAY()-I139))))</f>
        <v/>
      </c>
      <c r="L139" s="27" t="inlineStr"/>
    </row>
    <row r="140">
      <c r="A140" s="27" t="inlineStr"/>
      <c r="B140" s="27" t="inlineStr"/>
      <c r="C140" s="27" t="inlineStr"/>
      <c r="D140" s="27" t="inlineStr"/>
      <c r="E140" s="36" t="inlineStr"/>
      <c r="F140" s="27" t="inlineStr"/>
      <c r="G140" s="27" t="inlineStr"/>
      <c r="H140" s="27" t="inlineStr"/>
      <c r="I140" s="36" t="inlineStr"/>
      <c r="J140" s="36" t="inlineStr"/>
      <c r="K140" s="27">
        <f>IF(I140="","",MAX(0,IF(J140&lt;&gt;"",J140-I140,IF(OR(H140="Resolved",H140="Closed"),0,TODAY()-I140))))</f>
        <v/>
      </c>
      <c r="L140" s="27" t="inlineStr"/>
    </row>
    <row r="141">
      <c r="A141" s="27" t="inlineStr"/>
      <c r="B141" s="27" t="inlineStr"/>
      <c r="C141" s="27" t="inlineStr"/>
      <c r="D141" s="27" t="inlineStr"/>
      <c r="E141" s="36" t="inlineStr"/>
      <c r="F141" s="27" t="inlineStr"/>
      <c r="G141" s="27" t="inlineStr"/>
      <c r="H141" s="27" t="inlineStr"/>
      <c r="I141" s="36" t="inlineStr"/>
      <c r="J141" s="36" t="inlineStr"/>
      <c r="K141" s="27">
        <f>IF(I141="","",MAX(0,IF(J141&lt;&gt;"",J141-I141,IF(OR(H141="Resolved",H141="Closed"),0,TODAY()-I141))))</f>
        <v/>
      </c>
      <c r="L141" s="27" t="inlineStr"/>
    </row>
    <row r="142">
      <c r="A142" s="27" t="inlineStr"/>
      <c r="B142" s="27" t="inlineStr"/>
      <c r="C142" s="27" t="inlineStr"/>
      <c r="D142" s="27" t="inlineStr"/>
      <c r="E142" s="36" t="inlineStr"/>
      <c r="F142" s="27" t="inlineStr"/>
      <c r="G142" s="27" t="inlineStr"/>
      <c r="H142" s="27" t="inlineStr"/>
      <c r="I142" s="36" t="inlineStr"/>
      <c r="J142" s="36" t="inlineStr"/>
      <c r="K142" s="27">
        <f>IF(I142="","",MAX(0,IF(J142&lt;&gt;"",J142-I142,IF(OR(H142="Resolved",H142="Closed"),0,TODAY()-I142))))</f>
        <v/>
      </c>
      <c r="L142" s="27" t="inlineStr"/>
    </row>
    <row r="143">
      <c r="A143" s="27" t="inlineStr"/>
      <c r="B143" s="27" t="inlineStr"/>
      <c r="C143" s="27" t="inlineStr"/>
      <c r="D143" s="27" t="inlineStr"/>
      <c r="E143" s="36" t="inlineStr"/>
      <c r="F143" s="27" t="inlineStr"/>
      <c r="G143" s="27" t="inlineStr"/>
      <c r="H143" s="27" t="inlineStr"/>
      <c r="I143" s="36" t="inlineStr"/>
      <c r="J143" s="36" t="inlineStr"/>
      <c r="K143" s="27">
        <f>IF(I143="","",MAX(0,IF(J143&lt;&gt;"",J143-I143,IF(OR(H143="Resolved",H143="Closed"),0,TODAY()-I143))))</f>
        <v/>
      </c>
      <c r="L143" s="27" t="inlineStr"/>
    </row>
    <row r="144">
      <c r="A144" s="27" t="inlineStr"/>
      <c r="B144" s="27" t="inlineStr"/>
      <c r="C144" s="27" t="inlineStr"/>
      <c r="D144" s="27" t="inlineStr"/>
      <c r="E144" s="36" t="inlineStr"/>
      <c r="F144" s="27" t="inlineStr"/>
      <c r="G144" s="27" t="inlineStr"/>
      <c r="H144" s="27" t="inlineStr"/>
      <c r="I144" s="36" t="inlineStr"/>
      <c r="J144" s="36" t="inlineStr"/>
      <c r="K144" s="27">
        <f>IF(I144="","",MAX(0,IF(J144&lt;&gt;"",J144-I144,IF(OR(H144="Resolved",H144="Closed"),0,TODAY()-I144))))</f>
        <v/>
      </c>
      <c r="L144" s="27" t="inlineStr"/>
    </row>
    <row r="145">
      <c r="A145" s="27" t="inlineStr"/>
      <c r="B145" s="27" t="inlineStr"/>
      <c r="C145" s="27" t="inlineStr"/>
      <c r="D145" s="27" t="inlineStr"/>
      <c r="E145" s="36" t="inlineStr"/>
      <c r="F145" s="27" t="inlineStr"/>
      <c r="G145" s="27" t="inlineStr"/>
      <c r="H145" s="27" t="inlineStr"/>
      <c r="I145" s="36" t="inlineStr"/>
      <c r="J145" s="36" t="inlineStr"/>
      <c r="K145" s="27">
        <f>IF(I145="","",MAX(0,IF(J145&lt;&gt;"",J145-I145,IF(OR(H145="Resolved",H145="Closed"),0,TODAY()-I145))))</f>
        <v/>
      </c>
      <c r="L145" s="27" t="inlineStr"/>
    </row>
    <row r="146">
      <c r="A146" s="27" t="inlineStr"/>
      <c r="B146" s="27" t="inlineStr"/>
      <c r="C146" s="27" t="inlineStr"/>
      <c r="D146" s="27" t="inlineStr"/>
      <c r="E146" s="36" t="inlineStr"/>
      <c r="F146" s="27" t="inlineStr"/>
      <c r="G146" s="27" t="inlineStr"/>
      <c r="H146" s="27" t="inlineStr"/>
      <c r="I146" s="36" t="inlineStr"/>
      <c r="J146" s="36" t="inlineStr"/>
      <c r="K146" s="27">
        <f>IF(I146="","",MAX(0,IF(J146&lt;&gt;"",J146-I146,IF(OR(H146="Resolved",H146="Closed"),0,TODAY()-I146))))</f>
        <v/>
      </c>
      <c r="L146" s="27" t="inlineStr"/>
    </row>
    <row r="147">
      <c r="A147" s="27" t="inlineStr"/>
      <c r="B147" s="27" t="inlineStr"/>
      <c r="C147" s="27" t="inlineStr"/>
      <c r="D147" s="27" t="inlineStr"/>
      <c r="E147" s="36" t="inlineStr"/>
      <c r="F147" s="27" t="inlineStr"/>
      <c r="G147" s="27" t="inlineStr"/>
      <c r="H147" s="27" t="inlineStr"/>
      <c r="I147" s="36" t="inlineStr"/>
      <c r="J147" s="36" t="inlineStr"/>
      <c r="K147" s="27">
        <f>IF(I147="","",MAX(0,IF(J147&lt;&gt;"",J147-I147,IF(OR(H147="Resolved",H147="Closed"),0,TODAY()-I147))))</f>
        <v/>
      </c>
      <c r="L147" s="27" t="inlineStr"/>
    </row>
    <row r="148">
      <c r="A148" s="27" t="inlineStr"/>
      <c r="B148" s="27" t="inlineStr"/>
      <c r="C148" s="27" t="inlineStr"/>
      <c r="D148" s="27" t="inlineStr"/>
      <c r="E148" s="36" t="inlineStr"/>
      <c r="F148" s="27" t="inlineStr"/>
      <c r="G148" s="27" t="inlineStr"/>
      <c r="H148" s="27" t="inlineStr"/>
      <c r="I148" s="36" t="inlineStr"/>
      <c r="J148" s="36" t="inlineStr"/>
      <c r="K148" s="27">
        <f>IF(I148="","",MAX(0,IF(J148&lt;&gt;"",J148-I148,IF(OR(H148="Resolved",H148="Closed"),0,TODAY()-I148))))</f>
        <v/>
      </c>
      <c r="L148" s="27" t="inlineStr"/>
    </row>
    <row r="149">
      <c r="A149" s="27" t="inlineStr"/>
      <c r="B149" s="27" t="inlineStr"/>
      <c r="C149" s="27" t="inlineStr"/>
      <c r="D149" s="27" t="inlineStr"/>
      <c r="E149" s="36" t="inlineStr"/>
      <c r="F149" s="27" t="inlineStr"/>
      <c r="G149" s="27" t="inlineStr"/>
      <c r="H149" s="27" t="inlineStr"/>
      <c r="I149" s="36" t="inlineStr"/>
      <c r="J149" s="36" t="inlineStr"/>
      <c r="K149" s="27">
        <f>IF(I149="","",MAX(0,IF(J149&lt;&gt;"",J149-I149,IF(OR(H149="Resolved",H149="Closed"),0,TODAY()-I149))))</f>
        <v/>
      </c>
      <c r="L149" s="27" t="inlineStr"/>
    </row>
    <row r="150">
      <c r="A150" s="27" t="inlineStr"/>
      <c r="B150" s="27" t="inlineStr"/>
      <c r="C150" s="27" t="inlineStr"/>
      <c r="D150" s="27" t="inlineStr"/>
      <c r="E150" s="36" t="inlineStr"/>
      <c r="F150" s="27" t="inlineStr"/>
      <c r="G150" s="27" t="inlineStr"/>
      <c r="H150" s="27" t="inlineStr"/>
      <c r="I150" s="36" t="inlineStr"/>
      <c r="J150" s="36" t="inlineStr"/>
      <c r="K150" s="27">
        <f>IF(I150="","",MAX(0,IF(J150&lt;&gt;"",J150-I150,IF(OR(H150="Resolved",H150="Closed"),0,TODAY()-I150))))</f>
        <v/>
      </c>
      <c r="L150" s="27" t="inlineStr"/>
    </row>
    <row r="151">
      <c r="A151" s="27" t="inlineStr"/>
      <c r="B151" s="27" t="inlineStr"/>
      <c r="C151" s="27" t="inlineStr"/>
      <c r="D151" s="27" t="inlineStr"/>
      <c r="E151" s="36" t="inlineStr"/>
      <c r="F151" s="27" t="inlineStr"/>
      <c r="G151" s="27" t="inlineStr"/>
      <c r="H151" s="27" t="inlineStr"/>
      <c r="I151" s="36" t="inlineStr"/>
      <c r="J151" s="36" t="inlineStr"/>
      <c r="K151" s="27">
        <f>IF(I151="","",MAX(0,IF(J151&lt;&gt;"",J151-I151,IF(OR(H151="Resolved",H151="Closed"),0,TODAY()-I151))))</f>
        <v/>
      </c>
      <c r="L151" s="27" t="inlineStr"/>
    </row>
    <row r="152">
      <c r="A152" s="27" t="inlineStr"/>
      <c r="B152" s="27" t="inlineStr"/>
      <c r="C152" s="27" t="inlineStr"/>
      <c r="D152" s="27" t="inlineStr"/>
      <c r="E152" s="36" t="inlineStr"/>
      <c r="F152" s="27" t="inlineStr"/>
      <c r="G152" s="27" t="inlineStr"/>
      <c r="H152" s="27" t="inlineStr"/>
      <c r="I152" s="36" t="inlineStr"/>
      <c r="J152" s="36" t="inlineStr"/>
      <c r="K152" s="27">
        <f>IF(I152="","",MAX(0,IF(J152&lt;&gt;"",J152-I152,IF(OR(H152="Resolved",H152="Closed"),0,TODAY()-I152))))</f>
        <v/>
      </c>
      <c r="L152" s="27" t="inlineStr"/>
    </row>
    <row r="153">
      <c r="A153" s="27" t="inlineStr"/>
      <c r="B153" s="27" t="inlineStr"/>
      <c r="C153" s="27" t="inlineStr"/>
      <c r="D153" s="27" t="inlineStr"/>
      <c r="E153" s="36" t="inlineStr"/>
      <c r="F153" s="27" t="inlineStr"/>
      <c r="G153" s="27" t="inlineStr"/>
      <c r="H153" s="27" t="inlineStr"/>
      <c r="I153" s="36" t="inlineStr"/>
      <c r="J153" s="36" t="inlineStr"/>
      <c r="K153" s="27">
        <f>IF(I153="","",MAX(0,IF(J153&lt;&gt;"",J153-I153,IF(OR(H153="Resolved",H153="Closed"),0,TODAY()-I153))))</f>
        <v/>
      </c>
      <c r="L153" s="27" t="inlineStr"/>
    </row>
    <row r="154">
      <c r="A154" s="27" t="inlineStr"/>
      <c r="B154" s="27" t="inlineStr"/>
      <c r="C154" s="27" t="inlineStr"/>
      <c r="D154" s="27" t="inlineStr"/>
      <c r="E154" s="36" t="inlineStr"/>
      <c r="F154" s="27" t="inlineStr"/>
      <c r="G154" s="27" t="inlineStr"/>
      <c r="H154" s="27" t="inlineStr"/>
      <c r="I154" s="36" t="inlineStr"/>
      <c r="J154" s="36" t="inlineStr"/>
      <c r="K154" s="27">
        <f>IF(I154="","",MAX(0,IF(J154&lt;&gt;"",J154-I154,IF(OR(H154="Resolved",H154="Closed"),0,TODAY()-I154))))</f>
        <v/>
      </c>
      <c r="L154" s="27" t="inlineStr"/>
    </row>
    <row r="155">
      <c r="A155" s="27" t="inlineStr"/>
      <c r="B155" s="27" t="inlineStr"/>
      <c r="C155" s="27" t="inlineStr"/>
      <c r="D155" s="27" t="inlineStr"/>
      <c r="E155" s="36" t="inlineStr"/>
      <c r="F155" s="27" t="inlineStr"/>
      <c r="G155" s="27" t="inlineStr"/>
      <c r="H155" s="27" t="inlineStr"/>
      <c r="I155" s="36" t="inlineStr"/>
      <c r="J155" s="36" t="inlineStr"/>
      <c r="K155" s="27">
        <f>IF(I155="","",MAX(0,IF(J155&lt;&gt;"",J155-I155,IF(OR(H155="Resolved",H155="Closed"),0,TODAY()-I155))))</f>
        <v/>
      </c>
      <c r="L155" s="27" t="inlineStr"/>
    </row>
    <row r="156">
      <c r="A156" s="27" t="inlineStr"/>
      <c r="B156" s="27" t="inlineStr"/>
      <c r="C156" s="27" t="inlineStr"/>
      <c r="D156" s="27" t="inlineStr"/>
      <c r="E156" s="36" t="inlineStr"/>
      <c r="F156" s="27" t="inlineStr"/>
      <c r="G156" s="27" t="inlineStr"/>
      <c r="H156" s="27" t="inlineStr"/>
      <c r="I156" s="36" t="inlineStr"/>
      <c r="J156" s="36" t="inlineStr"/>
      <c r="K156" s="27">
        <f>IF(I156="","",MAX(0,IF(J156&lt;&gt;"",J156-I156,IF(OR(H156="Resolved",H156="Closed"),0,TODAY()-I156))))</f>
        <v/>
      </c>
      <c r="L156" s="27" t="inlineStr"/>
    </row>
    <row r="157">
      <c r="A157" s="27" t="inlineStr"/>
      <c r="B157" s="27" t="inlineStr"/>
      <c r="C157" s="27" t="inlineStr"/>
      <c r="D157" s="27" t="inlineStr"/>
      <c r="E157" s="36" t="inlineStr"/>
      <c r="F157" s="27" t="inlineStr"/>
      <c r="G157" s="27" t="inlineStr"/>
      <c r="H157" s="27" t="inlineStr"/>
      <c r="I157" s="36" t="inlineStr"/>
      <c r="J157" s="36" t="inlineStr"/>
      <c r="K157" s="27">
        <f>IF(I157="","",MAX(0,IF(J157&lt;&gt;"",J157-I157,IF(OR(H157="Resolved",H157="Closed"),0,TODAY()-I157))))</f>
        <v/>
      </c>
      <c r="L157" s="27" t="inlineStr"/>
    </row>
    <row r="158">
      <c r="A158" s="27" t="inlineStr"/>
      <c r="B158" s="27" t="inlineStr"/>
      <c r="C158" s="27" t="inlineStr"/>
      <c r="D158" s="27" t="inlineStr"/>
      <c r="E158" s="36" t="inlineStr"/>
      <c r="F158" s="27" t="inlineStr"/>
      <c r="G158" s="27" t="inlineStr"/>
      <c r="H158" s="27" t="inlineStr"/>
      <c r="I158" s="36" t="inlineStr"/>
      <c r="J158" s="36" t="inlineStr"/>
      <c r="K158" s="27">
        <f>IF(I158="","",MAX(0,IF(J158&lt;&gt;"",J158-I158,IF(OR(H158="Resolved",H158="Closed"),0,TODAY()-I158))))</f>
        <v/>
      </c>
      <c r="L158" s="27" t="inlineStr"/>
    </row>
    <row r="159">
      <c r="A159" s="27" t="inlineStr"/>
      <c r="B159" s="27" t="inlineStr"/>
      <c r="C159" s="27" t="inlineStr"/>
      <c r="D159" s="27" t="inlineStr"/>
      <c r="E159" s="36" t="inlineStr"/>
      <c r="F159" s="27" t="inlineStr"/>
      <c r="G159" s="27" t="inlineStr"/>
      <c r="H159" s="27" t="inlineStr"/>
      <c r="I159" s="36" t="inlineStr"/>
      <c r="J159" s="36" t="inlineStr"/>
      <c r="K159" s="27">
        <f>IF(I159="","",MAX(0,IF(J159&lt;&gt;"",J159-I159,IF(OR(H159="Resolved",H159="Closed"),0,TODAY()-I159))))</f>
        <v/>
      </c>
      <c r="L159" s="27" t="inlineStr"/>
    </row>
    <row r="160">
      <c r="A160" s="27" t="inlineStr"/>
      <c r="B160" s="27" t="inlineStr"/>
      <c r="C160" s="27" t="inlineStr"/>
      <c r="D160" s="27" t="inlineStr"/>
      <c r="E160" s="36" t="inlineStr"/>
      <c r="F160" s="27" t="inlineStr"/>
      <c r="G160" s="27" t="inlineStr"/>
      <c r="H160" s="27" t="inlineStr"/>
      <c r="I160" s="36" t="inlineStr"/>
      <c r="J160" s="36" t="inlineStr"/>
      <c r="K160" s="27">
        <f>IF(I160="","",MAX(0,IF(J160&lt;&gt;"",J160-I160,IF(OR(H160="Resolved",H160="Closed"),0,TODAY()-I160))))</f>
        <v/>
      </c>
      <c r="L160" s="27" t="inlineStr"/>
    </row>
    <row r="161">
      <c r="A161" s="27" t="inlineStr"/>
      <c r="B161" s="27" t="inlineStr"/>
      <c r="C161" s="27" t="inlineStr"/>
      <c r="D161" s="27" t="inlineStr"/>
      <c r="E161" s="36" t="inlineStr"/>
      <c r="F161" s="27" t="inlineStr"/>
      <c r="G161" s="27" t="inlineStr"/>
      <c r="H161" s="27" t="inlineStr"/>
      <c r="I161" s="36" t="inlineStr"/>
      <c r="J161" s="36" t="inlineStr"/>
      <c r="K161" s="27">
        <f>IF(I161="","",MAX(0,IF(J161&lt;&gt;"",J161-I161,IF(OR(H161="Resolved",H161="Closed"),0,TODAY()-I161))))</f>
        <v/>
      </c>
      <c r="L161" s="27" t="inlineStr"/>
    </row>
    <row r="162">
      <c r="A162" s="27" t="inlineStr"/>
      <c r="B162" s="27" t="inlineStr"/>
      <c r="C162" s="27" t="inlineStr"/>
      <c r="D162" s="27" t="inlineStr"/>
      <c r="E162" s="36" t="inlineStr"/>
      <c r="F162" s="27" t="inlineStr"/>
      <c r="G162" s="27" t="inlineStr"/>
      <c r="H162" s="27" t="inlineStr"/>
      <c r="I162" s="36" t="inlineStr"/>
      <c r="J162" s="36" t="inlineStr"/>
      <c r="K162" s="27">
        <f>IF(I162="","",MAX(0,IF(J162&lt;&gt;"",J162-I162,IF(OR(H162="Resolved",H162="Closed"),0,TODAY()-I162))))</f>
        <v/>
      </c>
      <c r="L162" s="27" t="inlineStr"/>
    </row>
    <row r="163">
      <c r="A163" s="27" t="inlineStr"/>
      <c r="B163" s="27" t="inlineStr"/>
      <c r="C163" s="27" t="inlineStr"/>
      <c r="D163" s="27" t="inlineStr"/>
      <c r="E163" s="36" t="inlineStr"/>
      <c r="F163" s="27" t="inlineStr"/>
      <c r="G163" s="27" t="inlineStr"/>
      <c r="H163" s="27" t="inlineStr"/>
      <c r="I163" s="36" t="inlineStr"/>
      <c r="J163" s="36" t="inlineStr"/>
      <c r="K163" s="27">
        <f>IF(I163="","",MAX(0,IF(J163&lt;&gt;"",J163-I163,IF(OR(H163="Resolved",H163="Closed"),0,TODAY()-I163))))</f>
        <v/>
      </c>
      <c r="L163" s="27" t="inlineStr"/>
    </row>
    <row r="164">
      <c r="A164" s="27" t="inlineStr"/>
      <c r="B164" s="27" t="inlineStr"/>
      <c r="C164" s="27" t="inlineStr"/>
      <c r="D164" s="27" t="inlineStr"/>
      <c r="E164" s="36" t="inlineStr"/>
      <c r="F164" s="27" t="inlineStr"/>
      <c r="G164" s="27" t="inlineStr"/>
      <c r="H164" s="27" t="inlineStr"/>
      <c r="I164" s="36" t="inlineStr"/>
      <c r="J164" s="36" t="inlineStr"/>
      <c r="K164" s="27">
        <f>IF(I164="","",MAX(0,IF(J164&lt;&gt;"",J164-I164,IF(OR(H164="Resolved",H164="Closed"),0,TODAY()-I164))))</f>
        <v/>
      </c>
      <c r="L164" s="27" t="inlineStr"/>
    </row>
    <row r="165">
      <c r="A165" s="27" t="inlineStr"/>
      <c r="B165" s="27" t="inlineStr"/>
      <c r="C165" s="27" t="inlineStr"/>
      <c r="D165" s="27" t="inlineStr"/>
      <c r="E165" s="36" t="inlineStr"/>
      <c r="F165" s="27" t="inlineStr"/>
      <c r="G165" s="27" t="inlineStr"/>
      <c r="H165" s="27" t="inlineStr"/>
      <c r="I165" s="36" t="inlineStr"/>
      <c r="J165" s="36" t="inlineStr"/>
      <c r="K165" s="27">
        <f>IF(I165="","",MAX(0,IF(J165&lt;&gt;"",J165-I165,IF(OR(H165="Resolved",H165="Closed"),0,TODAY()-I165))))</f>
        <v/>
      </c>
      <c r="L165" s="27" t="inlineStr"/>
    </row>
    <row r="166">
      <c r="A166" s="27" t="inlineStr"/>
      <c r="B166" s="27" t="inlineStr"/>
      <c r="C166" s="27" t="inlineStr"/>
      <c r="D166" s="27" t="inlineStr"/>
      <c r="E166" s="36" t="inlineStr"/>
      <c r="F166" s="27" t="inlineStr"/>
      <c r="G166" s="27" t="inlineStr"/>
      <c r="H166" s="27" t="inlineStr"/>
      <c r="I166" s="36" t="inlineStr"/>
      <c r="J166" s="36" t="inlineStr"/>
      <c r="K166" s="27">
        <f>IF(I166="","",MAX(0,IF(J166&lt;&gt;"",J166-I166,IF(OR(H166="Resolved",H166="Closed"),0,TODAY()-I166))))</f>
        <v/>
      </c>
      <c r="L166" s="27" t="inlineStr"/>
    </row>
    <row r="167">
      <c r="A167" s="27" t="inlineStr"/>
      <c r="B167" s="27" t="inlineStr"/>
      <c r="C167" s="27" t="inlineStr"/>
      <c r="D167" s="27" t="inlineStr"/>
      <c r="E167" s="36" t="inlineStr"/>
      <c r="F167" s="27" t="inlineStr"/>
      <c r="G167" s="27" t="inlineStr"/>
      <c r="H167" s="27" t="inlineStr"/>
      <c r="I167" s="36" t="inlineStr"/>
      <c r="J167" s="36" t="inlineStr"/>
      <c r="K167" s="27">
        <f>IF(I167="","",MAX(0,IF(J167&lt;&gt;"",J167-I167,IF(OR(H167="Resolved",H167="Closed"),0,TODAY()-I167))))</f>
        <v/>
      </c>
      <c r="L167" s="27" t="inlineStr"/>
    </row>
    <row r="168">
      <c r="A168" s="27" t="inlineStr"/>
      <c r="B168" s="27" t="inlineStr"/>
      <c r="C168" s="27" t="inlineStr"/>
      <c r="D168" s="27" t="inlineStr"/>
      <c r="E168" s="36" t="inlineStr"/>
      <c r="F168" s="27" t="inlineStr"/>
      <c r="G168" s="27" t="inlineStr"/>
      <c r="H168" s="27" t="inlineStr"/>
      <c r="I168" s="36" t="inlineStr"/>
      <c r="J168" s="36" t="inlineStr"/>
      <c r="K168" s="27">
        <f>IF(I168="","",MAX(0,IF(J168&lt;&gt;"",J168-I168,IF(OR(H168="Resolved",H168="Closed"),0,TODAY()-I168))))</f>
        <v/>
      </c>
      <c r="L168" s="27" t="inlineStr"/>
    </row>
    <row r="169">
      <c r="A169" s="27" t="inlineStr"/>
      <c r="B169" s="27" t="inlineStr"/>
      <c r="C169" s="27" t="inlineStr"/>
      <c r="D169" s="27" t="inlineStr"/>
      <c r="E169" s="36" t="inlineStr"/>
      <c r="F169" s="27" t="inlineStr"/>
      <c r="G169" s="27" t="inlineStr"/>
      <c r="H169" s="27" t="inlineStr"/>
      <c r="I169" s="36" t="inlineStr"/>
      <c r="J169" s="36" t="inlineStr"/>
      <c r="K169" s="27">
        <f>IF(I169="","",MAX(0,IF(J169&lt;&gt;"",J169-I169,IF(OR(H169="Resolved",H169="Closed"),0,TODAY()-I169))))</f>
        <v/>
      </c>
      <c r="L169" s="27" t="inlineStr"/>
    </row>
    <row r="170">
      <c r="A170" s="27" t="inlineStr"/>
      <c r="B170" s="27" t="inlineStr"/>
      <c r="C170" s="27" t="inlineStr"/>
      <c r="D170" s="27" t="inlineStr"/>
      <c r="E170" s="36" t="inlineStr"/>
      <c r="F170" s="27" t="inlineStr"/>
      <c r="G170" s="27" t="inlineStr"/>
      <c r="H170" s="27" t="inlineStr"/>
      <c r="I170" s="36" t="inlineStr"/>
      <c r="J170" s="36" t="inlineStr"/>
      <c r="K170" s="27">
        <f>IF(I170="","",MAX(0,IF(J170&lt;&gt;"",J170-I170,IF(OR(H170="Resolved",H170="Closed"),0,TODAY()-I170))))</f>
        <v/>
      </c>
      <c r="L170" s="27" t="inlineStr"/>
    </row>
    <row r="171">
      <c r="A171" s="27" t="inlineStr"/>
      <c r="B171" s="27" t="inlineStr"/>
      <c r="C171" s="27" t="inlineStr"/>
      <c r="D171" s="27" t="inlineStr"/>
      <c r="E171" s="36" t="inlineStr"/>
      <c r="F171" s="27" t="inlineStr"/>
      <c r="G171" s="27" t="inlineStr"/>
      <c r="H171" s="27" t="inlineStr"/>
      <c r="I171" s="36" t="inlineStr"/>
      <c r="J171" s="36" t="inlineStr"/>
      <c r="K171" s="27">
        <f>IF(I171="","",MAX(0,IF(J171&lt;&gt;"",J171-I171,IF(OR(H171="Resolved",H171="Closed"),0,TODAY()-I171))))</f>
        <v/>
      </c>
      <c r="L171" s="27" t="inlineStr"/>
    </row>
    <row r="172">
      <c r="A172" s="27" t="inlineStr"/>
      <c r="B172" s="27" t="inlineStr"/>
      <c r="C172" s="27" t="inlineStr"/>
      <c r="D172" s="27" t="inlineStr"/>
      <c r="E172" s="36" t="inlineStr"/>
      <c r="F172" s="27" t="inlineStr"/>
      <c r="G172" s="27" t="inlineStr"/>
      <c r="H172" s="27" t="inlineStr"/>
      <c r="I172" s="36" t="inlineStr"/>
      <c r="J172" s="36" t="inlineStr"/>
      <c r="K172" s="27">
        <f>IF(I172="","",MAX(0,IF(J172&lt;&gt;"",J172-I172,IF(OR(H172="Resolved",H172="Closed"),0,TODAY()-I172))))</f>
        <v/>
      </c>
      <c r="L172" s="27" t="inlineStr"/>
    </row>
    <row r="173">
      <c r="A173" s="27" t="inlineStr"/>
      <c r="B173" s="27" t="inlineStr"/>
      <c r="C173" s="27" t="inlineStr"/>
      <c r="D173" s="27" t="inlineStr"/>
      <c r="E173" s="36" t="inlineStr"/>
      <c r="F173" s="27" t="inlineStr"/>
      <c r="G173" s="27" t="inlineStr"/>
      <c r="H173" s="27" t="inlineStr"/>
      <c r="I173" s="36" t="inlineStr"/>
      <c r="J173" s="36" t="inlineStr"/>
      <c r="K173" s="27">
        <f>IF(I173="","",MAX(0,IF(J173&lt;&gt;"",J173-I173,IF(OR(H173="Resolved",H173="Closed"),0,TODAY()-I173))))</f>
        <v/>
      </c>
      <c r="L173" s="27" t="inlineStr"/>
    </row>
    <row r="174">
      <c r="A174" s="27" t="inlineStr"/>
      <c r="B174" s="27" t="inlineStr"/>
      <c r="C174" s="27" t="inlineStr"/>
      <c r="D174" s="27" t="inlineStr"/>
      <c r="E174" s="36" t="inlineStr"/>
      <c r="F174" s="27" t="inlineStr"/>
      <c r="G174" s="27" t="inlineStr"/>
      <c r="H174" s="27" t="inlineStr"/>
      <c r="I174" s="36" t="inlineStr"/>
      <c r="J174" s="36" t="inlineStr"/>
      <c r="K174" s="27">
        <f>IF(I174="","",MAX(0,IF(J174&lt;&gt;"",J174-I174,IF(OR(H174="Resolved",H174="Closed"),0,TODAY()-I174))))</f>
        <v/>
      </c>
      <c r="L174" s="27" t="inlineStr"/>
    </row>
    <row r="175">
      <c r="A175" s="27" t="inlineStr"/>
      <c r="B175" s="27" t="inlineStr"/>
      <c r="C175" s="27" t="inlineStr"/>
      <c r="D175" s="27" t="inlineStr"/>
      <c r="E175" s="36" t="inlineStr"/>
      <c r="F175" s="27" t="inlineStr"/>
      <c r="G175" s="27" t="inlineStr"/>
      <c r="H175" s="27" t="inlineStr"/>
      <c r="I175" s="36" t="inlineStr"/>
      <c r="J175" s="36" t="inlineStr"/>
      <c r="K175" s="27">
        <f>IF(I175="","",MAX(0,IF(J175&lt;&gt;"",J175-I175,IF(OR(H175="Resolved",H175="Closed"),0,TODAY()-I175))))</f>
        <v/>
      </c>
      <c r="L175" s="27" t="inlineStr"/>
    </row>
    <row r="176">
      <c r="A176" s="27" t="inlineStr"/>
      <c r="B176" s="27" t="inlineStr"/>
      <c r="C176" s="27" t="inlineStr"/>
      <c r="D176" s="27" t="inlineStr"/>
      <c r="E176" s="36" t="inlineStr"/>
      <c r="F176" s="27" t="inlineStr"/>
      <c r="G176" s="27" t="inlineStr"/>
      <c r="H176" s="27" t="inlineStr"/>
      <c r="I176" s="36" t="inlineStr"/>
      <c r="J176" s="36" t="inlineStr"/>
      <c r="K176" s="27">
        <f>IF(I176="","",MAX(0,IF(J176&lt;&gt;"",J176-I176,IF(OR(H176="Resolved",H176="Closed"),0,TODAY()-I176))))</f>
        <v/>
      </c>
      <c r="L176" s="27" t="inlineStr"/>
    </row>
    <row r="177">
      <c r="A177" s="27" t="inlineStr"/>
      <c r="B177" s="27" t="inlineStr"/>
      <c r="C177" s="27" t="inlineStr"/>
      <c r="D177" s="27" t="inlineStr"/>
      <c r="E177" s="36" t="inlineStr"/>
      <c r="F177" s="27" t="inlineStr"/>
      <c r="G177" s="27" t="inlineStr"/>
      <c r="H177" s="27" t="inlineStr"/>
      <c r="I177" s="36" t="inlineStr"/>
      <c r="J177" s="36" t="inlineStr"/>
      <c r="K177" s="27">
        <f>IF(I177="","",MAX(0,IF(J177&lt;&gt;"",J177-I177,IF(OR(H177="Resolved",H177="Closed"),0,TODAY()-I177))))</f>
        <v/>
      </c>
      <c r="L177" s="27" t="inlineStr"/>
    </row>
    <row r="178">
      <c r="A178" s="27" t="inlineStr"/>
      <c r="B178" s="27" t="inlineStr"/>
      <c r="C178" s="27" t="inlineStr"/>
      <c r="D178" s="27" t="inlineStr"/>
      <c r="E178" s="36" t="inlineStr"/>
      <c r="F178" s="27" t="inlineStr"/>
      <c r="G178" s="27" t="inlineStr"/>
      <c r="H178" s="27" t="inlineStr"/>
      <c r="I178" s="36" t="inlineStr"/>
      <c r="J178" s="36" t="inlineStr"/>
      <c r="K178" s="27">
        <f>IF(I178="","",MAX(0,IF(J178&lt;&gt;"",J178-I178,IF(OR(H178="Resolved",H178="Closed"),0,TODAY()-I178))))</f>
        <v/>
      </c>
      <c r="L178" s="27" t="inlineStr"/>
    </row>
    <row r="179">
      <c r="A179" s="27" t="inlineStr"/>
      <c r="B179" s="27" t="inlineStr"/>
      <c r="C179" s="27" t="inlineStr"/>
      <c r="D179" s="27" t="inlineStr"/>
      <c r="E179" s="36" t="inlineStr"/>
      <c r="F179" s="27" t="inlineStr"/>
      <c r="G179" s="27" t="inlineStr"/>
      <c r="H179" s="27" t="inlineStr"/>
      <c r="I179" s="36" t="inlineStr"/>
      <c r="J179" s="36" t="inlineStr"/>
      <c r="K179" s="27">
        <f>IF(I179="","",MAX(0,IF(J179&lt;&gt;"",J179-I179,IF(OR(H179="Resolved",H179="Closed"),0,TODAY()-I179))))</f>
        <v/>
      </c>
      <c r="L179" s="27" t="inlineStr"/>
    </row>
    <row r="180">
      <c r="A180" s="27" t="inlineStr"/>
      <c r="B180" s="27" t="inlineStr"/>
      <c r="C180" s="27" t="inlineStr"/>
      <c r="D180" s="27" t="inlineStr"/>
      <c r="E180" s="36" t="inlineStr"/>
      <c r="F180" s="27" t="inlineStr"/>
      <c r="G180" s="27" t="inlineStr"/>
      <c r="H180" s="27" t="inlineStr"/>
      <c r="I180" s="36" t="inlineStr"/>
      <c r="J180" s="36" t="inlineStr"/>
      <c r="K180" s="27">
        <f>IF(I180="","",MAX(0,IF(J180&lt;&gt;"",J180-I180,IF(OR(H180="Resolved",H180="Closed"),0,TODAY()-I180))))</f>
        <v/>
      </c>
      <c r="L180" s="27" t="inlineStr"/>
    </row>
    <row r="181">
      <c r="A181" s="27" t="inlineStr"/>
      <c r="B181" s="27" t="inlineStr"/>
      <c r="C181" s="27" t="inlineStr"/>
      <c r="D181" s="27" t="inlineStr"/>
      <c r="E181" s="36" t="inlineStr"/>
      <c r="F181" s="27" t="inlineStr"/>
      <c r="G181" s="27" t="inlineStr"/>
      <c r="H181" s="27" t="inlineStr"/>
      <c r="I181" s="36" t="inlineStr"/>
      <c r="J181" s="36" t="inlineStr"/>
      <c r="K181" s="27">
        <f>IF(I181="","",MAX(0,IF(J181&lt;&gt;"",J181-I181,IF(OR(H181="Resolved",H181="Closed"),0,TODAY()-I181))))</f>
        <v/>
      </c>
      <c r="L181" s="27" t="inlineStr"/>
    </row>
    <row r="182">
      <c r="A182" s="27" t="inlineStr"/>
      <c r="B182" s="27" t="inlineStr"/>
      <c r="C182" s="27" t="inlineStr"/>
      <c r="D182" s="27" t="inlineStr"/>
      <c r="E182" s="36" t="inlineStr"/>
      <c r="F182" s="27" t="inlineStr"/>
      <c r="G182" s="27" t="inlineStr"/>
      <c r="H182" s="27" t="inlineStr"/>
      <c r="I182" s="36" t="inlineStr"/>
      <c r="J182" s="36" t="inlineStr"/>
      <c r="K182" s="27">
        <f>IF(I182="","",MAX(0,IF(J182&lt;&gt;"",J182-I182,IF(OR(H182="Resolved",H182="Closed"),0,TODAY()-I182))))</f>
        <v/>
      </c>
      <c r="L182" s="27" t="inlineStr"/>
    </row>
    <row r="183">
      <c r="A183" s="27" t="inlineStr"/>
      <c r="B183" s="27" t="inlineStr"/>
      <c r="C183" s="27" t="inlineStr"/>
      <c r="D183" s="27" t="inlineStr"/>
      <c r="E183" s="36" t="inlineStr"/>
      <c r="F183" s="27" t="inlineStr"/>
      <c r="G183" s="27" t="inlineStr"/>
      <c r="H183" s="27" t="inlineStr"/>
      <c r="I183" s="36" t="inlineStr"/>
      <c r="J183" s="36" t="inlineStr"/>
      <c r="K183" s="27">
        <f>IF(I183="","",MAX(0,IF(J183&lt;&gt;"",J183-I183,IF(OR(H183="Resolved",H183="Closed"),0,TODAY()-I183))))</f>
        <v/>
      </c>
      <c r="L183" s="27" t="inlineStr"/>
    </row>
    <row r="184">
      <c r="A184" s="27" t="inlineStr"/>
      <c r="B184" s="27" t="inlineStr"/>
      <c r="C184" s="27" t="inlineStr"/>
      <c r="D184" s="27" t="inlineStr"/>
      <c r="E184" s="36" t="inlineStr"/>
      <c r="F184" s="27" t="inlineStr"/>
      <c r="G184" s="27" t="inlineStr"/>
      <c r="H184" s="27" t="inlineStr"/>
      <c r="I184" s="36" t="inlineStr"/>
      <c r="J184" s="36" t="inlineStr"/>
      <c r="K184" s="27">
        <f>IF(I184="","",MAX(0,IF(J184&lt;&gt;"",J184-I184,IF(OR(H184="Resolved",H184="Closed"),0,TODAY()-I184))))</f>
        <v/>
      </c>
      <c r="L184" s="27" t="inlineStr"/>
    </row>
    <row r="185">
      <c r="A185" s="27" t="inlineStr"/>
      <c r="B185" s="27" t="inlineStr"/>
      <c r="C185" s="27" t="inlineStr"/>
      <c r="D185" s="27" t="inlineStr"/>
      <c r="E185" s="36" t="inlineStr"/>
      <c r="F185" s="27" t="inlineStr"/>
      <c r="G185" s="27" t="inlineStr"/>
      <c r="H185" s="27" t="inlineStr"/>
      <c r="I185" s="36" t="inlineStr"/>
      <c r="J185" s="36" t="inlineStr"/>
      <c r="K185" s="27">
        <f>IF(I185="","",MAX(0,IF(J185&lt;&gt;"",J185-I185,IF(OR(H185="Resolved",H185="Closed"),0,TODAY()-I185))))</f>
        <v/>
      </c>
      <c r="L185" s="27" t="inlineStr"/>
    </row>
    <row r="186">
      <c r="A186" s="27" t="inlineStr"/>
      <c r="B186" s="27" t="inlineStr"/>
      <c r="C186" s="27" t="inlineStr"/>
      <c r="D186" s="27" t="inlineStr"/>
      <c r="E186" s="36" t="inlineStr"/>
      <c r="F186" s="27" t="inlineStr"/>
      <c r="G186" s="27" t="inlineStr"/>
      <c r="H186" s="27" t="inlineStr"/>
      <c r="I186" s="36" t="inlineStr"/>
      <c r="J186" s="36" t="inlineStr"/>
      <c r="K186" s="27">
        <f>IF(I186="","",MAX(0,IF(J186&lt;&gt;"",J186-I186,IF(OR(H186="Resolved",H186="Closed"),0,TODAY()-I186))))</f>
        <v/>
      </c>
      <c r="L186" s="27" t="inlineStr"/>
    </row>
    <row r="187">
      <c r="A187" s="27" t="inlineStr"/>
      <c r="B187" s="27" t="inlineStr"/>
      <c r="C187" s="27" t="inlineStr"/>
      <c r="D187" s="27" t="inlineStr"/>
      <c r="E187" s="36" t="inlineStr"/>
      <c r="F187" s="27" t="inlineStr"/>
      <c r="G187" s="27" t="inlineStr"/>
      <c r="H187" s="27" t="inlineStr"/>
      <c r="I187" s="36" t="inlineStr"/>
      <c r="J187" s="36" t="inlineStr"/>
      <c r="K187" s="27">
        <f>IF(I187="","",MAX(0,IF(J187&lt;&gt;"",J187-I187,IF(OR(H187="Resolved",H187="Closed"),0,TODAY()-I187))))</f>
        <v/>
      </c>
      <c r="L187" s="27" t="inlineStr"/>
    </row>
    <row r="188">
      <c r="A188" s="27" t="inlineStr"/>
      <c r="B188" s="27" t="inlineStr"/>
      <c r="C188" s="27" t="inlineStr"/>
      <c r="D188" s="27" t="inlineStr"/>
      <c r="E188" s="36" t="inlineStr"/>
      <c r="F188" s="27" t="inlineStr"/>
      <c r="G188" s="27" t="inlineStr"/>
      <c r="H188" s="27" t="inlineStr"/>
      <c r="I188" s="36" t="inlineStr"/>
      <c r="J188" s="36" t="inlineStr"/>
      <c r="K188" s="27">
        <f>IF(I188="","",MAX(0,IF(J188&lt;&gt;"",J188-I188,IF(OR(H188="Resolved",H188="Closed"),0,TODAY()-I188))))</f>
        <v/>
      </c>
      <c r="L188" s="27" t="inlineStr"/>
    </row>
    <row r="189">
      <c r="A189" s="27" t="inlineStr"/>
      <c r="B189" s="27" t="inlineStr"/>
      <c r="C189" s="27" t="inlineStr"/>
      <c r="D189" s="27" t="inlineStr"/>
      <c r="E189" s="36" t="inlineStr"/>
      <c r="F189" s="27" t="inlineStr"/>
      <c r="G189" s="27" t="inlineStr"/>
      <c r="H189" s="27" t="inlineStr"/>
      <c r="I189" s="36" t="inlineStr"/>
      <c r="J189" s="36" t="inlineStr"/>
      <c r="K189" s="27">
        <f>IF(I189="","",MAX(0,IF(J189&lt;&gt;"",J189-I189,IF(OR(H189="Resolved",H189="Closed"),0,TODAY()-I189))))</f>
        <v/>
      </c>
      <c r="L189" s="27" t="inlineStr"/>
    </row>
    <row r="190">
      <c r="A190" s="27" t="inlineStr"/>
      <c r="B190" s="27" t="inlineStr"/>
      <c r="C190" s="27" t="inlineStr"/>
      <c r="D190" s="27" t="inlineStr"/>
      <c r="E190" s="36" t="inlineStr"/>
      <c r="F190" s="27" t="inlineStr"/>
      <c r="G190" s="27" t="inlineStr"/>
      <c r="H190" s="27" t="inlineStr"/>
      <c r="I190" s="36" t="inlineStr"/>
      <c r="J190" s="36" t="inlineStr"/>
      <c r="K190" s="27">
        <f>IF(I190="","",MAX(0,IF(J190&lt;&gt;"",J190-I190,IF(OR(H190="Resolved",H190="Closed"),0,TODAY()-I190))))</f>
        <v/>
      </c>
      <c r="L190" s="27" t="inlineStr"/>
    </row>
    <row r="191">
      <c r="A191" s="27" t="inlineStr"/>
      <c r="B191" s="27" t="inlineStr"/>
      <c r="C191" s="27" t="inlineStr"/>
      <c r="D191" s="27" t="inlineStr"/>
      <c r="E191" s="36" t="inlineStr"/>
      <c r="F191" s="27" t="inlineStr"/>
      <c r="G191" s="27" t="inlineStr"/>
      <c r="H191" s="27" t="inlineStr"/>
      <c r="I191" s="36" t="inlineStr"/>
      <c r="J191" s="36" t="inlineStr"/>
      <c r="K191" s="27">
        <f>IF(I191="","",MAX(0,IF(J191&lt;&gt;"",J191-I191,IF(OR(H191="Resolved",H191="Closed"),0,TODAY()-I191))))</f>
        <v/>
      </c>
      <c r="L191" s="27" t="inlineStr"/>
    </row>
    <row r="192">
      <c r="A192" s="27" t="inlineStr"/>
      <c r="B192" s="27" t="inlineStr"/>
      <c r="C192" s="27" t="inlineStr"/>
      <c r="D192" s="27" t="inlineStr"/>
      <c r="E192" s="36" t="inlineStr"/>
      <c r="F192" s="27" t="inlineStr"/>
      <c r="G192" s="27" t="inlineStr"/>
      <c r="H192" s="27" t="inlineStr"/>
      <c r="I192" s="36" t="inlineStr"/>
      <c r="J192" s="36" t="inlineStr"/>
      <c r="K192" s="27">
        <f>IF(I192="","",MAX(0,IF(J192&lt;&gt;"",J192-I192,IF(OR(H192="Resolved",H192="Closed"),0,TODAY()-I192))))</f>
        <v/>
      </c>
      <c r="L192" s="27" t="inlineStr"/>
    </row>
    <row r="193">
      <c r="A193" s="27" t="inlineStr"/>
      <c r="B193" s="27" t="inlineStr"/>
      <c r="C193" s="27" t="inlineStr"/>
      <c r="D193" s="27" t="inlineStr"/>
      <c r="E193" s="36" t="inlineStr"/>
      <c r="F193" s="27" t="inlineStr"/>
      <c r="G193" s="27" t="inlineStr"/>
      <c r="H193" s="27" t="inlineStr"/>
      <c r="I193" s="36" t="inlineStr"/>
      <c r="J193" s="36" t="inlineStr"/>
      <c r="K193" s="27">
        <f>IF(I193="","",MAX(0,IF(J193&lt;&gt;"",J193-I193,IF(OR(H193="Resolved",H193="Closed"),0,TODAY()-I193))))</f>
        <v/>
      </c>
      <c r="L193" s="27" t="inlineStr"/>
    </row>
    <row r="194">
      <c r="A194" s="27" t="inlineStr"/>
      <c r="B194" s="27" t="inlineStr"/>
      <c r="C194" s="27" t="inlineStr"/>
      <c r="D194" s="27" t="inlineStr"/>
      <c r="E194" s="36" t="inlineStr"/>
      <c r="F194" s="27" t="inlineStr"/>
      <c r="G194" s="27" t="inlineStr"/>
      <c r="H194" s="27" t="inlineStr"/>
      <c r="I194" s="36" t="inlineStr"/>
      <c r="J194" s="36" t="inlineStr"/>
      <c r="K194" s="27">
        <f>IF(I194="","",MAX(0,IF(J194&lt;&gt;"",J194-I194,IF(OR(H194="Resolved",H194="Closed"),0,TODAY()-I194))))</f>
        <v/>
      </c>
      <c r="L194" s="27" t="inlineStr"/>
    </row>
    <row r="195">
      <c r="A195" s="27" t="inlineStr"/>
      <c r="B195" s="27" t="inlineStr"/>
      <c r="C195" s="27" t="inlineStr"/>
      <c r="D195" s="27" t="inlineStr"/>
      <c r="E195" s="36" t="inlineStr"/>
      <c r="F195" s="27" t="inlineStr"/>
      <c r="G195" s="27" t="inlineStr"/>
      <c r="H195" s="27" t="inlineStr"/>
      <c r="I195" s="36" t="inlineStr"/>
      <c r="J195" s="36" t="inlineStr"/>
      <c r="K195" s="27">
        <f>IF(I195="","",MAX(0,IF(J195&lt;&gt;"",J195-I195,IF(OR(H195="Resolved",H195="Closed"),0,TODAY()-I195))))</f>
        <v/>
      </c>
      <c r="L195" s="27" t="inlineStr"/>
    </row>
    <row r="196">
      <c r="A196" s="27" t="inlineStr"/>
      <c r="B196" s="27" t="inlineStr"/>
      <c r="C196" s="27" t="inlineStr"/>
      <c r="D196" s="27" t="inlineStr"/>
      <c r="E196" s="36" t="inlineStr"/>
      <c r="F196" s="27" t="inlineStr"/>
      <c r="G196" s="27" t="inlineStr"/>
      <c r="H196" s="27" t="inlineStr"/>
      <c r="I196" s="36" t="inlineStr"/>
      <c r="J196" s="36" t="inlineStr"/>
      <c r="K196" s="27">
        <f>IF(I196="","",MAX(0,IF(J196&lt;&gt;"",J196-I196,IF(OR(H196="Resolved",H196="Closed"),0,TODAY()-I196))))</f>
        <v/>
      </c>
      <c r="L196" s="27" t="inlineStr"/>
    </row>
    <row r="197">
      <c r="A197" s="27" t="inlineStr"/>
      <c r="B197" s="27" t="inlineStr"/>
      <c r="C197" s="27" t="inlineStr"/>
      <c r="D197" s="27" t="inlineStr"/>
      <c r="E197" s="36" t="inlineStr"/>
      <c r="F197" s="27" t="inlineStr"/>
      <c r="G197" s="27" t="inlineStr"/>
      <c r="H197" s="27" t="inlineStr"/>
      <c r="I197" s="36" t="inlineStr"/>
      <c r="J197" s="36" t="inlineStr"/>
      <c r="K197" s="27">
        <f>IF(I197="","",MAX(0,IF(J197&lt;&gt;"",J197-I197,IF(OR(H197="Resolved",H197="Closed"),0,TODAY()-I197))))</f>
        <v/>
      </c>
      <c r="L197" s="27" t="inlineStr"/>
    </row>
    <row r="198">
      <c r="A198" s="27" t="inlineStr"/>
      <c r="B198" s="27" t="inlineStr"/>
      <c r="C198" s="27" t="inlineStr"/>
      <c r="D198" s="27" t="inlineStr"/>
      <c r="E198" s="36" t="inlineStr"/>
      <c r="F198" s="27" t="inlineStr"/>
      <c r="G198" s="27" t="inlineStr"/>
      <c r="H198" s="27" t="inlineStr"/>
      <c r="I198" s="36" t="inlineStr"/>
      <c r="J198" s="36" t="inlineStr"/>
      <c r="K198" s="27">
        <f>IF(I198="","",MAX(0,IF(J198&lt;&gt;"",J198-I198,IF(OR(H198="Resolved",H198="Closed"),0,TODAY()-I198))))</f>
        <v/>
      </c>
      <c r="L198" s="27" t="inlineStr"/>
    </row>
    <row r="199">
      <c r="A199" s="27" t="inlineStr"/>
      <c r="B199" s="27" t="inlineStr"/>
      <c r="C199" s="27" t="inlineStr"/>
      <c r="D199" s="27" t="inlineStr"/>
      <c r="E199" s="36" t="inlineStr"/>
      <c r="F199" s="27" t="inlineStr"/>
      <c r="G199" s="27" t="inlineStr"/>
      <c r="H199" s="27" t="inlineStr"/>
      <c r="I199" s="36" t="inlineStr"/>
      <c r="J199" s="36" t="inlineStr"/>
      <c r="K199" s="27">
        <f>IF(I199="","",MAX(0,IF(J199&lt;&gt;"",J199-I199,IF(OR(H199="Resolved",H199="Closed"),0,TODAY()-I199))))</f>
        <v/>
      </c>
      <c r="L199" s="27" t="inlineStr"/>
    </row>
    <row r="200">
      <c r="A200" s="27" t="inlineStr"/>
      <c r="B200" s="27" t="inlineStr"/>
      <c r="C200" s="27" t="inlineStr"/>
      <c r="D200" s="27" t="inlineStr"/>
      <c r="E200" s="36" t="inlineStr"/>
      <c r="F200" s="27" t="inlineStr"/>
      <c r="G200" s="27" t="inlineStr"/>
      <c r="H200" s="27" t="inlineStr"/>
      <c r="I200" s="36" t="inlineStr"/>
      <c r="J200" s="36" t="inlineStr"/>
      <c r="K200" s="27">
        <f>IF(I200="","",MAX(0,IF(J200&lt;&gt;"",J200-I200,IF(OR(H200="Resolved",H200="Closed"),0,TODAY()-I200))))</f>
        <v/>
      </c>
      <c r="L200" s="27" t="inlineStr"/>
    </row>
    <row r="201">
      <c r="A201" s="27" t="inlineStr"/>
      <c r="B201" s="27" t="inlineStr"/>
      <c r="C201" s="27" t="inlineStr"/>
      <c r="D201" s="27" t="inlineStr"/>
      <c r="E201" s="36" t="inlineStr"/>
      <c r="F201" s="27" t="inlineStr"/>
      <c r="G201" s="27" t="inlineStr"/>
      <c r="H201" s="27" t="inlineStr"/>
      <c r="I201" s="36" t="inlineStr"/>
      <c r="J201" s="36" t="inlineStr"/>
      <c r="K201" s="27">
        <f>IF(I201="","",MAX(0,IF(J201&lt;&gt;"",J201-I201,IF(OR(H201="Resolved",H201="Closed"),0,TODAY()-I201))))</f>
        <v/>
      </c>
      <c r="L201" s="27" t="inlineStr"/>
    </row>
    <row r="202">
      <c r="A202" s="27" t="inlineStr"/>
      <c r="B202" s="27" t="inlineStr"/>
      <c r="C202" s="27" t="inlineStr"/>
      <c r="D202" s="27" t="inlineStr"/>
      <c r="E202" s="36" t="inlineStr"/>
      <c r="F202" s="27" t="inlineStr"/>
      <c r="G202" s="27" t="inlineStr"/>
      <c r="H202" s="27" t="inlineStr"/>
      <c r="I202" s="36" t="inlineStr"/>
      <c r="J202" s="36" t="inlineStr"/>
      <c r="K202" s="27">
        <f>IF(I202="","",MAX(0,IF(J202&lt;&gt;"",J202-I202,IF(OR(H202="Resolved",H202="Closed"),0,TODAY()-I202))))</f>
        <v/>
      </c>
      <c r="L202" s="27" t="inlineStr"/>
    </row>
    <row r="203">
      <c r="A203" s="27" t="inlineStr"/>
      <c r="B203" s="27" t="inlineStr"/>
      <c r="C203" s="27" t="inlineStr"/>
      <c r="D203" s="27" t="inlineStr"/>
      <c r="E203" s="36" t="inlineStr"/>
      <c r="F203" s="27" t="inlineStr"/>
      <c r="G203" s="27" t="inlineStr"/>
      <c r="H203" s="27" t="inlineStr"/>
      <c r="I203" s="36" t="inlineStr"/>
      <c r="J203" s="36" t="inlineStr"/>
      <c r="K203" s="27">
        <f>IF(I203="","",MAX(0,IF(J203&lt;&gt;"",J203-I203,IF(OR(H203="Resolved",H203="Closed"),0,TODAY()-I203))))</f>
        <v/>
      </c>
      <c r="L203" s="27" t="inlineStr"/>
    </row>
  </sheetData>
  <autoFilter ref="A3:L203"/>
  <mergeCells count="1">
    <mergeCell ref="A1:H1"/>
  </mergeCells>
  <conditionalFormatting sqref="K4:K203">
    <cfRule type="cellIs" priority="1" operator="greaterThan" dxfId="0">
      <formula>0</formula>
    </cfRule>
  </conditionalFormatting>
  <conditionalFormatting sqref="G4:G203">
    <cfRule type="expression" priority="2" dxfId="0">
      <formula>OR($G4="High",$G4="Critical")</formula>
    </cfRule>
  </conditionalFormatting>
  <conditionalFormatting sqref="A4:L203">
    <cfRule type="expression" priority="3" dxfId="1">
      <formula>$H4="Completed"</formula>
    </cfRule>
    <cfRule type="expression" priority="4" dxfId="2">
      <formula>OR($H4="Delayed",$H4="Blocked",$H4="Open")</formula>
    </cfRule>
    <cfRule type="expression" priority="5" dxfId="3">
      <formula>OR($H4="At Risk",$H4="In Progress")</formula>
    </cfRule>
  </conditionalFormatting>
  <dataValidations count="10">
    <dataValidation sqref="B4:B20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D4:D203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  <dataValidation sqref="F4:F203" showDropDown="0" showInputMessage="0" showErrorMessage="1" allowBlank="1" errorTitle="Invalid selection" error="Select a value from the dropdown list." promptTitle="Dropdown" prompt="Choose from the list." type="list">
      <formula1>='Lists'!$X$2:$X$6</formula1>
    </dataValidation>
    <dataValidation sqref="G4:G203" showDropDown="0" showInputMessage="0" showErrorMessage="1" allowBlank="1" errorTitle="Invalid selection" error="Select a value from the dropdown list." promptTitle="Dropdown" prompt="Choose from the list." type="list">
      <formula1>='Lists'!$P$2:$P$5</formula1>
    </dataValidation>
    <dataValidation sqref="H4:H203" showDropDown="0" showInputMessage="0" showErrorMessage="1" allowBlank="1" errorTitle="Invalid selection" error="Select a value from the dropdown list." promptTitle="Dropdown" prompt="Choose from the list." type="list">
      <formula1>='Lists'!$K$2:$K$6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='Lists'!$Y$2:$Y$7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='Lists'!$P$2:$P$5</formula1>
    </dataValidation>
    <dataValidation sqref="K2" showDropDown="0" showInputMessage="0" showErrorMessage="1" allowBlank="1" errorTitle="Invalid selection" error="Select a value from the dropdown list." promptTitle="Dropdown" prompt="Choose from the list." type="list">
      <formula1>='Lists'!$K$2:$K$6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25" t="inlineStr">
        <is>
          <t>Risk Register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Impact</t>
        </is>
      </c>
      <c r="E2" s="48" t="inlineStr"/>
      <c r="F2" s="49" t="inlineStr">
        <is>
          <t>Probability</t>
        </is>
      </c>
      <c r="G2" s="48" t="inlineStr"/>
      <c r="H2" s="49" t="inlineStr">
        <is>
          <t>Risk Level</t>
        </is>
      </c>
      <c r="I2" s="48" t="inlineStr"/>
      <c r="J2" s="49" t="inlineStr">
        <is>
          <t>Owner</t>
        </is>
      </c>
      <c r="K2" s="48" t="inlineStr"/>
    </row>
    <row r="3">
      <c r="A3" s="26" t="inlineStr">
        <is>
          <t>Risk ID</t>
        </is>
      </c>
      <c r="B3" s="47" t="inlineStr">
        <is>
          <t>Project ID</t>
        </is>
      </c>
      <c r="C3" s="26" t="inlineStr">
        <is>
          <t>Risk Description</t>
        </is>
      </c>
      <c r="D3" s="47" t="inlineStr">
        <is>
          <t>Impact</t>
        </is>
      </c>
      <c r="E3" s="47" t="inlineStr">
        <is>
          <t>Probability</t>
        </is>
      </c>
      <c r="F3" s="26" t="inlineStr">
        <is>
          <t>Risk Score</t>
        </is>
      </c>
      <c r="G3" s="47" t="inlineStr">
        <is>
          <t>Risk Level</t>
        </is>
      </c>
      <c r="H3" s="26" t="inlineStr">
        <is>
          <t>Mitigation Plan</t>
        </is>
      </c>
      <c r="I3" s="47" t="inlineStr">
        <is>
          <t>Owner</t>
        </is>
      </c>
      <c r="J3" s="47" t="inlineStr">
        <is>
          <t>Status</t>
        </is>
      </c>
      <c r="K3" s="26" t="inlineStr">
        <is>
          <t>Remarks</t>
        </is>
      </c>
    </row>
    <row r="4">
      <c r="A4" s="27" t="inlineStr">
        <is>
          <t>RSK-001</t>
        </is>
      </c>
      <c r="B4" s="27" t="inlineStr">
        <is>
          <t>PRJ-001</t>
        </is>
      </c>
      <c r="C4" s="27" t="inlineStr">
        <is>
          <t>UAT defect leakage may delay release</t>
        </is>
      </c>
      <c r="D4" s="27" t="n">
        <v>4</v>
      </c>
      <c r="E4" s="27" t="n">
        <v>4</v>
      </c>
      <c r="F4" s="27">
        <f>IF(OR(D4="",E4=""),"",D4*E4)</f>
        <v/>
      </c>
      <c r="G4" s="27">
        <f>IF(F4="","",IF(F4&gt;=20,"Critical",IF(F4&gt;=12,"High",IF(F4&gt;=6,"Medium","Low"))))</f>
        <v/>
      </c>
      <c r="H4" s="27" t="inlineStr">
        <is>
          <t>Daily defect review</t>
        </is>
      </c>
      <c r="I4" s="27" t="inlineStr">
        <is>
          <t>Ananya Rao</t>
        </is>
      </c>
      <c r="J4" s="27" t="inlineStr">
        <is>
          <t>Open</t>
        </is>
      </c>
      <c r="K4" s="27" t="inlineStr"/>
    </row>
    <row r="5">
      <c r="A5" s="27" t="inlineStr">
        <is>
          <t>RSK-002</t>
        </is>
      </c>
      <c r="B5" s="27" t="inlineStr">
        <is>
          <t>PRJ-002</t>
        </is>
      </c>
      <c r="C5" s="27" t="inlineStr">
        <is>
          <t>Vendor API readiness risk</t>
        </is>
      </c>
      <c r="D5" s="27" t="n">
        <v>5</v>
      </c>
      <c r="E5" s="27" t="n">
        <v>5</v>
      </c>
      <c r="F5" s="27">
        <f>IF(OR(D5="",E5=""),"",D5*E5)</f>
        <v/>
      </c>
      <c r="G5" s="27">
        <f>IF(F5="","",IF(F5&gt;=20,"Critical",IF(F5&gt;=12,"High",IF(F5&gt;=6,"Medium","Low"))))</f>
        <v/>
      </c>
      <c r="H5" s="27" t="inlineStr">
        <is>
          <t>Executive escalation</t>
        </is>
      </c>
      <c r="I5" s="27" t="inlineStr">
        <is>
          <t>Rohit Menon</t>
        </is>
      </c>
      <c r="J5" s="27" t="inlineStr">
        <is>
          <t>Open</t>
        </is>
      </c>
      <c r="K5" s="27" t="inlineStr"/>
    </row>
    <row r="6">
      <c r="A6" s="27" t="inlineStr">
        <is>
          <t>RSK-003</t>
        </is>
      </c>
      <c r="B6" s="27" t="inlineStr">
        <is>
          <t>PRJ-004</t>
        </is>
      </c>
      <c r="C6" s="27" t="inlineStr">
        <is>
          <t>Performance may not meet SLA</t>
        </is>
      </c>
      <c r="D6" s="27" t="n">
        <v>4</v>
      </c>
      <c r="E6" s="27" t="n">
        <v>4</v>
      </c>
      <c r="F6" s="27">
        <f>IF(OR(D6="",E6=""),"",D6*E6)</f>
        <v/>
      </c>
      <c r="G6" s="27">
        <f>IF(F6="","",IF(F6&gt;=20,"Critical",IF(F6&gt;=12,"High",IF(F6&gt;=6,"Medium","Low"))))</f>
        <v/>
      </c>
      <c r="H6" s="27" t="inlineStr">
        <is>
          <t>Load testing and tuning</t>
        </is>
      </c>
      <c r="I6" s="27" t="inlineStr">
        <is>
          <t>Vikram Shah</t>
        </is>
      </c>
      <c r="J6" s="27" t="inlineStr">
        <is>
          <t>Open</t>
        </is>
      </c>
      <c r="K6" s="27" t="inlineStr"/>
    </row>
    <row r="7">
      <c r="A7" s="27" t="inlineStr"/>
      <c r="B7" s="27" t="inlineStr"/>
      <c r="C7" s="27" t="inlineStr"/>
      <c r="D7" s="27" t="inlineStr"/>
      <c r="E7" s="27" t="inlineStr"/>
      <c r="F7" s="27">
        <f>IF(OR(D7="",E7=""),"",D7*E7)</f>
        <v/>
      </c>
      <c r="G7" s="27">
        <f>IF(F7="","",IF(F7&gt;=20,"Critical",IF(F7&gt;=12,"High",IF(F7&gt;=6,"Medium","Low"))))</f>
        <v/>
      </c>
      <c r="H7" s="27" t="inlineStr"/>
      <c r="I7" s="27" t="inlineStr"/>
      <c r="J7" s="27" t="inlineStr"/>
      <c r="K7" s="27" t="inlineStr"/>
    </row>
    <row r="8">
      <c r="A8" s="27" t="inlineStr"/>
      <c r="B8" s="27" t="inlineStr"/>
      <c r="C8" s="27" t="inlineStr"/>
      <c r="D8" s="27" t="inlineStr"/>
      <c r="E8" s="27" t="inlineStr"/>
      <c r="F8" s="27">
        <f>IF(OR(D8="",E8=""),"",D8*E8)</f>
        <v/>
      </c>
      <c r="G8" s="27">
        <f>IF(F8="","",IF(F8&gt;=20,"Critical",IF(F8&gt;=12,"High",IF(F8&gt;=6,"Medium","Low"))))</f>
        <v/>
      </c>
      <c r="H8" s="27" t="inlineStr"/>
      <c r="I8" s="27" t="inlineStr"/>
      <c r="J8" s="27" t="inlineStr"/>
      <c r="K8" s="27" t="inlineStr"/>
    </row>
    <row r="9">
      <c r="A9" s="27" t="inlineStr"/>
      <c r="B9" s="27" t="inlineStr"/>
      <c r="C9" s="27" t="inlineStr"/>
      <c r="D9" s="27" t="inlineStr"/>
      <c r="E9" s="27" t="inlineStr"/>
      <c r="F9" s="27">
        <f>IF(OR(D9="",E9=""),"",D9*E9)</f>
        <v/>
      </c>
      <c r="G9" s="27">
        <f>IF(F9="","",IF(F9&gt;=20,"Critical",IF(F9&gt;=12,"High",IF(F9&gt;=6,"Medium","Low"))))</f>
        <v/>
      </c>
      <c r="H9" s="27" t="inlineStr"/>
      <c r="I9" s="27" t="inlineStr"/>
      <c r="J9" s="27" t="inlineStr"/>
      <c r="K9" s="27" t="inlineStr"/>
    </row>
    <row r="10">
      <c r="A10" s="27" t="inlineStr"/>
      <c r="B10" s="27" t="inlineStr"/>
      <c r="C10" s="27" t="inlineStr"/>
      <c r="D10" s="27" t="inlineStr"/>
      <c r="E10" s="27" t="inlineStr"/>
      <c r="F10" s="27">
        <f>IF(OR(D10="",E10=""),"",D10*E10)</f>
        <v/>
      </c>
      <c r="G10" s="27">
        <f>IF(F10="","",IF(F10&gt;=20,"Critical",IF(F10&gt;=12,"High",IF(F10&gt;=6,"Medium","Low"))))</f>
        <v/>
      </c>
      <c r="H10" s="27" t="inlineStr"/>
      <c r="I10" s="27" t="inlineStr"/>
      <c r="J10" s="27" t="inlineStr"/>
      <c r="K10" s="27" t="inlineStr"/>
    </row>
    <row r="11">
      <c r="A11" s="27" t="inlineStr"/>
      <c r="B11" s="27" t="inlineStr"/>
      <c r="C11" s="27" t="inlineStr"/>
      <c r="D11" s="27" t="inlineStr"/>
      <c r="E11" s="27" t="inlineStr"/>
      <c r="F11" s="27">
        <f>IF(OR(D11="",E11=""),"",D11*E11)</f>
        <v/>
      </c>
      <c r="G11" s="27">
        <f>IF(F11="","",IF(F11&gt;=20,"Critical",IF(F11&gt;=12,"High",IF(F11&gt;=6,"Medium","Low"))))</f>
        <v/>
      </c>
      <c r="H11" s="27" t="inlineStr"/>
      <c r="I11" s="27" t="inlineStr"/>
      <c r="J11" s="27" t="inlineStr"/>
      <c r="K11" s="27" t="inlineStr"/>
    </row>
    <row r="12">
      <c r="A12" s="27" t="inlineStr"/>
      <c r="B12" s="27" t="inlineStr"/>
      <c r="C12" s="27" t="inlineStr"/>
      <c r="D12" s="27" t="inlineStr"/>
      <c r="E12" s="27" t="inlineStr"/>
      <c r="F12" s="27">
        <f>IF(OR(D12="",E12=""),"",D12*E12)</f>
        <v/>
      </c>
      <c r="G12" s="27">
        <f>IF(F12="","",IF(F12&gt;=20,"Critical",IF(F12&gt;=12,"High",IF(F12&gt;=6,"Medium","Low"))))</f>
        <v/>
      </c>
      <c r="H12" s="27" t="inlineStr"/>
      <c r="I12" s="27" t="inlineStr"/>
      <c r="J12" s="27" t="inlineStr"/>
      <c r="K12" s="27" t="inlineStr"/>
    </row>
    <row r="13">
      <c r="A13" s="27" t="inlineStr"/>
      <c r="B13" s="27" t="inlineStr"/>
      <c r="C13" s="27" t="inlineStr"/>
      <c r="D13" s="27" t="inlineStr"/>
      <c r="E13" s="27" t="inlineStr"/>
      <c r="F13" s="27">
        <f>IF(OR(D13="",E13=""),"",D13*E13)</f>
        <v/>
      </c>
      <c r="G13" s="27">
        <f>IF(F13="","",IF(F13&gt;=20,"Critical",IF(F13&gt;=12,"High",IF(F13&gt;=6,"Medium","Low"))))</f>
        <v/>
      </c>
      <c r="H13" s="27" t="inlineStr"/>
      <c r="I13" s="27" t="inlineStr"/>
      <c r="J13" s="27" t="inlineStr"/>
      <c r="K13" s="27" t="inlineStr"/>
    </row>
    <row r="14">
      <c r="A14" s="27" t="inlineStr"/>
      <c r="B14" s="27" t="inlineStr"/>
      <c r="C14" s="27" t="inlineStr"/>
      <c r="D14" s="27" t="inlineStr"/>
      <c r="E14" s="27" t="inlineStr"/>
      <c r="F14" s="27">
        <f>IF(OR(D14="",E14=""),"",D14*E14)</f>
        <v/>
      </c>
      <c r="G14" s="27">
        <f>IF(F14="","",IF(F14&gt;=20,"Critical",IF(F14&gt;=12,"High",IF(F14&gt;=6,"Medium","Low"))))</f>
        <v/>
      </c>
      <c r="H14" s="27" t="inlineStr"/>
      <c r="I14" s="27" t="inlineStr"/>
      <c r="J14" s="27" t="inlineStr"/>
      <c r="K14" s="27" t="inlineStr"/>
    </row>
    <row r="15">
      <c r="A15" s="27" t="inlineStr"/>
      <c r="B15" s="27" t="inlineStr"/>
      <c r="C15" s="27" t="inlineStr"/>
      <c r="D15" s="27" t="inlineStr"/>
      <c r="E15" s="27" t="inlineStr"/>
      <c r="F15" s="27">
        <f>IF(OR(D15="",E15=""),"",D15*E15)</f>
        <v/>
      </c>
      <c r="G15" s="27">
        <f>IF(F15="","",IF(F15&gt;=20,"Critical",IF(F15&gt;=12,"High",IF(F15&gt;=6,"Medium","Low"))))</f>
        <v/>
      </c>
      <c r="H15" s="27" t="inlineStr"/>
      <c r="I15" s="27" t="inlineStr"/>
      <c r="J15" s="27" t="inlineStr"/>
      <c r="K15" s="27" t="inlineStr"/>
    </row>
    <row r="16">
      <c r="A16" s="27" t="inlineStr"/>
      <c r="B16" s="27" t="inlineStr"/>
      <c r="C16" s="27" t="inlineStr"/>
      <c r="D16" s="27" t="inlineStr"/>
      <c r="E16" s="27" t="inlineStr"/>
      <c r="F16" s="27">
        <f>IF(OR(D16="",E16=""),"",D16*E16)</f>
        <v/>
      </c>
      <c r="G16" s="27">
        <f>IF(F16="","",IF(F16&gt;=20,"Critical",IF(F16&gt;=12,"High",IF(F16&gt;=6,"Medium","Low"))))</f>
        <v/>
      </c>
      <c r="H16" s="27" t="inlineStr"/>
      <c r="I16" s="27" t="inlineStr"/>
      <c r="J16" s="27" t="inlineStr"/>
      <c r="K16" s="27" t="inlineStr"/>
    </row>
    <row r="17">
      <c r="A17" s="27" t="inlineStr"/>
      <c r="B17" s="27" t="inlineStr"/>
      <c r="C17" s="27" t="inlineStr"/>
      <c r="D17" s="27" t="inlineStr"/>
      <c r="E17" s="27" t="inlineStr"/>
      <c r="F17" s="27">
        <f>IF(OR(D17="",E17=""),"",D17*E17)</f>
        <v/>
      </c>
      <c r="G17" s="27">
        <f>IF(F17="","",IF(F17&gt;=20,"Critical",IF(F17&gt;=12,"High",IF(F17&gt;=6,"Medium","Low"))))</f>
        <v/>
      </c>
      <c r="H17" s="27" t="inlineStr"/>
      <c r="I17" s="27" t="inlineStr"/>
      <c r="J17" s="27" t="inlineStr"/>
      <c r="K17" s="27" t="inlineStr"/>
    </row>
    <row r="18">
      <c r="A18" s="27" t="inlineStr"/>
      <c r="B18" s="27" t="inlineStr"/>
      <c r="C18" s="27" t="inlineStr"/>
      <c r="D18" s="27" t="inlineStr"/>
      <c r="E18" s="27" t="inlineStr"/>
      <c r="F18" s="27">
        <f>IF(OR(D18="",E18=""),"",D18*E18)</f>
        <v/>
      </c>
      <c r="G18" s="27">
        <f>IF(F18="","",IF(F18&gt;=20,"Critical",IF(F18&gt;=12,"High",IF(F18&gt;=6,"Medium","Low"))))</f>
        <v/>
      </c>
      <c r="H18" s="27" t="inlineStr"/>
      <c r="I18" s="27" t="inlineStr"/>
      <c r="J18" s="27" t="inlineStr"/>
      <c r="K18" s="27" t="inlineStr"/>
    </row>
    <row r="19">
      <c r="A19" s="27" t="inlineStr"/>
      <c r="B19" s="27" t="inlineStr"/>
      <c r="C19" s="27" t="inlineStr"/>
      <c r="D19" s="27" t="inlineStr"/>
      <c r="E19" s="27" t="inlineStr"/>
      <c r="F19" s="27">
        <f>IF(OR(D19="",E19=""),"",D19*E19)</f>
        <v/>
      </c>
      <c r="G19" s="27">
        <f>IF(F19="","",IF(F19&gt;=20,"Critical",IF(F19&gt;=12,"High",IF(F19&gt;=6,"Medium","Low"))))</f>
        <v/>
      </c>
      <c r="H19" s="27" t="inlineStr"/>
      <c r="I19" s="27" t="inlineStr"/>
      <c r="J19" s="27" t="inlineStr"/>
      <c r="K19" s="27" t="inlineStr"/>
    </row>
    <row r="20">
      <c r="A20" s="27" t="inlineStr"/>
      <c r="B20" s="27" t="inlineStr"/>
      <c r="C20" s="27" t="inlineStr"/>
      <c r="D20" s="27" t="inlineStr"/>
      <c r="E20" s="27" t="inlineStr"/>
      <c r="F20" s="27">
        <f>IF(OR(D20="",E20=""),"",D20*E20)</f>
        <v/>
      </c>
      <c r="G20" s="27">
        <f>IF(F20="","",IF(F20&gt;=20,"Critical",IF(F20&gt;=12,"High",IF(F20&gt;=6,"Medium","Low"))))</f>
        <v/>
      </c>
      <c r="H20" s="27" t="inlineStr"/>
      <c r="I20" s="27" t="inlineStr"/>
      <c r="J20" s="27" t="inlineStr"/>
      <c r="K20" s="27" t="inlineStr"/>
    </row>
    <row r="21">
      <c r="A21" s="27" t="inlineStr"/>
      <c r="B21" s="27" t="inlineStr"/>
      <c r="C21" s="27" t="inlineStr"/>
      <c r="D21" s="27" t="inlineStr"/>
      <c r="E21" s="27" t="inlineStr"/>
      <c r="F21" s="27">
        <f>IF(OR(D21="",E21=""),"",D21*E21)</f>
        <v/>
      </c>
      <c r="G21" s="27">
        <f>IF(F21="","",IF(F21&gt;=20,"Critical",IF(F21&gt;=12,"High",IF(F21&gt;=6,"Medium","Low"))))</f>
        <v/>
      </c>
      <c r="H21" s="27" t="inlineStr"/>
      <c r="I21" s="27" t="inlineStr"/>
      <c r="J21" s="27" t="inlineStr"/>
      <c r="K21" s="27" t="inlineStr"/>
    </row>
    <row r="22">
      <c r="A22" s="27" t="inlineStr"/>
      <c r="B22" s="27" t="inlineStr"/>
      <c r="C22" s="27" t="inlineStr"/>
      <c r="D22" s="27" t="inlineStr"/>
      <c r="E22" s="27" t="inlineStr"/>
      <c r="F22" s="27">
        <f>IF(OR(D22="",E22=""),"",D22*E22)</f>
        <v/>
      </c>
      <c r="G22" s="27">
        <f>IF(F22="","",IF(F22&gt;=20,"Critical",IF(F22&gt;=12,"High",IF(F22&gt;=6,"Medium","Low"))))</f>
        <v/>
      </c>
      <c r="H22" s="27" t="inlineStr"/>
      <c r="I22" s="27" t="inlineStr"/>
      <c r="J22" s="27" t="inlineStr"/>
      <c r="K22" s="27" t="inlineStr"/>
    </row>
    <row r="23">
      <c r="A23" s="27" t="inlineStr"/>
      <c r="B23" s="27" t="inlineStr"/>
      <c r="C23" s="27" t="inlineStr"/>
      <c r="D23" s="27" t="inlineStr"/>
      <c r="E23" s="27" t="inlineStr"/>
      <c r="F23" s="27">
        <f>IF(OR(D23="",E23=""),"",D23*E23)</f>
        <v/>
      </c>
      <c r="G23" s="27">
        <f>IF(F23="","",IF(F23&gt;=20,"Critical",IF(F23&gt;=12,"High",IF(F23&gt;=6,"Medium","Low"))))</f>
        <v/>
      </c>
      <c r="H23" s="27" t="inlineStr"/>
      <c r="I23" s="27" t="inlineStr"/>
      <c r="J23" s="27" t="inlineStr"/>
      <c r="K23" s="27" t="inlineStr"/>
    </row>
    <row r="24">
      <c r="A24" s="27" t="inlineStr"/>
      <c r="B24" s="27" t="inlineStr"/>
      <c r="C24" s="27" t="inlineStr"/>
      <c r="D24" s="27" t="inlineStr"/>
      <c r="E24" s="27" t="inlineStr"/>
      <c r="F24" s="27">
        <f>IF(OR(D24="",E24=""),"",D24*E24)</f>
        <v/>
      </c>
      <c r="G24" s="27">
        <f>IF(F24="","",IF(F24&gt;=20,"Critical",IF(F24&gt;=12,"High",IF(F24&gt;=6,"Medium","Low"))))</f>
        <v/>
      </c>
      <c r="H24" s="27" t="inlineStr"/>
      <c r="I24" s="27" t="inlineStr"/>
      <c r="J24" s="27" t="inlineStr"/>
      <c r="K24" s="27" t="inlineStr"/>
    </row>
    <row r="25">
      <c r="A25" s="27" t="inlineStr"/>
      <c r="B25" s="27" t="inlineStr"/>
      <c r="C25" s="27" t="inlineStr"/>
      <c r="D25" s="27" t="inlineStr"/>
      <c r="E25" s="27" t="inlineStr"/>
      <c r="F25" s="27">
        <f>IF(OR(D25="",E25=""),"",D25*E25)</f>
        <v/>
      </c>
      <c r="G25" s="27">
        <f>IF(F25="","",IF(F25&gt;=20,"Critical",IF(F25&gt;=12,"High",IF(F25&gt;=6,"Medium","Low"))))</f>
        <v/>
      </c>
      <c r="H25" s="27" t="inlineStr"/>
      <c r="I25" s="27" t="inlineStr"/>
      <c r="J25" s="27" t="inlineStr"/>
      <c r="K25" s="27" t="inlineStr"/>
    </row>
    <row r="26">
      <c r="A26" s="27" t="inlineStr"/>
      <c r="B26" s="27" t="inlineStr"/>
      <c r="C26" s="27" t="inlineStr"/>
      <c r="D26" s="27" t="inlineStr"/>
      <c r="E26" s="27" t="inlineStr"/>
      <c r="F26" s="27">
        <f>IF(OR(D26="",E26=""),"",D26*E26)</f>
        <v/>
      </c>
      <c r="G26" s="27">
        <f>IF(F26="","",IF(F26&gt;=20,"Critical",IF(F26&gt;=12,"High",IF(F26&gt;=6,"Medium","Low"))))</f>
        <v/>
      </c>
      <c r="H26" s="27" t="inlineStr"/>
      <c r="I26" s="27" t="inlineStr"/>
      <c r="J26" s="27" t="inlineStr"/>
      <c r="K26" s="27" t="inlineStr"/>
    </row>
    <row r="27">
      <c r="A27" s="27" t="inlineStr"/>
      <c r="B27" s="27" t="inlineStr"/>
      <c r="C27" s="27" t="inlineStr"/>
      <c r="D27" s="27" t="inlineStr"/>
      <c r="E27" s="27" t="inlineStr"/>
      <c r="F27" s="27">
        <f>IF(OR(D27="",E27=""),"",D27*E27)</f>
        <v/>
      </c>
      <c r="G27" s="27">
        <f>IF(F27="","",IF(F27&gt;=20,"Critical",IF(F27&gt;=12,"High",IF(F27&gt;=6,"Medium","Low"))))</f>
        <v/>
      </c>
      <c r="H27" s="27" t="inlineStr"/>
      <c r="I27" s="27" t="inlineStr"/>
      <c r="J27" s="27" t="inlineStr"/>
      <c r="K27" s="27" t="inlineStr"/>
    </row>
    <row r="28">
      <c r="A28" s="27" t="inlineStr"/>
      <c r="B28" s="27" t="inlineStr"/>
      <c r="C28" s="27" t="inlineStr"/>
      <c r="D28" s="27" t="inlineStr"/>
      <c r="E28" s="27" t="inlineStr"/>
      <c r="F28" s="27">
        <f>IF(OR(D28="",E28=""),"",D28*E28)</f>
        <v/>
      </c>
      <c r="G28" s="27">
        <f>IF(F28="","",IF(F28&gt;=20,"Critical",IF(F28&gt;=12,"High",IF(F28&gt;=6,"Medium","Low"))))</f>
        <v/>
      </c>
      <c r="H28" s="27" t="inlineStr"/>
      <c r="I28" s="27" t="inlineStr"/>
      <c r="J28" s="27" t="inlineStr"/>
      <c r="K28" s="27" t="inlineStr"/>
    </row>
    <row r="29">
      <c r="A29" s="27" t="inlineStr"/>
      <c r="B29" s="27" t="inlineStr"/>
      <c r="C29" s="27" t="inlineStr"/>
      <c r="D29" s="27" t="inlineStr"/>
      <c r="E29" s="27" t="inlineStr"/>
      <c r="F29" s="27">
        <f>IF(OR(D29="",E29=""),"",D29*E29)</f>
        <v/>
      </c>
      <c r="G29" s="27">
        <f>IF(F29="","",IF(F29&gt;=20,"Critical",IF(F29&gt;=12,"High",IF(F29&gt;=6,"Medium","Low"))))</f>
        <v/>
      </c>
      <c r="H29" s="27" t="inlineStr"/>
      <c r="I29" s="27" t="inlineStr"/>
      <c r="J29" s="27" t="inlineStr"/>
      <c r="K29" s="27" t="inlineStr"/>
    </row>
    <row r="30">
      <c r="A30" s="27" t="inlineStr"/>
      <c r="B30" s="27" t="inlineStr"/>
      <c r="C30" s="27" t="inlineStr"/>
      <c r="D30" s="27" t="inlineStr"/>
      <c r="E30" s="27" t="inlineStr"/>
      <c r="F30" s="27">
        <f>IF(OR(D30="",E30=""),"",D30*E30)</f>
        <v/>
      </c>
      <c r="G30" s="27">
        <f>IF(F30="","",IF(F30&gt;=20,"Critical",IF(F30&gt;=12,"High",IF(F30&gt;=6,"Medium","Low"))))</f>
        <v/>
      </c>
      <c r="H30" s="27" t="inlineStr"/>
      <c r="I30" s="27" t="inlineStr"/>
      <c r="J30" s="27" t="inlineStr"/>
      <c r="K30" s="27" t="inlineStr"/>
    </row>
    <row r="31">
      <c r="A31" s="27" t="inlineStr"/>
      <c r="B31" s="27" t="inlineStr"/>
      <c r="C31" s="27" t="inlineStr"/>
      <c r="D31" s="27" t="inlineStr"/>
      <c r="E31" s="27" t="inlineStr"/>
      <c r="F31" s="27">
        <f>IF(OR(D31="",E31=""),"",D31*E31)</f>
        <v/>
      </c>
      <c r="G31" s="27">
        <f>IF(F31="","",IF(F31&gt;=20,"Critical",IF(F31&gt;=12,"High",IF(F31&gt;=6,"Medium","Low"))))</f>
        <v/>
      </c>
      <c r="H31" s="27" t="inlineStr"/>
      <c r="I31" s="27" t="inlineStr"/>
      <c r="J31" s="27" t="inlineStr"/>
      <c r="K31" s="27" t="inlineStr"/>
    </row>
    <row r="32">
      <c r="A32" s="27" t="inlineStr"/>
      <c r="B32" s="27" t="inlineStr"/>
      <c r="C32" s="27" t="inlineStr"/>
      <c r="D32" s="27" t="inlineStr"/>
      <c r="E32" s="27" t="inlineStr"/>
      <c r="F32" s="27">
        <f>IF(OR(D32="",E32=""),"",D32*E32)</f>
        <v/>
      </c>
      <c r="G32" s="27">
        <f>IF(F32="","",IF(F32&gt;=20,"Critical",IF(F32&gt;=12,"High",IF(F32&gt;=6,"Medium","Low"))))</f>
        <v/>
      </c>
      <c r="H32" s="27" t="inlineStr"/>
      <c r="I32" s="27" t="inlineStr"/>
      <c r="J32" s="27" t="inlineStr"/>
      <c r="K32" s="27" t="inlineStr"/>
    </row>
    <row r="33">
      <c r="A33" s="27" t="inlineStr"/>
      <c r="B33" s="27" t="inlineStr"/>
      <c r="C33" s="27" t="inlineStr"/>
      <c r="D33" s="27" t="inlineStr"/>
      <c r="E33" s="27" t="inlineStr"/>
      <c r="F33" s="27">
        <f>IF(OR(D33="",E33=""),"",D33*E33)</f>
        <v/>
      </c>
      <c r="G33" s="27">
        <f>IF(F33="","",IF(F33&gt;=20,"Critical",IF(F33&gt;=12,"High",IF(F33&gt;=6,"Medium","Low"))))</f>
        <v/>
      </c>
      <c r="H33" s="27" t="inlineStr"/>
      <c r="I33" s="27" t="inlineStr"/>
      <c r="J33" s="27" t="inlineStr"/>
      <c r="K33" s="27" t="inlineStr"/>
    </row>
    <row r="34">
      <c r="A34" s="27" t="inlineStr"/>
      <c r="B34" s="27" t="inlineStr"/>
      <c r="C34" s="27" t="inlineStr"/>
      <c r="D34" s="27" t="inlineStr"/>
      <c r="E34" s="27" t="inlineStr"/>
      <c r="F34" s="27">
        <f>IF(OR(D34="",E34=""),"",D34*E34)</f>
        <v/>
      </c>
      <c r="G34" s="27">
        <f>IF(F34="","",IF(F34&gt;=20,"Critical",IF(F34&gt;=12,"High",IF(F34&gt;=6,"Medium","Low"))))</f>
        <v/>
      </c>
      <c r="H34" s="27" t="inlineStr"/>
      <c r="I34" s="27" t="inlineStr"/>
      <c r="J34" s="27" t="inlineStr"/>
      <c r="K34" s="27" t="inlineStr"/>
    </row>
    <row r="35">
      <c r="A35" s="27" t="inlineStr"/>
      <c r="B35" s="27" t="inlineStr"/>
      <c r="C35" s="27" t="inlineStr"/>
      <c r="D35" s="27" t="inlineStr"/>
      <c r="E35" s="27" t="inlineStr"/>
      <c r="F35" s="27">
        <f>IF(OR(D35="",E35=""),"",D35*E35)</f>
        <v/>
      </c>
      <c r="G35" s="27">
        <f>IF(F35="","",IF(F35&gt;=20,"Critical",IF(F35&gt;=12,"High",IF(F35&gt;=6,"Medium","Low"))))</f>
        <v/>
      </c>
      <c r="H35" s="27" t="inlineStr"/>
      <c r="I35" s="27" t="inlineStr"/>
      <c r="J35" s="27" t="inlineStr"/>
      <c r="K35" s="27" t="inlineStr"/>
    </row>
    <row r="36">
      <c r="A36" s="27" t="inlineStr"/>
      <c r="B36" s="27" t="inlineStr"/>
      <c r="C36" s="27" t="inlineStr"/>
      <c r="D36" s="27" t="inlineStr"/>
      <c r="E36" s="27" t="inlineStr"/>
      <c r="F36" s="27">
        <f>IF(OR(D36="",E36=""),"",D36*E36)</f>
        <v/>
      </c>
      <c r="G36" s="27">
        <f>IF(F36="","",IF(F36&gt;=20,"Critical",IF(F36&gt;=12,"High",IF(F36&gt;=6,"Medium","Low"))))</f>
        <v/>
      </c>
      <c r="H36" s="27" t="inlineStr"/>
      <c r="I36" s="27" t="inlineStr"/>
      <c r="J36" s="27" t="inlineStr"/>
      <c r="K36" s="27" t="inlineStr"/>
    </row>
    <row r="37">
      <c r="A37" s="27" t="inlineStr"/>
      <c r="B37" s="27" t="inlineStr"/>
      <c r="C37" s="27" t="inlineStr"/>
      <c r="D37" s="27" t="inlineStr"/>
      <c r="E37" s="27" t="inlineStr"/>
      <c r="F37" s="27">
        <f>IF(OR(D37="",E37=""),"",D37*E37)</f>
        <v/>
      </c>
      <c r="G37" s="27">
        <f>IF(F37="","",IF(F37&gt;=20,"Critical",IF(F37&gt;=12,"High",IF(F37&gt;=6,"Medium","Low"))))</f>
        <v/>
      </c>
      <c r="H37" s="27" t="inlineStr"/>
      <c r="I37" s="27" t="inlineStr"/>
      <c r="J37" s="27" t="inlineStr"/>
      <c r="K37" s="27" t="inlineStr"/>
    </row>
    <row r="38">
      <c r="A38" s="27" t="inlineStr"/>
      <c r="B38" s="27" t="inlineStr"/>
      <c r="C38" s="27" t="inlineStr"/>
      <c r="D38" s="27" t="inlineStr"/>
      <c r="E38" s="27" t="inlineStr"/>
      <c r="F38" s="27">
        <f>IF(OR(D38="",E38=""),"",D38*E38)</f>
        <v/>
      </c>
      <c r="G38" s="27">
        <f>IF(F38="","",IF(F38&gt;=20,"Critical",IF(F38&gt;=12,"High",IF(F38&gt;=6,"Medium","Low"))))</f>
        <v/>
      </c>
      <c r="H38" s="27" t="inlineStr"/>
      <c r="I38" s="27" t="inlineStr"/>
      <c r="J38" s="27" t="inlineStr"/>
      <c r="K38" s="27" t="inlineStr"/>
    </row>
    <row r="39">
      <c r="A39" s="27" t="inlineStr"/>
      <c r="B39" s="27" t="inlineStr"/>
      <c r="C39" s="27" t="inlineStr"/>
      <c r="D39" s="27" t="inlineStr"/>
      <c r="E39" s="27" t="inlineStr"/>
      <c r="F39" s="27">
        <f>IF(OR(D39="",E39=""),"",D39*E39)</f>
        <v/>
      </c>
      <c r="G39" s="27">
        <f>IF(F39="","",IF(F39&gt;=20,"Critical",IF(F39&gt;=12,"High",IF(F39&gt;=6,"Medium","Low"))))</f>
        <v/>
      </c>
      <c r="H39" s="27" t="inlineStr"/>
      <c r="I39" s="27" t="inlineStr"/>
      <c r="J39" s="27" t="inlineStr"/>
      <c r="K39" s="27" t="inlineStr"/>
    </row>
    <row r="40">
      <c r="A40" s="27" t="inlineStr"/>
      <c r="B40" s="27" t="inlineStr"/>
      <c r="C40" s="27" t="inlineStr"/>
      <c r="D40" s="27" t="inlineStr"/>
      <c r="E40" s="27" t="inlineStr"/>
      <c r="F40" s="27">
        <f>IF(OR(D40="",E40=""),"",D40*E40)</f>
        <v/>
      </c>
      <c r="G40" s="27">
        <f>IF(F40="","",IF(F40&gt;=20,"Critical",IF(F40&gt;=12,"High",IF(F40&gt;=6,"Medium","Low"))))</f>
        <v/>
      </c>
      <c r="H40" s="27" t="inlineStr"/>
      <c r="I40" s="27" t="inlineStr"/>
      <c r="J40" s="27" t="inlineStr"/>
      <c r="K40" s="27" t="inlineStr"/>
    </row>
    <row r="41">
      <c r="A41" s="27" t="inlineStr"/>
      <c r="B41" s="27" t="inlineStr"/>
      <c r="C41" s="27" t="inlineStr"/>
      <c r="D41" s="27" t="inlineStr"/>
      <c r="E41" s="27" t="inlineStr"/>
      <c r="F41" s="27">
        <f>IF(OR(D41="",E41=""),"",D41*E41)</f>
        <v/>
      </c>
      <c r="G41" s="27">
        <f>IF(F41="","",IF(F41&gt;=20,"Critical",IF(F41&gt;=12,"High",IF(F41&gt;=6,"Medium","Low"))))</f>
        <v/>
      </c>
      <c r="H41" s="27" t="inlineStr"/>
      <c r="I41" s="27" t="inlineStr"/>
      <c r="J41" s="27" t="inlineStr"/>
      <c r="K41" s="27" t="inlineStr"/>
    </row>
    <row r="42">
      <c r="A42" s="27" t="inlineStr"/>
      <c r="B42" s="27" t="inlineStr"/>
      <c r="C42" s="27" t="inlineStr"/>
      <c r="D42" s="27" t="inlineStr"/>
      <c r="E42" s="27" t="inlineStr"/>
      <c r="F42" s="27">
        <f>IF(OR(D42="",E42=""),"",D42*E42)</f>
        <v/>
      </c>
      <c r="G42" s="27">
        <f>IF(F42="","",IF(F42&gt;=20,"Critical",IF(F42&gt;=12,"High",IF(F42&gt;=6,"Medium","Low"))))</f>
        <v/>
      </c>
      <c r="H42" s="27" t="inlineStr"/>
      <c r="I42" s="27" t="inlineStr"/>
      <c r="J42" s="27" t="inlineStr"/>
      <c r="K42" s="27" t="inlineStr"/>
    </row>
    <row r="43">
      <c r="A43" s="27" t="inlineStr"/>
      <c r="B43" s="27" t="inlineStr"/>
      <c r="C43" s="27" t="inlineStr"/>
      <c r="D43" s="27" t="inlineStr"/>
      <c r="E43" s="27" t="inlineStr"/>
      <c r="F43" s="27">
        <f>IF(OR(D43="",E43=""),"",D43*E43)</f>
        <v/>
      </c>
      <c r="G43" s="27">
        <f>IF(F43="","",IF(F43&gt;=20,"Critical",IF(F43&gt;=12,"High",IF(F43&gt;=6,"Medium","Low"))))</f>
        <v/>
      </c>
      <c r="H43" s="27" t="inlineStr"/>
      <c r="I43" s="27" t="inlineStr"/>
      <c r="J43" s="27" t="inlineStr"/>
      <c r="K43" s="27" t="inlineStr"/>
    </row>
    <row r="44">
      <c r="A44" s="27" t="inlineStr"/>
      <c r="B44" s="27" t="inlineStr"/>
      <c r="C44" s="27" t="inlineStr"/>
      <c r="D44" s="27" t="inlineStr"/>
      <c r="E44" s="27" t="inlineStr"/>
      <c r="F44" s="27">
        <f>IF(OR(D44="",E44=""),"",D44*E44)</f>
        <v/>
      </c>
      <c r="G44" s="27">
        <f>IF(F44="","",IF(F44&gt;=20,"Critical",IF(F44&gt;=12,"High",IF(F44&gt;=6,"Medium","Low"))))</f>
        <v/>
      </c>
      <c r="H44" s="27" t="inlineStr"/>
      <c r="I44" s="27" t="inlineStr"/>
      <c r="J44" s="27" t="inlineStr"/>
      <c r="K44" s="27" t="inlineStr"/>
    </row>
    <row r="45">
      <c r="A45" s="27" t="inlineStr"/>
      <c r="B45" s="27" t="inlineStr"/>
      <c r="C45" s="27" t="inlineStr"/>
      <c r="D45" s="27" t="inlineStr"/>
      <c r="E45" s="27" t="inlineStr"/>
      <c r="F45" s="27">
        <f>IF(OR(D45="",E45=""),"",D45*E45)</f>
        <v/>
      </c>
      <c r="G45" s="27">
        <f>IF(F45="","",IF(F45&gt;=20,"Critical",IF(F45&gt;=12,"High",IF(F45&gt;=6,"Medium","Low"))))</f>
        <v/>
      </c>
      <c r="H45" s="27" t="inlineStr"/>
      <c r="I45" s="27" t="inlineStr"/>
      <c r="J45" s="27" t="inlineStr"/>
      <c r="K45" s="27" t="inlineStr"/>
    </row>
    <row r="46">
      <c r="A46" s="27" t="inlineStr"/>
      <c r="B46" s="27" t="inlineStr"/>
      <c r="C46" s="27" t="inlineStr"/>
      <c r="D46" s="27" t="inlineStr"/>
      <c r="E46" s="27" t="inlineStr"/>
      <c r="F46" s="27">
        <f>IF(OR(D46="",E46=""),"",D46*E46)</f>
        <v/>
      </c>
      <c r="G46" s="27">
        <f>IF(F46="","",IF(F46&gt;=20,"Critical",IF(F46&gt;=12,"High",IF(F46&gt;=6,"Medium","Low"))))</f>
        <v/>
      </c>
      <c r="H46" s="27" t="inlineStr"/>
      <c r="I46" s="27" t="inlineStr"/>
      <c r="J46" s="27" t="inlineStr"/>
      <c r="K46" s="27" t="inlineStr"/>
    </row>
    <row r="47">
      <c r="A47" s="27" t="inlineStr"/>
      <c r="B47" s="27" t="inlineStr"/>
      <c r="C47" s="27" t="inlineStr"/>
      <c r="D47" s="27" t="inlineStr"/>
      <c r="E47" s="27" t="inlineStr"/>
      <c r="F47" s="27">
        <f>IF(OR(D47="",E47=""),"",D47*E47)</f>
        <v/>
      </c>
      <c r="G47" s="27">
        <f>IF(F47="","",IF(F47&gt;=20,"Critical",IF(F47&gt;=12,"High",IF(F47&gt;=6,"Medium","Low"))))</f>
        <v/>
      </c>
      <c r="H47" s="27" t="inlineStr"/>
      <c r="I47" s="27" t="inlineStr"/>
      <c r="J47" s="27" t="inlineStr"/>
      <c r="K47" s="27" t="inlineStr"/>
    </row>
    <row r="48">
      <c r="A48" s="27" t="inlineStr"/>
      <c r="B48" s="27" t="inlineStr"/>
      <c r="C48" s="27" t="inlineStr"/>
      <c r="D48" s="27" t="inlineStr"/>
      <c r="E48" s="27" t="inlineStr"/>
      <c r="F48" s="27">
        <f>IF(OR(D48="",E48=""),"",D48*E48)</f>
        <v/>
      </c>
      <c r="G48" s="27">
        <f>IF(F48="","",IF(F48&gt;=20,"Critical",IF(F48&gt;=12,"High",IF(F48&gt;=6,"Medium","Low"))))</f>
        <v/>
      </c>
      <c r="H48" s="27" t="inlineStr"/>
      <c r="I48" s="27" t="inlineStr"/>
      <c r="J48" s="27" t="inlineStr"/>
      <c r="K48" s="27" t="inlineStr"/>
    </row>
    <row r="49">
      <c r="A49" s="27" t="inlineStr"/>
      <c r="B49" s="27" t="inlineStr"/>
      <c r="C49" s="27" t="inlineStr"/>
      <c r="D49" s="27" t="inlineStr"/>
      <c r="E49" s="27" t="inlineStr"/>
      <c r="F49" s="27">
        <f>IF(OR(D49="",E49=""),"",D49*E49)</f>
        <v/>
      </c>
      <c r="G49" s="27">
        <f>IF(F49="","",IF(F49&gt;=20,"Critical",IF(F49&gt;=12,"High",IF(F49&gt;=6,"Medium","Low"))))</f>
        <v/>
      </c>
      <c r="H49" s="27" t="inlineStr"/>
      <c r="I49" s="27" t="inlineStr"/>
      <c r="J49" s="27" t="inlineStr"/>
      <c r="K49" s="27" t="inlineStr"/>
    </row>
    <row r="50">
      <c r="A50" s="27" t="inlineStr"/>
      <c r="B50" s="27" t="inlineStr"/>
      <c r="C50" s="27" t="inlineStr"/>
      <c r="D50" s="27" t="inlineStr"/>
      <c r="E50" s="27" t="inlineStr"/>
      <c r="F50" s="27">
        <f>IF(OR(D50="",E50=""),"",D50*E50)</f>
        <v/>
      </c>
      <c r="G50" s="27">
        <f>IF(F50="","",IF(F50&gt;=20,"Critical",IF(F50&gt;=12,"High",IF(F50&gt;=6,"Medium","Low"))))</f>
        <v/>
      </c>
      <c r="H50" s="27" t="inlineStr"/>
      <c r="I50" s="27" t="inlineStr"/>
      <c r="J50" s="27" t="inlineStr"/>
      <c r="K50" s="27" t="inlineStr"/>
    </row>
    <row r="51">
      <c r="A51" s="27" t="inlineStr"/>
      <c r="B51" s="27" t="inlineStr"/>
      <c r="C51" s="27" t="inlineStr"/>
      <c r="D51" s="27" t="inlineStr"/>
      <c r="E51" s="27" t="inlineStr"/>
      <c r="F51" s="27">
        <f>IF(OR(D51="",E51=""),"",D51*E51)</f>
        <v/>
      </c>
      <c r="G51" s="27">
        <f>IF(F51="","",IF(F51&gt;=20,"Critical",IF(F51&gt;=12,"High",IF(F51&gt;=6,"Medium","Low"))))</f>
        <v/>
      </c>
      <c r="H51" s="27" t="inlineStr"/>
      <c r="I51" s="27" t="inlineStr"/>
      <c r="J51" s="27" t="inlineStr"/>
      <c r="K51" s="27" t="inlineStr"/>
    </row>
    <row r="52">
      <c r="A52" s="27" t="inlineStr"/>
      <c r="B52" s="27" t="inlineStr"/>
      <c r="C52" s="27" t="inlineStr"/>
      <c r="D52" s="27" t="inlineStr"/>
      <c r="E52" s="27" t="inlineStr"/>
      <c r="F52" s="27">
        <f>IF(OR(D52="",E52=""),"",D52*E52)</f>
        <v/>
      </c>
      <c r="G52" s="27">
        <f>IF(F52="","",IF(F52&gt;=20,"Critical",IF(F52&gt;=12,"High",IF(F52&gt;=6,"Medium","Low"))))</f>
        <v/>
      </c>
      <c r="H52" s="27" t="inlineStr"/>
      <c r="I52" s="27" t="inlineStr"/>
      <c r="J52" s="27" t="inlineStr"/>
      <c r="K52" s="27" t="inlineStr"/>
    </row>
    <row r="53">
      <c r="A53" s="27" t="inlineStr"/>
      <c r="B53" s="27" t="inlineStr"/>
      <c r="C53" s="27" t="inlineStr"/>
      <c r="D53" s="27" t="inlineStr"/>
      <c r="E53" s="27" t="inlineStr"/>
      <c r="F53" s="27">
        <f>IF(OR(D53="",E53=""),"",D53*E53)</f>
        <v/>
      </c>
      <c r="G53" s="27">
        <f>IF(F53="","",IF(F53&gt;=20,"Critical",IF(F53&gt;=12,"High",IF(F53&gt;=6,"Medium","Low"))))</f>
        <v/>
      </c>
      <c r="H53" s="27" t="inlineStr"/>
      <c r="I53" s="27" t="inlineStr"/>
      <c r="J53" s="27" t="inlineStr"/>
      <c r="K53" s="27" t="inlineStr"/>
    </row>
    <row r="54">
      <c r="A54" s="27" t="inlineStr"/>
      <c r="B54" s="27" t="inlineStr"/>
      <c r="C54" s="27" t="inlineStr"/>
      <c r="D54" s="27" t="inlineStr"/>
      <c r="E54" s="27" t="inlineStr"/>
      <c r="F54" s="27">
        <f>IF(OR(D54="",E54=""),"",D54*E54)</f>
        <v/>
      </c>
      <c r="G54" s="27">
        <f>IF(F54="","",IF(F54&gt;=20,"Critical",IF(F54&gt;=12,"High",IF(F54&gt;=6,"Medium","Low"))))</f>
        <v/>
      </c>
      <c r="H54" s="27" t="inlineStr"/>
      <c r="I54" s="27" t="inlineStr"/>
      <c r="J54" s="27" t="inlineStr"/>
      <c r="K54" s="27" t="inlineStr"/>
    </row>
    <row r="55">
      <c r="A55" s="27" t="inlineStr"/>
      <c r="B55" s="27" t="inlineStr"/>
      <c r="C55" s="27" t="inlineStr"/>
      <c r="D55" s="27" t="inlineStr"/>
      <c r="E55" s="27" t="inlineStr"/>
      <c r="F55" s="27">
        <f>IF(OR(D55="",E55=""),"",D55*E55)</f>
        <v/>
      </c>
      <c r="G55" s="27">
        <f>IF(F55="","",IF(F55&gt;=20,"Critical",IF(F55&gt;=12,"High",IF(F55&gt;=6,"Medium","Low"))))</f>
        <v/>
      </c>
      <c r="H55" s="27" t="inlineStr"/>
      <c r="I55" s="27" t="inlineStr"/>
      <c r="J55" s="27" t="inlineStr"/>
      <c r="K55" s="27" t="inlineStr"/>
    </row>
    <row r="56">
      <c r="A56" s="27" t="inlineStr"/>
      <c r="B56" s="27" t="inlineStr"/>
      <c r="C56" s="27" t="inlineStr"/>
      <c r="D56" s="27" t="inlineStr"/>
      <c r="E56" s="27" t="inlineStr"/>
      <c r="F56" s="27">
        <f>IF(OR(D56="",E56=""),"",D56*E56)</f>
        <v/>
      </c>
      <c r="G56" s="27">
        <f>IF(F56="","",IF(F56&gt;=20,"Critical",IF(F56&gt;=12,"High",IF(F56&gt;=6,"Medium","Low"))))</f>
        <v/>
      </c>
      <c r="H56" s="27" t="inlineStr"/>
      <c r="I56" s="27" t="inlineStr"/>
      <c r="J56" s="27" t="inlineStr"/>
      <c r="K56" s="27" t="inlineStr"/>
    </row>
    <row r="57">
      <c r="A57" s="27" t="inlineStr"/>
      <c r="B57" s="27" t="inlineStr"/>
      <c r="C57" s="27" t="inlineStr"/>
      <c r="D57" s="27" t="inlineStr"/>
      <c r="E57" s="27" t="inlineStr"/>
      <c r="F57" s="27">
        <f>IF(OR(D57="",E57=""),"",D57*E57)</f>
        <v/>
      </c>
      <c r="G57" s="27">
        <f>IF(F57="","",IF(F57&gt;=20,"Critical",IF(F57&gt;=12,"High",IF(F57&gt;=6,"Medium","Low"))))</f>
        <v/>
      </c>
      <c r="H57" s="27" t="inlineStr"/>
      <c r="I57" s="27" t="inlineStr"/>
      <c r="J57" s="27" t="inlineStr"/>
      <c r="K57" s="27" t="inlineStr"/>
    </row>
    <row r="58">
      <c r="A58" s="27" t="inlineStr"/>
      <c r="B58" s="27" t="inlineStr"/>
      <c r="C58" s="27" t="inlineStr"/>
      <c r="D58" s="27" t="inlineStr"/>
      <c r="E58" s="27" t="inlineStr"/>
      <c r="F58" s="27">
        <f>IF(OR(D58="",E58=""),"",D58*E58)</f>
        <v/>
      </c>
      <c r="G58" s="27">
        <f>IF(F58="","",IF(F58&gt;=20,"Critical",IF(F58&gt;=12,"High",IF(F58&gt;=6,"Medium","Low"))))</f>
        <v/>
      </c>
      <c r="H58" s="27" t="inlineStr"/>
      <c r="I58" s="27" t="inlineStr"/>
      <c r="J58" s="27" t="inlineStr"/>
      <c r="K58" s="27" t="inlineStr"/>
    </row>
    <row r="59">
      <c r="A59" s="27" t="inlineStr"/>
      <c r="B59" s="27" t="inlineStr"/>
      <c r="C59" s="27" t="inlineStr"/>
      <c r="D59" s="27" t="inlineStr"/>
      <c r="E59" s="27" t="inlineStr"/>
      <c r="F59" s="27">
        <f>IF(OR(D59="",E59=""),"",D59*E59)</f>
        <v/>
      </c>
      <c r="G59" s="27">
        <f>IF(F59="","",IF(F59&gt;=20,"Critical",IF(F59&gt;=12,"High",IF(F59&gt;=6,"Medium","Low"))))</f>
        <v/>
      </c>
      <c r="H59" s="27" t="inlineStr"/>
      <c r="I59" s="27" t="inlineStr"/>
      <c r="J59" s="27" t="inlineStr"/>
      <c r="K59" s="27" t="inlineStr"/>
    </row>
    <row r="60">
      <c r="A60" s="27" t="inlineStr"/>
      <c r="B60" s="27" t="inlineStr"/>
      <c r="C60" s="27" t="inlineStr"/>
      <c r="D60" s="27" t="inlineStr"/>
      <c r="E60" s="27" t="inlineStr"/>
      <c r="F60" s="27">
        <f>IF(OR(D60="",E60=""),"",D60*E60)</f>
        <v/>
      </c>
      <c r="G60" s="27">
        <f>IF(F60="","",IF(F60&gt;=20,"Critical",IF(F60&gt;=12,"High",IF(F60&gt;=6,"Medium","Low"))))</f>
        <v/>
      </c>
      <c r="H60" s="27" t="inlineStr"/>
      <c r="I60" s="27" t="inlineStr"/>
      <c r="J60" s="27" t="inlineStr"/>
      <c r="K60" s="27" t="inlineStr"/>
    </row>
    <row r="61">
      <c r="A61" s="27" t="inlineStr"/>
      <c r="B61" s="27" t="inlineStr"/>
      <c r="C61" s="27" t="inlineStr"/>
      <c r="D61" s="27" t="inlineStr"/>
      <c r="E61" s="27" t="inlineStr"/>
      <c r="F61" s="27">
        <f>IF(OR(D61="",E61=""),"",D61*E61)</f>
        <v/>
      </c>
      <c r="G61" s="27">
        <f>IF(F61="","",IF(F61&gt;=20,"Critical",IF(F61&gt;=12,"High",IF(F61&gt;=6,"Medium","Low"))))</f>
        <v/>
      </c>
      <c r="H61" s="27" t="inlineStr"/>
      <c r="I61" s="27" t="inlineStr"/>
      <c r="J61" s="27" t="inlineStr"/>
      <c r="K61" s="27" t="inlineStr"/>
    </row>
    <row r="62">
      <c r="A62" s="27" t="inlineStr"/>
      <c r="B62" s="27" t="inlineStr"/>
      <c r="C62" s="27" t="inlineStr"/>
      <c r="D62" s="27" t="inlineStr"/>
      <c r="E62" s="27" t="inlineStr"/>
      <c r="F62" s="27">
        <f>IF(OR(D62="",E62=""),"",D62*E62)</f>
        <v/>
      </c>
      <c r="G62" s="27">
        <f>IF(F62="","",IF(F62&gt;=20,"Critical",IF(F62&gt;=12,"High",IF(F62&gt;=6,"Medium","Low"))))</f>
        <v/>
      </c>
      <c r="H62" s="27" t="inlineStr"/>
      <c r="I62" s="27" t="inlineStr"/>
      <c r="J62" s="27" t="inlineStr"/>
      <c r="K62" s="27" t="inlineStr"/>
    </row>
    <row r="63">
      <c r="A63" s="27" t="inlineStr"/>
      <c r="B63" s="27" t="inlineStr"/>
      <c r="C63" s="27" t="inlineStr"/>
      <c r="D63" s="27" t="inlineStr"/>
      <c r="E63" s="27" t="inlineStr"/>
      <c r="F63" s="27">
        <f>IF(OR(D63="",E63=""),"",D63*E63)</f>
        <v/>
      </c>
      <c r="G63" s="27">
        <f>IF(F63="","",IF(F63&gt;=20,"Critical",IF(F63&gt;=12,"High",IF(F63&gt;=6,"Medium","Low"))))</f>
        <v/>
      </c>
      <c r="H63" s="27" t="inlineStr"/>
      <c r="I63" s="27" t="inlineStr"/>
      <c r="J63" s="27" t="inlineStr"/>
      <c r="K63" s="27" t="inlineStr"/>
    </row>
    <row r="64">
      <c r="A64" s="27" t="inlineStr"/>
      <c r="B64" s="27" t="inlineStr"/>
      <c r="C64" s="27" t="inlineStr"/>
      <c r="D64" s="27" t="inlineStr"/>
      <c r="E64" s="27" t="inlineStr"/>
      <c r="F64" s="27">
        <f>IF(OR(D64="",E64=""),"",D64*E64)</f>
        <v/>
      </c>
      <c r="G64" s="27">
        <f>IF(F64="","",IF(F64&gt;=20,"Critical",IF(F64&gt;=12,"High",IF(F64&gt;=6,"Medium","Low"))))</f>
        <v/>
      </c>
      <c r="H64" s="27" t="inlineStr"/>
      <c r="I64" s="27" t="inlineStr"/>
      <c r="J64" s="27" t="inlineStr"/>
      <c r="K64" s="27" t="inlineStr"/>
    </row>
    <row r="65">
      <c r="A65" s="27" t="inlineStr"/>
      <c r="B65" s="27" t="inlineStr"/>
      <c r="C65" s="27" t="inlineStr"/>
      <c r="D65" s="27" t="inlineStr"/>
      <c r="E65" s="27" t="inlineStr"/>
      <c r="F65" s="27">
        <f>IF(OR(D65="",E65=""),"",D65*E65)</f>
        <v/>
      </c>
      <c r="G65" s="27">
        <f>IF(F65="","",IF(F65&gt;=20,"Critical",IF(F65&gt;=12,"High",IF(F65&gt;=6,"Medium","Low"))))</f>
        <v/>
      </c>
      <c r="H65" s="27" t="inlineStr"/>
      <c r="I65" s="27" t="inlineStr"/>
      <c r="J65" s="27" t="inlineStr"/>
      <c r="K65" s="27" t="inlineStr"/>
    </row>
    <row r="66">
      <c r="A66" s="27" t="inlineStr"/>
      <c r="B66" s="27" t="inlineStr"/>
      <c r="C66" s="27" t="inlineStr"/>
      <c r="D66" s="27" t="inlineStr"/>
      <c r="E66" s="27" t="inlineStr"/>
      <c r="F66" s="27">
        <f>IF(OR(D66="",E66=""),"",D66*E66)</f>
        <v/>
      </c>
      <c r="G66" s="27">
        <f>IF(F66="","",IF(F66&gt;=20,"Critical",IF(F66&gt;=12,"High",IF(F66&gt;=6,"Medium","Low"))))</f>
        <v/>
      </c>
      <c r="H66" s="27" t="inlineStr"/>
      <c r="I66" s="27" t="inlineStr"/>
      <c r="J66" s="27" t="inlineStr"/>
      <c r="K66" s="27" t="inlineStr"/>
    </row>
    <row r="67">
      <c r="A67" s="27" t="inlineStr"/>
      <c r="B67" s="27" t="inlineStr"/>
      <c r="C67" s="27" t="inlineStr"/>
      <c r="D67" s="27" t="inlineStr"/>
      <c r="E67" s="27" t="inlineStr"/>
      <c r="F67" s="27">
        <f>IF(OR(D67="",E67=""),"",D67*E67)</f>
        <v/>
      </c>
      <c r="G67" s="27">
        <f>IF(F67="","",IF(F67&gt;=20,"Critical",IF(F67&gt;=12,"High",IF(F67&gt;=6,"Medium","Low"))))</f>
        <v/>
      </c>
      <c r="H67" s="27" t="inlineStr"/>
      <c r="I67" s="27" t="inlineStr"/>
      <c r="J67" s="27" t="inlineStr"/>
      <c r="K67" s="27" t="inlineStr"/>
    </row>
    <row r="68">
      <c r="A68" s="27" t="inlineStr"/>
      <c r="B68" s="27" t="inlineStr"/>
      <c r="C68" s="27" t="inlineStr"/>
      <c r="D68" s="27" t="inlineStr"/>
      <c r="E68" s="27" t="inlineStr"/>
      <c r="F68" s="27">
        <f>IF(OR(D68="",E68=""),"",D68*E68)</f>
        <v/>
      </c>
      <c r="G68" s="27">
        <f>IF(F68="","",IF(F68&gt;=20,"Critical",IF(F68&gt;=12,"High",IF(F68&gt;=6,"Medium","Low"))))</f>
        <v/>
      </c>
      <c r="H68" s="27" t="inlineStr"/>
      <c r="I68" s="27" t="inlineStr"/>
      <c r="J68" s="27" t="inlineStr"/>
      <c r="K68" s="27" t="inlineStr"/>
    </row>
    <row r="69">
      <c r="A69" s="27" t="inlineStr"/>
      <c r="B69" s="27" t="inlineStr"/>
      <c r="C69" s="27" t="inlineStr"/>
      <c r="D69" s="27" t="inlineStr"/>
      <c r="E69" s="27" t="inlineStr"/>
      <c r="F69" s="27">
        <f>IF(OR(D69="",E69=""),"",D69*E69)</f>
        <v/>
      </c>
      <c r="G69" s="27">
        <f>IF(F69="","",IF(F69&gt;=20,"Critical",IF(F69&gt;=12,"High",IF(F69&gt;=6,"Medium","Low"))))</f>
        <v/>
      </c>
      <c r="H69" s="27" t="inlineStr"/>
      <c r="I69" s="27" t="inlineStr"/>
      <c r="J69" s="27" t="inlineStr"/>
      <c r="K69" s="27" t="inlineStr"/>
    </row>
    <row r="70">
      <c r="A70" s="27" t="inlineStr"/>
      <c r="B70" s="27" t="inlineStr"/>
      <c r="C70" s="27" t="inlineStr"/>
      <c r="D70" s="27" t="inlineStr"/>
      <c r="E70" s="27" t="inlineStr"/>
      <c r="F70" s="27">
        <f>IF(OR(D70="",E70=""),"",D70*E70)</f>
        <v/>
      </c>
      <c r="G70" s="27">
        <f>IF(F70="","",IF(F70&gt;=20,"Critical",IF(F70&gt;=12,"High",IF(F70&gt;=6,"Medium","Low"))))</f>
        <v/>
      </c>
      <c r="H70" s="27" t="inlineStr"/>
      <c r="I70" s="27" t="inlineStr"/>
      <c r="J70" s="27" t="inlineStr"/>
      <c r="K70" s="27" t="inlineStr"/>
    </row>
    <row r="71">
      <c r="A71" s="27" t="inlineStr"/>
      <c r="B71" s="27" t="inlineStr"/>
      <c r="C71" s="27" t="inlineStr"/>
      <c r="D71" s="27" t="inlineStr"/>
      <c r="E71" s="27" t="inlineStr"/>
      <c r="F71" s="27">
        <f>IF(OR(D71="",E71=""),"",D71*E71)</f>
        <v/>
      </c>
      <c r="G71" s="27">
        <f>IF(F71="","",IF(F71&gt;=20,"Critical",IF(F71&gt;=12,"High",IF(F71&gt;=6,"Medium","Low"))))</f>
        <v/>
      </c>
      <c r="H71" s="27" t="inlineStr"/>
      <c r="I71" s="27" t="inlineStr"/>
      <c r="J71" s="27" t="inlineStr"/>
      <c r="K71" s="27" t="inlineStr"/>
    </row>
    <row r="72">
      <c r="A72" s="27" t="inlineStr"/>
      <c r="B72" s="27" t="inlineStr"/>
      <c r="C72" s="27" t="inlineStr"/>
      <c r="D72" s="27" t="inlineStr"/>
      <c r="E72" s="27" t="inlineStr"/>
      <c r="F72" s="27">
        <f>IF(OR(D72="",E72=""),"",D72*E72)</f>
        <v/>
      </c>
      <c r="G72" s="27">
        <f>IF(F72="","",IF(F72&gt;=20,"Critical",IF(F72&gt;=12,"High",IF(F72&gt;=6,"Medium","Low"))))</f>
        <v/>
      </c>
      <c r="H72" s="27" t="inlineStr"/>
      <c r="I72" s="27" t="inlineStr"/>
      <c r="J72" s="27" t="inlineStr"/>
      <c r="K72" s="27" t="inlineStr"/>
    </row>
    <row r="73">
      <c r="A73" s="27" t="inlineStr"/>
      <c r="B73" s="27" t="inlineStr"/>
      <c r="C73" s="27" t="inlineStr"/>
      <c r="D73" s="27" t="inlineStr"/>
      <c r="E73" s="27" t="inlineStr"/>
      <c r="F73" s="27">
        <f>IF(OR(D73="",E73=""),"",D73*E73)</f>
        <v/>
      </c>
      <c r="G73" s="27">
        <f>IF(F73="","",IF(F73&gt;=20,"Critical",IF(F73&gt;=12,"High",IF(F73&gt;=6,"Medium","Low"))))</f>
        <v/>
      </c>
      <c r="H73" s="27" t="inlineStr"/>
      <c r="I73" s="27" t="inlineStr"/>
      <c r="J73" s="27" t="inlineStr"/>
      <c r="K73" s="27" t="inlineStr"/>
    </row>
    <row r="74">
      <c r="A74" s="27" t="inlineStr"/>
      <c r="B74" s="27" t="inlineStr"/>
      <c r="C74" s="27" t="inlineStr"/>
      <c r="D74" s="27" t="inlineStr"/>
      <c r="E74" s="27" t="inlineStr"/>
      <c r="F74" s="27">
        <f>IF(OR(D74="",E74=""),"",D74*E74)</f>
        <v/>
      </c>
      <c r="G74" s="27">
        <f>IF(F74="","",IF(F74&gt;=20,"Critical",IF(F74&gt;=12,"High",IF(F74&gt;=6,"Medium","Low"))))</f>
        <v/>
      </c>
      <c r="H74" s="27" t="inlineStr"/>
      <c r="I74" s="27" t="inlineStr"/>
      <c r="J74" s="27" t="inlineStr"/>
      <c r="K74" s="27" t="inlineStr"/>
    </row>
    <row r="75">
      <c r="A75" s="27" t="inlineStr"/>
      <c r="B75" s="27" t="inlineStr"/>
      <c r="C75" s="27" t="inlineStr"/>
      <c r="D75" s="27" t="inlineStr"/>
      <c r="E75" s="27" t="inlineStr"/>
      <c r="F75" s="27">
        <f>IF(OR(D75="",E75=""),"",D75*E75)</f>
        <v/>
      </c>
      <c r="G75" s="27">
        <f>IF(F75="","",IF(F75&gt;=20,"Critical",IF(F75&gt;=12,"High",IF(F75&gt;=6,"Medium","Low"))))</f>
        <v/>
      </c>
      <c r="H75" s="27" t="inlineStr"/>
      <c r="I75" s="27" t="inlineStr"/>
      <c r="J75" s="27" t="inlineStr"/>
      <c r="K75" s="27" t="inlineStr"/>
    </row>
    <row r="76">
      <c r="A76" s="27" t="inlineStr"/>
      <c r="B76" s="27" t="inlineStr"/>
      <c r="C76" s="27" t="inlineStr"/>
      <c r="D76" s="27" t="inlineStr"/>
      <c r="E76" s="27" t="inlineStr"/>
      <c r="F76" s="27">
        <f>IF(OR(D76="",E76=""),"",D76*E76)</f>
        <v/>
      </c>
      <c r="G76" s="27">
        <f>IF(F76="","",IF(F76&gt;=20,"Critical",IF(F76&gt;=12,"High",IF(F76&gt;=6,"Medium","Low"))))</f>
        <v/>
      </c>
      <c r="H76" s="27" t="inlineStr"/>
      <c r="I76" s="27" t="inlineStr"/>
      <c r="J76" s="27" t="inlineStr"/>
      <c r="K76" s="27" t="inlineStr"/>
    </row>
    <row r="77">
      <c r="A77" s="27" t="inlineStr"/>
      <c r="B77" s="27" t="inlineStr"/>
      <c r="C77" s="27" t="inlineStr"/>
      <c r="D77" s="27" t="inlineStr"/>
      <c r="E77" s="27" t="inlineStr"/>
      <c r="F77" s="27">
        <f>IF(OR(D77="",E77=""),"",D77*E77)</f>
        <v/>
      </c>
      <c r="G77" s="27">
        <f>IF(F77="","",IF(F77&gt;=20,"Critical",IF(F77&gt;=12,"High",IF(F77&gt;=6,"Medium","Low"))))</f>
        <v/>
      </c>
      <c r="H77" s="27" t="inlineStr"/>
      <c r="I77" s="27" t="inlineStr"/>
      <c r="J77" s="27" t="inlineStr"/>
      <c r="K77" s="27" t="inlineStr"/>
    </row>
    <row r="78">
      <c r="A78" s="27" t="inlineStr"/>
      <c r="B78" s="27" t="inlineStr"/>
      <c r="C78" s="27" t="inlineStr"/>
      <c r="D78" s="27" t="inlineStr"/>
      <c r="E78" s="27" t="inlineStr"/>
      <c r="F78" s="27">
        <f>IF(OR(D78="",E78=""),"",D78*E78)</f>
        <v/>
      </c>
      <c r="G78" s="27">
        <f>IF(F78="","",IF(F78&gt;=20,"Critical",IF(F78&gt;=12,"High",IF(F78&gt;=6,"Medium","Low"))))</f>
        <v/>
      </c>
      <c r="H78" s="27" t="inlineStr"/>
      <c r="I78" s="27" t="inlineStr"/>
      <c r="J78" s="27" t="inlineStr"/>
      <c r="K78" s="27" t="inlineStr"/>
    </row>
    <row r="79">
      <c r="A79" s="27" t="inlineStr"/>
      <c r="B79" s="27" t="inlineStr"/>
      <c r="C79" s="27" t="inlineStr"/>
      <c r="D79" s="27" t="inlineStr"/>
      <c r="E79" s="27" t="inlineStr"/>
      <c r="F79" s="27">
        <f>IF(OR(D79="",E79=""),"",D79*E79)</f>
        <v/>
      </c>
      <c r="G79" s="27">
        <f>IF(F79="","",IF(F79&gt;=20,"Critical",IF(F79&gt;=12,"High",IF(F79&gt;=6,"Medium","Low"))))</f>
        <v/>
      </c>
      <c r="H79" s="27" t="inlineStr"/>
      <c r="I79" s="27" t="inlineStr"/>
      <c r="J79" s="27" t="inlineStr"/>
      <c r="K79" s="27" t="inlineStr"/>
    </row>
    <row r="80">
      <c r="A80" s="27" t="inlineStr"/>
      <c r="B80" s="27" t="inlineStr"/>
      <c r="C80" s="27" t="inlineStr"/>
      <c r="D80" s="27" t="inlineStr"/>
      <c r="E80" s="27" t="inlineStr"/>
      <c r="F80" s="27">
        <f>IF(OR(D80="",E80=""),"",D80*E80)</f>
        <v/>
      </c>
      <c r="G80" s="27">
        <f>IF(F80="","",IF(F80&gt;=20,"Critical",IF(F80&gt;=12,"High",IF(F80&gt;=6,"Medium","Low"))))</f>
        <v/>
      </c>
      <c r="H80" s="27" t="inlineStr"/>
      <c r="I80" s="27" t="inlineStr"/>
      <c r="J80" s="27" t="inlineStr"/>
      <c r="K80" s="27" t="inlineStr"/>
    </row>
    <row r="81">
      <c r="A81" s="27" t="inlineStr"/>
      <c r="B81" s="27" t="inlineStr"/>
      <c r="C81" s="27" t="inlineStr"/>
      <c r="D81" s="27" t="inlineStr"/>
      <c r="E81" s="27" t="inlineStr"/>
      <c r="F81" s="27">
        <f>IF(OR(D81="",E81=""),"",D81*E81)</f>
        <v/>
      </c>
      <c r="G81" s="27">
        <f>IF(F81="","",IF(F81&gt;=20,"Critical",IF(F81&gt;=12,"High",IF(F81&gt;=6,"Medium","Low"))))</f>
        <v/>
      </c>
      <c r="H81" s="27" t="inlineStr"/>
      <c r="I81" s="27" t="inlineStr"/>
      <c r="J81" s="27" t="inlineStr"/>
      <c r="K81" s="27" t="inlineStr"/>
    </row>
    <row r="82">
      <c r="A82" s="27" t="inlineStr"/>
      <c r="B82" s="27" t="inlineStr"/>
      <c r="C82" s="27" t="inlineStr"/>
      <c r="D82" s="27" t="inlineStr"/>
      <c r="E82" s="27" t="inlineStr"/>
      <c r="F82" s="27">
        <f>IF(OR(D82="",E82=""),"",D82*E82)</f>
        <v/>
      </c>
      <c r="G82" s="27">
        <f>IF(F82="","",IF(F82&gt;=20,"Critical",IF(F82&gt;=12,"High",IF(F82&gt;=6,"Medium","Low"))))</f>
        <v/>
      </c>
      <c r="H82" s="27" t="inlineStr"/>
      <c r="I82" s="27" t="inlineStr"/>
      <c r="J82" s="27" t="inlineStr"/>
      <c r="K82" s="27" t="inlineStr"/>
    </row>
    <row r="83">
      <c r="A83" s="27" t="inlineStr"/>
      <c r="B83" s="27" t="inlineStr"/>
      <c r="C83" s="27" t="inlineStr"/>
      <c r="D83" s="27" t="inlineStr"/>
      <c r="E83" s="27" t="inlineStr"/>
      <c r="F83" s="27">
        <f>IF(OR(D83="",E83=""),"",D83*E83)</f>
        <v/>
      </c>
      <c r="G83" s="27">
        <f>IF(F83="","",IF(F83&gt;=20,"Critical",IF(F83&gt;=12,"High",IF(F83&gt;=6,"Medium","Low"))))</f>
        <v/>
      </c>
      <c r="H83" s="27" t="inlineStr"/>
      <c r="I83" s="27" t="inlineStr"/>
      <c r="J83" s="27" t="inlineStr"/>
      <c r="K83" s="27" t="inlineStr"/>
    </row>
    <row r="84">
      <c r="A84" s="27" t="inlineStr"/>
      <c r="B84" s="27" t="inlineStr"/>
      <c r="C84" s="27" t="inlineStr"/>
      <c r="D84" s="27" t="inlineStr"/>
      <c r="E84" s="27" t="inlineStr"/>
      <c r="F84" s="27">
        <f>IF(OR(D84="",E84=""),"",D84*E84)</f>
        <v/>
      </c>
      <c r="G84" s="27">
        <f>IF(F84="","",IF(F84&gt;=20,"Critical",IF(F84&gt;=12,"High",IF(F84&gt;=6,"Medium","Low"))))</f>
        <v/>
      </c>
      <c r="H84" s="27" t="inlineStr"/>
      <c r="I84" s="27" t="inlineStr"/>
      <c r="J84" s="27" t="inlineStr"/>
      <c r="K84" s="27" t="inlineStr"/>
    </row>
    <row r="85">
      <c r="A85" s="27" t="inlineStr"/>
      <c r="B85" s="27" t="inlineStr"/>
      <c r="C85" s="27" t="inlineStr"/>
      <c r="D85" s="27" t="inlineStr"/>
      <c r="E85" s="27" t="inlineStr"/>
      <c r="F85" s="27">
        <f>IF(OR(D85="",E85=""),"",D85*E85)</f>
        <v/>
      </c>
      <c r="G85" s="27">
        <f>IF(F85="","",IF(F85&gt;=20,"Critical",IF(F85&gt;=12,"High",IF(F85&gt;=6,"Medium","Low"))))</f>
        <v/>
      </c>
      <c r="H85" s="27" t="inlineStr"/>
      <c r="I85" s="27" t="inlineStr"/>
      <c r="J85" s="27" t="inlineStr"/>
      <c r="K85" s="27" t="inlineStr"/>
    </row>
    <row r="86">
      <c r="A86" s="27" t="inlineStr"/>
      <c r="B86" s="27" t="inlineStr"/>
      <c r="C86" s="27" t="inlineStr"/>
      <c r="D86" s="27" t="inlineStr"/>
      <c r="E86" s="27" t="inlineStr"/>
      <c r="F86" s="27">
        <f>IF(OR(D86="",E86=""),"",D86*E86)</f>
        <v/>
      </c>
      <c r="G86" s="27">
        <f>IF(F86="","",IF(F86&gt;=20,"Critical",IF(F86&gt;=12,"High",IF(F86&gt;=6,"Medium","Low"))))</f>
        <v/>
      </c>
      <c r="H86" s="27" t="inlineStr"/>
      <c r="I86" s="27" t="inlineStr"/>
      <c r="J86" s="27" t="inlineStr"/>
      <c r="K86" s="27" t="inlineStr"/>
    </row>
    <row r="87">
      <c r="A87" s="27" t="inlineStr"/>
      <c r="B87" s="27" t="inlineStr"/>
      <c r="C87" s="27" t="inlineStr"/>
      <c r="D87" s="27" t="inlineStr"/>
      <c r="E87" s="27" t="inlineStr"/>
      <c r="F87" s="27">
        <f>IF(OR(D87="",E87=""),"",D87*E87)</f>
        <v/>
      </c>
      <c r="G87" s="27">
        <f>IF(F87="","",IF(F87&gt;=20,"Critical",IF(F87&gt;=12,"High",IF(F87&gt;=6,"Medium","Low"))))</f>
        <v/>
      </c>
      <c r="H87" s="27" t="inlineStr"/>
      <c r="I87" s="27" t="inlineStr"/>
      <c r="J87" s="27" t="inlineStr"/>
      <c r="K87" s="27" t="inlineStr"/>
    </row>
    <row r="88">
      <c r="A88" s="27" t="inlineStr"/>
      <c r="B88" s="27" t="inlineStr"/>
      <c r="C88" s="27" t="inlineStr"/>
      <c r="D88" s="27" t="inlineStr"/>
      <c r="E88" s="27" t="inlineStr"/>
      <c r="F88" s="27">
        <f>IF(OR(D88="",E88=""),"",D88*E88)</f>
        <v/>
      </c>
      <c r="G88" s="27">
        <f>IF(F88="","",IF(F88&gt;=20,"Critical",IF(F88&gt;=12,"High",IF(F88&gt;=6,"Medium","Low"))))</f>
        <v/>
      </c>
      <c r="H88" s="27" t="inlineStr"/>
      <c r="I88" s="27" t="inlineStr"/>
      <c r="J88" s="27" t="inlineStr"/>
      <c r="K88" s="27" t="inlineStr"/>
    </row>
    <row r="89">
      <c r="A89" s="27" t="inlineStr"/>
      <c r="B89" s="27" t="inlineStr"/>
      <c r="C89" s="27" t="inlineStr"/>
      <c r="D89" s="27" t="inlineStr"/>
      <c r="E89" s="27" t="inlineStr"/>
      <c r="F89" s="27">
        <f>IF(OR(D89="",E89=""),"",D89*E89)</f>
        <v/>
      </c>
      <c r="G89" s="27">
        <f>IF(F89="","",IF(F89&gt;=20,"Critical",IF(F89&gt;=12,"High",IF(F89&gt;=6,"Medium","Low"))))</f>
        <v/>
      </c>
      <c r="H89" s="27" t="inlineStr"/>
      <c r="I89" s="27" t="inlineStr"/>
      <c r="J89" s="27" t="inlineStr"/>
      <c r="K89" s="27" t="inlineStr"/>
    </row>
    <row r="90">
      <c r="A90" s="27" t="inlineStr"/>
      <c r="B90" s="27" t="inlineStr"/>
      <c r="C90" s="27" t="inlineStr"/>
      <c r="D90" s="27" t="inlineStr"/>
      <c r="E90" s="27" t="inlineStr"/>
      <c r="F90" s="27">
        <f>IF(OR(D90="",E90=""),"",D90*E90)</f>
        <v/>
      </c>
      <c r="G90" s="27">
        <f>IF(F90="","",IF(F90&gt;=20,"Critical",IF(F90&gt;=12,"High",IF(F90&gt;=6,"Medium","Low"))))</f>
        <v/>
      </c>
      <c r="H90" s="27" t="inlineStr"/>
      <c r="I90" s="27" t="inlineStr"/>
      <c r="J90" s="27" t="inlineStr"/>
      <c r="K90" s="27" t="inlineStr"/>
    </row>
    <row r="91">
      <c r="A91" s="27" t="inlineStr"/>
      <c r="B91" s="27" t="inlineStr"/>
      <c r="C91" s="27" t="inlineStr"/>
      <c r="D91" s="27" t="inlineStr"/>
      <c r="E91" s="27" t="inlineStr"/>
      <c r="F91" s="27">
        <f>IF(OR(D91="",E91=""),"",D91*E91)</f>
        <v/>
      </c>
      <c r="G91" s="27">
        <f>IF(F91="","",IF(F91&gt;=20,"Critical",IF(F91&gt;=12,"High",IF(F91&gt;=6,"Medium","Low"))))</f>
        <v/>
      </c>
      <c r="H91" s="27" t="inlineStr"/>
      <c r="I91" s="27" t="inlineStr"/>
      <c r="J91" s="27" t="inlineStr"/>
      <c r="K91" s="27" t="inlineStr"/>
    </row>
    <row r="92">
      <c r="A92" s="27" t="inlineStr"/>
      <c r="B92" s="27" t="inlineStr"/>
      <c r="C92" s="27" t="inlineStr"/>
      <c r="D92" s="27" t="inlineStr"/>
      <c r="E92" s="27" t="inlineStr"/>
      <c r="F92" s="27">
        <f>IF(OR(D92="",E92=""),"",D92*E92)</f>
        <v/>
      </c>
      <c r="G92" s="27">
        <f>IF(F92="","",IF(F92&gt;=20,"Critical",IF(F92&gt;=12,"High",IF(F92&gt;=6,"Medium","Low"))))</f>
        <v/>
      </c>
      <c r="H92" s="27" t="inlineStr"/>
      <c r="I92" s="27" t="inlineStr"/>
      <c r="J92" s="27" t="inlineStr"/>
      <c r="K92" s="27" t="inlineStr"/>
    </row>
    <row r="93">
      <c r="A93" s="27" t="inlineStr"/>
      <c r="B93" s="27" t="inlineStr"/>
      <c r="C93" s="27" t="inlineStr"/>
      <c r="D93" s="27" t="inlineStr"/>
      <c r="E93" s="27" t="inlineStr"/>
      <c r="F93" s="27">
        <f>IF(OR(D93="",E93=""),"",D93*E93)</f>
        <v/>
      </c>
      <c r="G93" s="27">
        <f>IF(F93="","",IF(F93&gt;=20,"Critical",IF(F93&gt;=12,"High",IF(F93&gt;=6,"Medium","Low"))))</f>
        <v/>
      </c>
      <c r="H93" s="27" t="inlineStr"/>
      <c r="I93" s="27" t="inlineStr"/>
      <c r="J93" s="27" t="inlineStr"/>
      <c r="K93" s="27" t="inlineStr"/>
    </row>
    <row r="94">
      <c r="A94" s="27" t="inlineStr"/>
      <c r="B94" s="27" t="inlineStr"/>
      <c r="C94" s="27" t="inlineStr"/>
      <c r="D94" s="27" t="inlineStr"/>
      <c r="E94" s="27" t="inlineStr"/>
      <c r="F94" s="27">
        <f>IF(OR(D94="",E94=""),"",D94*E94)</f>
        <v/>
      </c>
      <c r="G94" s="27">
        <f>IF(F94="","",IF(F94&gt;=20,"Critical",IF(F94&gt;=12,"High",IF(F94&gt;=6,"Medium","Low"))))</f>
        <v/>
      </c>
      <c r="H94" s="27" t="inlineStr"/>
      <c r="I94" s="27" t="inlineStr"/>
      <c r="J94" s="27" t="inlineStr"/>
      <c r="K94" s="27" t="inlineStr"/>
    </row>
    <row r="95">
      <c r="A95" s="27" t="inlineStr"/>
      <c r="B95" s="27" t="inlineStr"/>
      <c r="C95" s="27" t="inlineStr"/>
      <c r="D95" s="27" t="inlineStr"/>
      <c r="E95" s="27" t="inlineStr"/>
      <c r="F95" s="27">
        <f>IF(OR(D95="",E95=""),"",D95*E95)</f>
        <v/>
      </c>
      <c r="G95" s="27">
        <f>IF(F95="","",IF(F95&gt;=20,"Critical",IF(F95&gt;=12,"High",IF(F95&gt;=6,"Medium","Low"))))</f>
        <v/>
      </c>
      <c r="H95" s="27" t="inlineStr"/>
      <c r="I95" s="27" t="inlineStr"/>
      <c r="J95" s="27" t="inlineStr"/>
      <c r="K95" s="27" t="inlineStr"/>
    </row>
    <row r="96">
      <c r="A96" s="27" t="inlineStr"/>
      <c r="B96" s="27" t="inlineStr"/>
      <c r="C96" s="27" t="inlineStr"/>
      <c r="D96" s="27" t="inlineStr"/>
      <c r="E96" s="27" t="inlineStr"/>
      <c r="F96" s="27">
        <f>IF(OR(D96="",E96=""),"",D96*E96)</f>
        <v/>
      </c>
      <c r="G96" s="27">
        <f>IF(F96="","",IF(F96&gt;=20,"Critical",IF(F96&gt;=12,"High",IF(F96&gt;=6,"Medium","Low"))))</f>
        <v/>
      </c>
      <c r="H96" s="27" t="inlineStr"/>
      <c r="I96" s="27" t="inlineStr"/>
      <c r="J96" s="27" t="inlineStr"/>
      <c r="K96" s="27" t="inlineStr"/>
    </row>
    <row r="97">
      <c r="A97" s="27" t="inlineStr"/>
      <c r="B97" s="27" t="inlineStr"/>
      <c r="C97" s="27" t="inlineStr"/>
      <c r="D97" s="27" t="inlineStr"/>
      <c r="E97" s="27" t="inlineStr"/>
      <c r="F97" s="27">
        <f>IF(OR(D97="",E97=""),"",D97*E97)</f>
        <v/>
      </c>
      <c r="G97" s="27">
        <f>IF(F97="","",IF(F97&gt;=20,"Critical",IF(F97&gt;=12,"High",IF(F97&gt;=6,"Medium","Low"))))</f>
        <v/>
      </c>
      <c r="H97" s="27" t="inlineStr"/>
      <c r="I97" s="27" t="inlineStr"/>
      <c r="J97" s="27" t="inlineStr"/>
      <c r="K97" s="27" t="inlineStr"/>
    </row>
    <row r="98">
      <c r="A98" s="27" t="inlineStr"/>
      <c r="B98" s="27" t="inlineStr"/>
      <c r="C98" s="27" t="inlineStr"/>
      <c r="D98" s="27" t="inlineStr"/>
      <c r="E98" s="27" t="inlineStr"/>
      <c r="F98" s="27">
        <f>IF(OR(D98="",E98=""),"",D98*E98)</f>
        <v/>
      </c>
      <c r="G98" s="27">
        <f>IF(F98="","",IF(F98&gt;=20,"Critical",IF(F98&gt;=12,"High",IF(F98&gt;=6,"Medium","Low"))))</f>
        <v/>
      </c>
      <c r="H98" s="27" t="inlineStr"/>
      <c r="I98" s="27" t="inlineStr"/>
      <c r="J98" s="27" t="inlineStr"/>
      <c r="K98" s="27" t="inlineStr"/>
    </row>
    <row r="99">
      <c r="A99" s="27" t="inlineStr"/>
      <c r="B99" s="27" t="inlineStr"/>
      <c r="C99" s="27" t="inlineStr"/>
      <c r="D99" s="27" t="inlineStr"/>
      <c r="E99" s="27" t="inlineStr"/>
      <c r="F99" s="27">
        <f>IF(OR(D99="",E99=""),"",D99*E99)</f>
        <v/>
      </c>
      <c r="G99" s="27">
        <f>IF(F99="","",IF(F99&gt;=20,"Critical",IF(F99&gt;=12,"High",IF(F99&gt;=6,"Medium","Low"))))</f>
        <v/>
      </c>
      <c r="H99" s="27" t="inlineStr"/>
      <c r="I99" s="27" t="inlineStr"/>
      <c r="J99" s="27" t="inlineStr"/>
      <c r="K99" s="27" t="inlineStr"/>
    </row>
    <row r="100">
      <c r="A100" s="27" t="inlineStr"/>
      <c r="B100" s="27" t="inlineStr"/>
      <c r="C100" s="27" t="inlineStr"/>
      <c r="D100" s="27" t="inlineStr"/>
      <c r="E100" s="27" t="inlineStr"/>
      <c r="F100" s="27">
        <f>IF(OR(D100="",E100=""),"",D100*E100)</f>
        <v/>
      </c>
      <c r="G100" s="27">
        <f>IF(F100="","",IF(F100&gt;=20,"Critical",IF(F100&gt;=12,"High",IF(F100&gt;=6,"Medium","Low"))))</f>
        <v/>
      </c>
      <c r="H100" s="27" t="inlineStr"/>
      <c r="I100" s="27" t="inlineStr"/>
      <c r="J100" s="27" t="inlineStr"/>
      <c r="K100" s="27" t="inlineStr"/>
    </row>
    <row r="101">
      <c r="A101" s="27" t="inlineStr"/>
      <c r="B101" s="27" t="inlineStr"/>
      <c r="C101" s="27" t="inlineStr"/>
      <c r="D101" s="27" t="inlineStr"/>
      <c r="E101" s="27" t="inlineStr"/>
      <c r="F101" s="27">
        <f>IF(OR(D101="",E101=""),"",D101*E101)</f>
        <v/>
      </c>
      <c r="G101" s="27">
        <f>IF(F101="","",IF(F101&gt;=20,"Critical",IF(F101&gt;=12,"High",IF(F101&gt;=6,"Medium","Low"))))</f>
        <v/>
      </c>
      <c r="H101" s="27" t="inlineStr"/>
      <c r="I101" s="27" t="inlineStr"/>
      <c r="J101" s="27" t="inlineStr"/>
      <c r="K101" s="27" t="inlineStr"/>
    </row>
    <row r="102">
      <c r="A102" s="27" t="inlineStr"/>
      <c r="B102" s="27" t="inlineStr"/>
      <c r="C102" s="27" t="inlineStr"/>
      <c r="D102" s="27" t="inlineStr"/>
      <c r="E102" s="27" t="inlineStr"/>
      <c r="F102" s="27">
        <f>IF(OR(D102="",E102=""),"",D102*E102)</f>
        <v/>
      </c>
      <c r="G102" s="27">
        <f>IF(F102="","",IF(F102&gt;=20,"Critical",IF(F102&gt;=12,"High",IF(F102&gt;=6,"Medium","Low"))))</f>
        <v/>
      </c>
      <c r="H102" s="27" t="inlineStr"/>
      <c r="I102" s="27" t="inlineStr"/>
      <c r="J102" s="27" t="inlineStr"/>
      <c r="K102" s="27" t="inlineStr"/>
    </row>
    <row r="103">
      <c r="A103" s="27" t="inlineStr"/>
      <c r="B103" s="27" t="inlineStr"/>
      <c r="C103" s="27" t="inlineStr"/>
      <c r="D103" s="27" t="inlineStr"/>
      <c r="E103" s="27" t="inlineStr"/>
      <c r="F103" s="27">
        <f>IF(OR(D103="",E103=""),"",D103*E103)</f>
        <v/>
      </c>
      <c r="G103" s="27">
        <f>IF(F103="","",IF(F103&gt;=20,"Critical",IF(F103&gt;=12,"High",IF(F103&gt;=6,"Medium","Low"))))</f>
        <v/>
      </c>
      <c r="H103" s="27" t="inlineStr"/>
      <c r="I103" s="27" t="inlineStr"/>
      <c r="J103" s="27" t="inlineStr"/>
      <c r="K103" s="27" t="inlineStr"/>
    </row>
    <row r="104">
      <c r="A104" s="27" t="inlineStr"/>
      <c r="B104" s="27" t="inlineStr"/>
      <c r="C104" s="27" t="inlineStr"/>
      <c r="D104" s="27" t="inlineStr"/>
      <c r="E104" s="27" t="inlineStr"/>
      <c r="F104" s="27">
        <f>IF(OR(D104="",E104=""),"",D104*E104)</f>
        <v/>
      </c>
      <c r="G104" s="27">
        <f>IF(F104="","",IF(F104&gt;=20,"Critical",IF(F104&gt;=12,"High",IF(F104&gt;=6,"Medium","Low"))))</f>
        <v/>
      </c>
      <c r="H104" s="27" t="inlineStr"/>
      <c r="I104" s="27" t="inlineStr"/>
      <c r="J104" s="27" t="inlineStr"/>
      <c r="K104" s="27" t="inlineStr"/>
    </row>
    <row r="105">
      <c r="A105" s="27" t="inlineStr"/>
      <c r="B105" s="27" t="inlineStr"/>
      <c r="C105" s="27" t="inlineStr"/>
      <c r="D105" s="27" t="inlineStr"/>
      <c r="E105" s="27" t="inlineStr"/>
      <c r="F105" s="27">
        <f>IF(OR(D105="",E105=""),"",D105*E105)</f>
        <v/>
      </c>
      <c r="G105" s="27">
        <f>IF(F105="","",IF(F105&gt;=20,"Critical",IF(F105&gt;=12,"High",IF(F105&gt;=6,"Medium","Low"))))</f>
        <v/>
      </c>
      <c r="H105" s="27" t="inlineStr"/>
      <c r="I105" s="27" t="inlineStr"/>
      <c r="J105" s="27" t="inlineStr"/>
      <c r="K105" s="27" t="inlineStr"/>
    </row>
    <row r="106">
      <c r="A106" s="27" t="inlineStr"/>
      <c r="B106" s="27" t="inlineStr"/>
      <c r="C106" s="27" t="inlineStr"/>
      <c r="D106" s="27" t="inlineStr"/>
      <c r="E106" s="27" t="inlineStr"/>
      <c r="F106" s="27">
        <f>IF(OR(D106="",E106=""),"",D106*E106)</f>
        <v/>
      </c>
      <c r="G106" s="27">
        <f>IF(F106="","",IF(F106&gt;=20,"Critical",IF(F106&gt;=12,"High",IF(F106&gt;=6,"Medium","Low"))))</f>
        <v/>
      </c>
      <c r="H106" s="27" t="inlineStr"/>
      <c r="I106" s="27" t="inlineStr"/>
      <c r="J106" s="27" t="inlineStr"/>
      <c r="K106" s="27" t="inlineStr"/>
    </row>
    <row r="107">
      <c r="A107" s="27" t="inlineStr"/>
      <c r="B107" s="27" t="inlineStr"/>
      <c r="C107" s="27" t="inlineStr"/>
      <c r="D107" s="27" t="inlineStr"/>
      <c r="E107" s="27" t="inlineStr"/>
      <c r="F107" s="27">
        <f>IF(OR(D107="",E107=""),"",D107*E107)</f>
        <v/>
      </c>
      <c r="G107" s="27">
        <f>IF(F107="","",IF(F107&gt;=20,"Critical",IF(F107&gt;=12,"High",IF(F107&gt;=6,"Medium","Low"))))</f>
        <v/>
      </c>
      <c r="H107" s="27" t="inlineStr"/>
      <c r="I107" s="27" t="inlineStr"/>
      <c r="J107" s="27" t="inlineStr"/>
      <c r="K107" s="27" t="inlineStr"/>
    </row>
    <row r="108">
      <c r="A108" s="27" t="inlineStr"/>
      <c r="B108" s="27" t="inlineStr"/>
      <c r="C108" s="27" t="inlineStr"/>
      <c r="D108" s="27" t="inlineStr"/>
      <c r="E108" s="27" t="inlineStr"/>
      <c r="F108" s="27">
        <f>IF(OR(D108="",E108=""),"",D108*E108)</f>
        <v/>
      </c>
      <c r="G108" s="27">
        <f>IF(F108="","",IF(F108&gt;=20,"Critical",IF(F108&gt;=12,"High",IF(F108&gt;=6,"Medium","Low"))))</f>
        <v/>
      </c>
      <c r="H108" s="27" t="inlineStr"/>
      <c r="I108" s="27" t="inlineStr"/>
      <c r="J108" s="27" t="inlineStr"/>
      <c r="K108" s="27" t="inlineStr"/>
    </row>
    <row r="109">
      <c r="A109" s="27" t="inlineStr"/>
      <c r="B109" s="27" t="inlineStr"/>
      <c r="C109" s="27" t="inlineStr"/>
      <c r="D109" s="27" t="inlineStr"/>
      <c r="E109" s="27" t="inlineStr"/>
      <c r="F109" s="27">
        <f>IF(OR(D109="",E109=""),"",D109*E109)</f>
        <v/>
      </c>
      <c r="G109" s="27">
        <f>IF(F109="","",IF(F109&gt;=20,"Critical",IF(F109&gt;=12,"High",IF(F109&gt;=6,"Medium","Low"))))</f>
        <v/>
      </c>
      <c r="H109" s="27" t="inlineStr"/>
      <c r="I109" s="27" t="inlineStr"/>
      <c r="J109" s="27" t="inlineStr"/>
      <c r="K109" s="27" t="inlineStr"/>
    </row>
    <row r="110">
      <c r="A110" s="27" t="inlineStr"/>
      <c r="B110" s="27" t="inlineStr"/>
      <c r="C110" s="27" t="inlineStr"/>
      <c r="D110" s="27" t="inlineStr"/>
      <c r="E110" s="27" t="inlineStr"/>
      <c r="F110" s="27">
        <f>IF(OR(D110="",E110=""),"",D110*E110)</f>
        <v/>
      </c>
      <c r="G110" s="27">
        <f>IF(F110="","",IF(F110&gt;=20,"Critical",IF(F110&gt;=12,"High",IF(F110&gt;=6,"Medium","Low"))))</f>
        <v/>
      </c>
      <c r="H110" s="27" t="inlineStr"/>
      <c r="I110" s="27" t="inlineStr"/>
      <c r="J110" s="27" t="inlineStr"/>
      <c r="K110" s="27" t="inlineStr"/>
    </row>
    <row r="111">
      <c r="A111" s="27" t="inlineStr"/>
      <c r="B111" s="27" t="inlineStr"/>
      <c r="C111" s="27" t="inlineStr"/>
      <c r="D111" s="27" t="inlineStr"/>
      <c r="E111" s="27" t="inlineStr"/>
      <c r="F111" s="27">
        <f>IF(OR(D111="",E111=""),"",D111*E111)</f>
        <v/>
      </c>
      <c r="G111" s="27">
        <f>IF(F111="","",IF(F111&gt;=20,"Critical",IF(F111&gt;=12,"High",IF(F111&gt;=6,"Medium","Low"))))</f>
        <v/>
      </c>
      <c r="H111" s="27" t="inlineStr"/>
      <c r="I111" s="27" t="inlineStr"/>
      <c r="J111" s="27" t="inlineStr"/>
      <c r="K111" s="27" t="inlineStr"/>
    </row>
    <row r="112">
      <c r="A112" s="27" t="inlineStr"/>
      <c r="B112" s="27" t="inlineStr"/>
      <c r="C112" s="27" t="inlineStr"/>
      <c r="D112" s="27" t="inlineStr"/>
      <c r="E112" s="27" t="inlineStr"/>
      <c r="F112" s="27">
        <f>IF(OR(D112="",E112=""),"",D112*E112)</f>
        <v/>
      </c>
      <c r="G112" s="27">
        <f>IF(F112="","",IF(F112&gt;=20,"Critical",IF(F112&gt;=12,"High",IF(F112&gt;=6,"Medium","Low"))))</f>
        <v/>
      </c>
      <c r="H112" s="27" t="inlineStr"/>
      <c r="I112" s="27" t="inlineStr"/>
      <c r="J112" s="27" t="inlineStr"/>
      <c r="K112" s="27" t="inlineStr"/>
    </row>
    <row r="113">
      <c r="A113" s="27" t="inlineStr"/>
      <c r="B113" s="27" t="inlineStr"/>
      <c r="C113" s="27" t="inlineStr"/>
      <c r="D113" s="27" t="inlineStr"/>
      <c r="E113" s="27" t="inlineStr"/>
      <c r="F113" s="27">
        <f>IF(OR(D113="",E113=""),"",D113*E113)</f>
        <v/>
      </c>
      <c r="G113" s="27">
        <f>IF(F113="","",IF(F113&gt;=20,"Critical",IF(F113&gt;=12,"High",IF(F113&gt;=6,"Medium","Low"))))</f>
        <v/>
      </c>
      <c r="H113" s="27" t="inlineStr"/>
      <c r="I113" s="27" t="inlineStr"/>
      <c r="J113" s="27" t="inlineStr"/>
      <c r="K113" s="27" t="inlineStr"/>
    </row>
    <row r="114">
      <c r="A114" s="27" t="inlineStr"/>
      <c r="B114" s="27" t="inlineStr"/>
      <c r="C114" s="27" t="inlineStr"/>
      <c r="D114" s="27" t="inlineStr"/>
      <c r="E114" s="27" t="inlineStr"/>
      <c r="F114" s="27">
        <f>IF(OR(D114="",E114=""),"",D114*E114)</f>
        <v/>
      </c>
      <c r="G114" s="27">
        <f>IF(F114="","",IF(F114&gt;=20,"Critical",IF(F114&gt;=12,"High",IF(F114&gt;=6,"Medium","Low"))))</f>
        <v/>
      </c>
      <c r="H114" s="27" t="inlineStr"/>
      <c r="I114" s="27" t="inlineStr"/>
      <c r="J114" s="27" t="inlineStr"/>
      <c r="K114" s="27" t="inlineStr"/>
    </row>
    <row r="115">
      <c r="A115" s="27" t="inlineStr"/>
      <c r="B115" s="27" t="inlineStr"/>
      <c r="C115" s="27" t="inlineStr"/>
      <c r="D115" s="27" t="inlineStr"/>
      <c r="E115" s="27" t="inlineStr"/>
      <c r="F115" s="27">
        <f>IF(OR(D115="",E115=""),"",D115*E115)</f>
        <v/>
      </c>
      <c r="G115" s="27">
        <f>IF(F115="","",IF(F115&gt;=20,"Critical",IF(F115&gt;=12,"High",IF(F115&gt;=6,"Medium","Low"))))</f>
        <v/>
      </c>
      <c r="H115" s="27" t="inlineStr"/>
      <c r="I115" s="27" t="inlineStr"/>
      <c r="J115" s="27" t="inlineStr"/>
      <c r="K115" s="27" t="inlineStr"/>
    </row>
    <row r="116">
      <c r="A116" s="27" t="inlineStr"/>
      <c r="B116" s="27" t="inlineStr"/>
      <c r="C116" s="27" t="inlineStr"/>
      <c r="D116" s="27" t="inlineStr"/>
      <c r="E116" s="27" t="inlineStr"/>
      <c r="F116" s="27">
        <f>IF(OR(D116="",E116=""),"",D116*E116)</f>
        <v/>
      </c>
      <c r="G116" s="27">
        <f>IF(F116="","",IF(F116&gt;=20,"Critical",IF(F116&gt;=12,"High",IF(F116&gt;=6,"Medium","Low"))))</f>
        <v/>
      </c>
      <c r="H116" s="27" t="inlineStr"/>
      <c r="I116" s="27" t="inlineStr"/>
      <c r="J116" s="27" t="inlineStr"/>
      <c r="K116" s="27" t="inlineStr"/>
    </row>
    <row r="117">
      <c r="A117" s="27" t="inlineStr"/>
      <c r="B117" s="27" t="inlineStr"/>
      <c r="C117" s="27" t="inlineStr"/>
      <c r="D117" s="27" t="inlineStr"/>
      <c r="E117" s="27" t="inlineStr"/>
      <c r="F117" s="27">
        <f>IF(OR(D117="",E117=""),"",D117*E117)</f>
        <v/>
      </c>
      <c r="G117" s="27">
        <f>IF(F117="","",IF(F117&gt;=20,"Critical",IF(F117&gt;=12,"High",IF(F117&gt;=6,"Medium","Low"))))</f>
        <v/>
      </c>
      <c r="H117" s="27" t="inlineStr"/>
      <c r="I117" s="27" t="inlineStr"/>
      <c r="J117" s="27" t="inlineStr"/>
      <c r="K117" s="27" t="inlineStr"/>
    </row>
    <row r="118">
      <c r="A118" s="27" t="inlineStr"/>
      <c r="B118" s="27" t="inlineStr"/>
      <c r="C118" s="27" t="inlineStr"/>
      <c r="D118" s="27" t="inlineStr"/>
      <c r="E118" s="27" t="inlineStr"/>
      <c r="F118" s="27">
        <f>IF(OR(D118="",E118=""),"",D118*E118)</f>
        <v/>
      </c>
      <c r="G118" s="27">
        <f>IF(F118="","",IF(F118&gt;=20,"Critical",IF(F118&gt;=12,"High",IF(F118&gt;=6,"Medium","Low"))))</f>
        <v/>
      </c>
      <c r="H118" s="27" t="inlineStr"/>
      <c r="I118" s="27" t="inlineStr"/>
      <c r="J118" s="27" t="inlineStr"/>
      <c r="K118" s="27" t="inlineStr"/>
    </row>
    <row r="119">
      <c r="A119" s="27" t="inlineStr"/>
      <c r="B119" s="27" t="inlineStr"/>
      <c r="C119" s="27" t="inlineStr"/>
      <c r="D119" s="27" t="inlineStr"/>
      <c r="E119" s="27" t="inlineStr"/>
      <c r="F119" s="27">
        <f>IF(OR(D119="",E119=""),"",D119*E119)</f>
        <v/>
      </c>
      <c r="G119" s="27">
        <f>IF(F119="","",IF(F119&gt;=20,"Critical",IF(F119&gt;=12,"High",IF(F119&gt;=6,"Medium","Low"))))</f>
        <v/>
      </c>
      <c r="H119" s="27" t="inlineStr"/>
      <c r="I119" s="27" t="inlineStr"/>
      <c r="J119" s="27" t="inlineStr"/>
      <c r="K119" s="27" t="inlineStr"/>
    </row>
    <row r="120">
      <c r="A120" s="27" t="inlineStr"/>
      <c r="B120" s="27" t="inlineStr"/>
      <c r="C120" s="27" t="inlineStr"/>
      <c r="D120" s="27" t="inlineStr"/>
      <c r="E120" s="27" t="inlineStr"/>
      <c r="F120" s="27">
        <f>IF(OR(D120="",E120=""),"",D120*E120)</f>
        <v/>
      </c>
      <c r="G120" s="27">
        <f>IF(F120="","",IF(F120&gt;=20,"Critical",IF(F120&gt;=12,"High",IF(F120&gt;=6,"Medium","Low"))))</f>
        <v/>
      </c>
      <c r="H120" s="27" t="inlineStr"/>
      <c r="I120" s="27" t="inlineStr"/>
      <c r="J120" s="27" t="inlineStr"/>
      <c r="K120" s="27" t="inlineStr"/>
    </row>
    <row r="121">
      <c r="A121" s="27" t="inlineStr"/>
      <c r="B121" s="27" t="inlineStr"/>
      <c r="C121" s="27" t="inlineStr"/>
      <c r="D121" s="27" t="inlineStr"/>
      <c r="E121" s="27" t="inlineStr"/>
      <c r="F121" s="27">
        <f>IF(OR(D121="",E121=""),"",D121*E121)</f>
        <v/>
      </c>
      <c r="G121" s="27">
        <f>IF(F121="","",IF(F121&gt;=20,"Critical",IF(F121&gt;=12,"High",IF(F121&gt;=6,"Medium","Low"))))</f>
        <v/>
      </c>
      <c r="H121" s="27" t="inlineStr"/>
      <c r="I121" s="27" t="inlineStr"/>
      <c r="J121" s="27" t="inlineStr"/>
      <c r="K121" s="27" t="inlineStr"/>
    </row>
    <row r="122">
      <c r="A122" s="27" t="inlineStr"/>
      <c r="B122" s="27" t="inlineStr"/>
      <c r="C122" s="27" t="inlineStr"/>
      <c r="D122" s="27" t="inlineStr"/>
      <c r="E122" s="27" t="inlineStr"/>
      <c r="F122" s="27">
        <f>IF(OR(D122="",E122=""),"",D122*E122)</f>
        <v/>
      </c>
      <c r="G122" s="27">
        <f>IF(F122="","",IF(F122&gt;=20,"Critical",IF(F122&gt;=12,"High",IF(F122&gt;=6,"Medium","Low"))))</f>
        <v/>
      </c>
      <c r="H122" s="27" t="inlineStr"/>
      <c r="I122" s="27" t="inlineStr"/>
      <c r="J122" s="27" t="inlineStr"/>
      <c r="K122" s="27" t="inlineStr"/>
    </row>
    <row r="123">
      <c r="A123" s="27" t="inlineStr"/>
      <c r="B123" s="27" t="inlineStr"/>
      <c r="C123" s="27" t="inlineStr"/>
      <c r="D123" s="27" t="inlineStr"/>
      <c r="E123" s="27" t="inlineStr"/>
      <c r="F123" s="27">
        <f>IF(OR(D123="",E123=""),"",D123*E123)</f>
        <v/>
      </c>
      <c r="G123" s="27">
        <f>IF(F123="","",IF(F123&gt;=20,"Critical",IF(F123&gt;=12,"High",IF(F123&gt;=6,"Medium","Low"))))</f>
        <v/>
      </c>
      <c r="H123" s="27" t="inlineStr"/>
      <c r="I123" s="27" t="inlineStr"/>
      <c r="J123" s="27" t="inlineStr"/>
      <c r="K123" s="27" t="inlineStr"/>
    </row>
    <row r="124">
      <c r="A124" s="27" t="inlineStr"/>
      <c r="B124" s="27" t="inlineStr"/>
      <c r="C124" s="27" t="inlineStr"/>
      <c r="D124" s="27" t="inlineStr"/>
      <c r="E124" s="27" t="inlineStr"/>
      <c r="F124" s="27">
        <f>IF(OR(D124="",E124=""),"",D124*E124)</f>
        <v/>
      </c>
      <c r="G124" s="27">
        <f>IF(F124="","",IF(F124&gt;=20,"Critical",IF(F124&gt;=12,"High",IF(F124&gt;=6,"Medium","Low"))))</f>
        <v/>
      </c>
      <c r="H124" s="27" t="inlineStr"/>
      <c r="I124" s="27" t="inlineStr"/>
      <c r="J124" s="27" t="inlineStr"/>
      <c r="K124" s="27" t="inlineStr"/>
    </row>
    <row r="125">
      <c r="A125" s="27" t="inlineStr"/>
      <c r="B125" s="27" t="inlineStr"/>
      <c r="C125" s="27" t="inlineStr"/>
      <c r="D125" s="27" t="inlineStr"/>
      <c r="E125" s="27" t="inlineStr"/>
      <c r="F125" s="27">
        <f>IF(OR(D125="",E125=""),"",D125*E125)</f>
        <v/>
      </c>
      <c r="G125" s="27">
        <f>IF(F125="","",IF(F125&gt;=20,"Critical",IF(F125&gt;=12,"High",IF(F125&gt;=6,"Medium","Low"))))</f>
        <v/>
      </c>
      <c r="H125" s="27" t="inlineStr"/>
      <c r="I125" s="27" t="inlineStr"/>
      <c r="J125" s="27" t="inlineStr"/>
      <c r="K125" s="27" t="inlineStr"/>
    </row>
    <row r="126">
      <c r="A126" s="27" t="inlineStr"/>
      <c r="B126" s="27" t="inlineStr"/>
      <c r="C126" s="27" t="inlineStr"/>
      <c r="D126" s="27" t="inlineStr"/>
      <c r="E126" s="27" t="inlineStr"/>
      <c r="F126" s="27">
        <f>IF(OR(D126="",E126=""),"",D126*E126)</f>
        <v/>
      </c>
      <c r="G126" s="27">
        <f>IF(F126="","",IF(F126&gt;=20,"Critical",IF(F126&gt;=12,"High",IF(F126&gt;=6,"Medium","Low"))))</f>
        <v/>
      </c>
      <c r="H126" s="27" t="inlineStr"/>
      <c r="I126" s="27" t="inlineStr"/>
      <c r="J126" s="27" t="inlineStr"/>
      <c r="K126" s="27" t="inlineStr"/>
    </row>
    <row r="127">
      <c r="A127" s="27" t="inlineStr"/>
      <c r="B127" s="27" t="inlineStr"/>
      <c r="C127" s="27" t="inlineStr"/>
      <c r="D127" s="27" t="inlineStr"/>
      <c r="E127" s="27" t="inlineStr"/>
      <c r="F127" s="27">
        <f>IF(OR(D127="",E127=""),"",D127*E127)</f>
        <v/>
      </c>
      <c r="G127" s="27">
        <f>IF(F127="","",IF(F127&gt;=20,"Critical",IF(F127&gt;=12,"High",IF(F127&gt;=6,"Medium","Low"))))</f>
        <v/>
      </c>
      <c r="H127" s="27" t="inlineStr"/>
      <c r="I127" s="27" t="inlineStr"/>
      <c r="J127" s="27" t="inlineStr"/>
      <c r="K127" s="27" t="inlineStr"/>
    </row>
    <row r="128">
      <c r="A128" s="27" t="inlineStr"/>
      <c r="B128" s="27" t="inlineStr"/>
      <c r="C128" s="27" t="inlineStr"/>
      <c r="D128" s="27" t="inlineStr"/>
      <c r="E128" s="27" t="inlineStr"/>
      <c r="F128" s="27">
        <f>IF(OR(D128="",E128=""),"",D128*E128)</f>
        <v/>
      </c>
      <c r="G128" s="27">
        <f>IF(F128="","",IF(F128&gt;=20,"Critical",IF(F128&gt;=12,"High",IF(F128&gt;=6,"Medium","Low"))))</f>
        <v/>
      </c>
      <c r="H128" s="27" t="inlineStr"/>
      <c r="I128" s="27" t="inlineStr"/>
      <c r="J128" s="27" t="inlineStr"/>
      <c r="K128" s="27" t="inlineStr"/>
    </row>
    <row r="129">
      <c r="A129" s="27" t="inlineStr"/>
      <c r="B129" s="27" t="inlineStr"/>
      <c r="C129" s="27" t="inlineStr"/>
      <c r="D129" s="27" t="inlineStr"/>
      <c r="E129" s="27" t="inlineStr"/>
      <c r="F129" s="27">
        <f>IF(OR(D129="",E129=""),"",D129*E129)</f>
        <v/>
      </c>
      <c r="G129" s="27">
        <f>IF(F129="","",IF(F129&gt;=20,"Critical",IF(F129&gt;=12,"High",IF(F129&gt;=6,"Medium","Low"))))</f>
        <v/>
      </c>
      <c r="H129" s="27" t="inlineStr"/>
      <c r="I129" s="27" t="inlineStr"/>
      <c r="J129" s="27" t="inlineStr"/>
      <c r="K129" s="27" t="inlineStr"/>
    </row>
    <row r="130">
      <c r="A130" s="27" t="inlineStr"/>
      <c r="B130" s="27" t="inlineStr"/>
      <c r="C130" s="27" t="inlineStr"/>
      <c r="D130" s="27" t="inlineStr"/>
      <c r="E130" s="27" t="inlineStr"/>
      <c r="F130" s="27">
        <f>IF(OR(D130="",E130=""),"",D130*E130)</f>
        <v/>
      </c>
      <c r="G130" s="27">
        <f>IF(F130="","",IF(F130&gt;=20,"Critical",IF(F130&gt;=12,"High",IF(F130&gt;=6,"Medium","Low"))))</f>
        <v/>
      </c>
      <c r="H130" s="27" t="inlineStr"/>
      <c r="I130" s="27" t="inlineStr"/>
      <c r="J130" s="27" t="inlineStr"/>
      <c r="K130" s="27" t="inlineStr"/>
    </row>
    <row r="131">
      <c r="A131" s="27" t="inlineStr"/>
      <c r="B131" s="27" t="inlineStr"/>
      <c r="C131" s="27" t="inlineStr"/>
      <c r="D131" s="27" t="inlineStr"/>
      <c r="E131" s="27" t="inlineStr"/>
      <c r="F131" s="27">
        <f>IF(OR(D131="",E131=""),"",D131*E131)</f>
        <v/>
      </c>
      <c r="G131" s="27">
        <f>IF(F131="","",IF(F131&gt;=20,"Critical",IF(F131&gt;=12,"High",IF(F131&gt;=6,"Medium","Low"))))</f>
        <v/>
      </c>
      <c r="H131" s="27" t="inlineStr"/>
      <c r="I131" s="27" t="inlineStr"/>
      <c r="J131" s="27" t="inlineStr"/>
      <c r="K131" s="27" t="inlineStr"/>
    </row>
    <row r="132">
      <c r="A132" s="27" t="inlineStr"/>
      <c r="B132" s="27" t="inlineStr"/>
      <c r="C132" s="27" t="inlineStr"/>
      <c r="D132" s="27" t="inlineStr"/>
      <c r="E132" s="27" t="inlineStr"/>
      <c r="F132" s="27">
        <f>IF(OR(D132="",E132=""),"",D132*E132)</f>
        <v/>
      </c>
      <c r="G132" s="27">
        <f>IF(F132="","",IF(F132&gt;=20,"Critical",IF(F132&gt;=12,"High",IF(F132&gt;=6,"Medium","Low"))))</f>
        <v/>
      </c>
      <c r="H132" s="27" t="inlineStr"/>
      <c r="I132" s="27" t="inlineStr"/>
      <c r="J132" s="27" t="inlineStr"/>
      <c r="K132" s="27" t="inlineStr"/>
    </row>
    <row r="133">
      <c r="A133" s="27" t="inlineStr"/>
      <c r="B133" s="27" t="inlineStr"/>
      <c r="C133" s="27" t="inlineStr"/>
      <c r="D133" s="27" t="inlineStr"/>
      <c r="E133" s="27" t="inlineStr"/>
      <c r="F133" s="27">
        <f>IF(OR(D133="",E133=""),"",D133*E133)</f>
        <v/>
      </c>
      <c r="G133" s="27">
        <f>IF(F133="","",IF(F133&gt;=20,"Critical",IF(F133&gt;=12,"High",IF(F133&gt;=6,"Medium","Low"))))</f>
        <v/>
      </c>
      <c r="H133" s="27" t="inlineStr"/>
      <c r="I133" s="27" t="inlineStr"/>
      <c r="J133" s="27" t="inlineStr"/>
      <c r="K133" s="27" t="inlineStr"/>
    </row>
    <row r="134">
      <c r="A134" s="27" t="inlineStr"/>
      <c r="B134" s="27" t="inlineStr"/>
      <c r="C134" s="27" t="inlineStr"/>
      <c r="D134" s="27" t="inlineStr"/>
      <c r="E134" s="27" t="inlineStr"/>
      <c r="F134" s="27">
        <f>IF(OR(D134="",E134=""),"",D134*E134)</f>
        <v/>
      </c>
      <c r="G134" s="27">
        <f>IF(F134="","",IF(F134&gt;=20,"Critical",IF(F134&gt;=12,"High",IF(F134&gt;=6,"Medium","Low"))))</f>
        <v/>
      </c>
      <c r="H134" s="27" t="inlineStr"/>
      <c r="I134" s="27" t="inlineStr"/>
      <c r="J134" s="27" t="inlineStr"/>
      <c r="K134" s="27" t="inlineStr"/>
    </row>
    <row r="135">
      <c r="A135" s="27" t="inlineStr"/>
      <c r="B135" s="27" t="inlineStr"/>
      <c r="C135" s="27" t="inlineStr"/>
      <c r="D135" s="27" t="inlineStr"/>
      <c r="E135" s="27" t="inlineStr"/>
      <c r="F135" s="27">
        <f>IF(OR(D135="",E135=""),"",D135*E135)</f>
        <v/>
      </c>
      <c r="G135" s="27">
        <f>IF(F135="","",IF(F135&gt;=20,"Critical",IF(F135&gt;=12,"High",IF(F135&gt;=6,"Medium","Low"))))</f>
        <v/>
      </c>
      <c r="H135" s="27" t="inlineStr"/>
      <c r="I135" s="27" t="inlineStr"/>
      <c r="J135" s="27" t="inlineStr"/>
      <c r="K135" s="27" t="inlineStr"/>
    </row>
    <row r="136">
      <c r="A136" s="27" t="inlineStr"/>
      <c r="B136" s="27" t="inlineStr"/>
      <c r="C136" s="27" t="inlineStr"/>
      <c r="D136" s="27" t="inlineStr"/>
      <c r="E136" s="27" t="inlineStr"/>
      <c r="F136" s="27">
        <f>IF(OR(D136="",E136=""),"",D136*E136)</f>
        <v/>
      </c>
      <c r="G136" s="27">
        <f>IF(F136="","",IF(F136&gt;=20,"Critical",IF(F136&gt;=12,"High",IF(F136&gt;=6,"Medium","Low"))))</f>
        <v/>
      </c>
      <c r="H136" s="27" t="inlineStr"/>
      <c r="I136" s="27" t="inlineStr"/>
      <c r="J136" s="27" t="inlineStr"/>
      <c r="K136" s="27" t="inlineStr"/>
    </row>
    <row r="137">
      <c r="A137" s="27" t="inlineStr"/>
      <c r="B137" s="27" t="inlineStr"/>
      <c r="C137" s="27" t="inlineStr"/>
      <c r="D137" s="27" t="inlineStr"/>
      <c r="E137" s="27" t="inlineStr"/>
      <c r="F137" s="27">
        <f>IF(OR(D137="",E137=""),"",D137*E137)</f>
        <v/>
      </c>
      <c r="G137" s="27">
        <f>IF(F137="","",IF(F137&gt;=20,"Critical",IF(F137&gt;=12,"High",IF(F137&gt;=6,"Medium","Low"))))</f>
        <v/>
      </c>
      <c r="H137" s="27" t="inlineStr"/>
      <c r="I137" s="27" t="inlineStr"/>
      <c r="J137" s="27" t="inlineStr"/>
      <c r="K137" s="27" t="inlineStr"/>
    </row>
    <row r="138">
      <c r="A138" s="27" t="inlineStr"/>
      <c r="B138" s="27" t="inlineStr"/>
      <c r="C138" s="27" t="inlineStr"/>
      <c r="D138" s="27" t="inlineStr"/>
      <c r="E138" s="27" t="inlineStr"/>
      <c r="F138" s="27">
        <f>IF(OR(D138="",E138=""),"",D138*E138)</f>
        <v/>
      </c>
      <c r="G138" s="27">
        <f>IF(F138="","",IF(F138&gt;=20,"Critical",IF(F138&gt;=12,"High",IF(F138&gt;=6,"Medium","Low"))))</f>
        <v/>
      </c>
      <c r="H138" s="27" t="inlineStr"/>
      <c r="I138" s="27" t="inlineStr"/>
      <c r="J138" s="27" t="inlineStr"/>
      <c r="K138" s="27" t="inlineStr"/>
    </row>
    <row r="139">
      <c r="A139" s="27" t="inlineStr"/>
      <c r="B139" s="27" t="inlineStr"/>
      <c r="C139" s="27" t="inlineStr"/>
      <c r="D139" s="27" t="inlineStr"/>
      <c r="E139" s="27" t="inlineStr"/>
      <c r="F139" s="27">
        <f>IF(OR(D139="",E139=""),"",D139*E139)</f>
        <v/>
      </c>
      <c r="G139" s="27">
        <f>IF(F139="","",IF(F139&gt;=20,"Critical",IF(F139&gt;=12,"High",IF(F139&gt;=6,"Medium","Low"))))</f>
        <v/>
      </c>
      <c r="H139" s="27" t="inlineStr"/>
      <c r="I139" s="27" t="inlineStr"/>
      <c r="J139" s="27" t="inlineStr"/>
      <c r="K139" s="27" t="inlineStr"/>
    </row>
    <row r="140">
      <c r="A140" s="27" t="inlineStr"/>
      <c r="B140" s="27" t="inlineStr"/>
      <c r="C140" s="27" t="inlineStr"/>
      <c r="D140" s="27" t="inlineStr"/>
      <c r="E140" s="27" t="inlineStr"/>
      <c r="F140" s="27">
        <f>IF(OR(D140="",E140=""),"",D140*E140)</f>
        <v/>
      </c>
      <c r="G140" s="27">
        <f>IF(F140="","",IF(F140&gt;=20,"Critical",IF(F140&gt;=12,"High",IF(F140&gt;=6,"Medium","Low"))))</f>
        <v/>
      </c>
      <c r="H140" s="27" t="inlineStr"/>
      <c r="I140" s="27" t="inlineStr"/>
      <c r="J140" s="27" t="inlineStr"/>
      <c r="K140" s="27" t="inlineStr"/>
    </row>
    <row r="141">
      <c r="A141" s="27" t="inlineStr"/>
      <c r="B141" s="27" t="inlineStr"/>
      <c r="C141" s="27" t="inlineStr"/>
      <c r="D141" s="27" t="inlineStr"/>
      <c r="E141" s="27" t="inlineStr"/>
      <c r="F141" s="27">
        <f>IF(OR(D141="",E141=""),"",D141*E141)</f>
        <v/>
      </c>
      <c r="G141" s="27">
        <f>IF(F141="","",IF(F141&gt;=20,"Critical",IF(F141&gt;=12,"High",IF(F141&gt;=6,"Medium","Low"))))</f>
        <v/>
      </c>
      <c r="H141" s="27" t="inlineStr"/>
      <c r="I141" s="27" t="inlineStr"/>
      <c r="J141" s="27" t="inlineStr"/>
      <c r="K141" s="27" t="inlineStr"/>
    </row>
    <row r="142">
      <c r="A142" s="27" t="inlineStr"/>
      <c r="B142" s="27" t="inlineStr"/>
      <c r="C142" s="27" t="inlineStr"/>
      <c r="D142" s="27" t="inlineStr"/>
      <c r="E142" s="27" t="inlineStr"/>
      <c r="F142" s="27">
        <f>IF(OR(D142="",E142=""),"",D142*E142)</f>
        <v/>
      </c>
      <c r="G142" s="27">
        <f>IF(F142="","",IF(F142&gt;=20,"Critical",IF(F142&gt;=12,"High",IF(F142&gt;=6,"Medium","Low"))))</f>
        <v/>
      </c>
      <c r="H142" s="27" t="inlineStr"/>
      <c r="I142" s="27" t="inlineStr"/>
      <c r="J142" s="27" t="inlineStr"/>
      <c r="K142" s="27" t="inlineStr"/>
    </row>
    <row r="143">
      <c r="A143" s="27" t="inlineStr"/>
      <c r="B143" s="27" t="inlineStr"/>
      <c r="C143" s="27" t="inlineStr"/>
      <c r="D143" s="27" t="inlineStr"/>
      <c r="E143" s="27" t="inlineStr"/>
      <c r="F143" s="27">
        <f>IF(OR(D143="",E143=""),"",D143*E143)</f>
        <v/>
      </c>
      <c r="G143" s="27">
        <f>IF(F143="","",IF(F143&gt;=20,"Critical",IF(F143&gt;=12,"High",IF(F143&gt;=6,"Medium","Low"))))</f>
        <v/>
      </c>
      <c r="H143" s="27" t="inlineStr"/>
      <c r="I143" s="27" t="inlineStr"/>
      <c r="J143" s="27" t="inlineStr"/>
      <c r="K143" s="27" t="inlineStr"/>
    </row>
    <row r="144">
      <c r="A144" s="27" t="inlineStr"/>
      <c r="B144" s="27" t="inlineStr"/>
      <c r="C144" s="27" t="inlineStr"/>
      <c r="D144" s="27" t="inlineStr"/>
      <c r="E144" s="27" t="inlineStr"/>
      <c r="F144" s="27">
        <f>IF(OR(D144="",E144=""),"",D144*E144)</f>
        <v/>
      </c>
      <c r="G144" s="27">
        <f>IF(F144="","",IF(F144&gt;=20,"Critical",IF(F144&gt;=12,"High",IF(F144&gt;=6,"Medium","Low"))))</f>
        <v/>
      </c>
      <c r="H144" s="27" t="inlineStr"/>
      <c r="I144" s="27" t="inlineStr"/>
      <c r="J144" s="27" t="inlineStr"/>
      <c r="K144" s="27" t="inlineStr"/>
    </row>
    <row r="145">
      <c r="A145" s="27" t="inlineStr"/>
      <c r="B145" s="27" t="inlineStr"/>
      <c r="C145" s="27" t="inlineStr"/>
      <c r="D145" s="27" t="inlineStr"/>
      <c r="E145" s="27" t="inlineStr"/>
      <c r="F145" s="27">
        <f>IF(OR(D145="",E145=""),"",D145*E145)</f>
        <v/>
      </c>
      <c r="G145" s="27">
        <f>IF(F145="","",IF(F145&gt;=20,"Critical",IF(F145&gt;=12,"High",IF(F145&gt;=6,"Medium","Low"))))</f>
        <v/>
      </c>
      <c r="H145" s="27" t="inlineStr"/>
      <c r="I145" s="27" t="inlineStr"/>
      <c r="J145" s="27" t="inlineStr"/>
      <c r="K145" s="27" t="inlineStr"/>
    </row>
    <row r="146">
      <c r="A146" s="27" t="inlineStr"/>
      <c r="B146" s="27" t="inlineStr"/>
      <c r="C146" s="27" t="inlineStr"/>
      <c r="D146" s="27" t="inlineStr"/>
      <c r="E146" s="27" t="inlineStr"/>
      <c r="F146" s="27">
        <f>IF(OR(D146="",E146=""),"",D146*E146)</f>
        <v/>
      </c>
      <c r="G146" s="27">
        <f>IF(F146="","",IF(F146&gt;=20,"Critical",IF(F146&gt;=12,"High",IF(F146&gt;=6,"Medium","Low"))))</f>
        <v/>
      </c>
      <c r="H146" s="27" t="inlineStr"/>
      <c r="I146" s="27" t="inlineStr"/>
      <c r="J146" s="27" t="inlineStr"/>
      <c r="K146" s="27" t="inlineStr"/>
    </row>
    <row r="147">
      <c r="A147" s="27" t="inlineStr"/>
      <c r="B147" s="27" t="inlineStr"/>
      <c r="C147" s="27" t="inlineStr"/>
      <c r="D147" s="27" t="inlineStr"/>
      <c r="E147" s="27" t="inlineStr"/>
      <c r="F147" s="27">
        <f>IF(OR(D147="",E147=""),"",D147*E147)</f>
        <v/>
      </c>
      <c r="G147" s="27">
        <f>IF(F147="","",IF(F147&gt;=20,"Critical",IF(F147&gt;=12,"High",IF(F147&gt;=6,"Medium","Low"))))</f>
        <v/>
      </c>
      <c r="H147" s="27" t="inlineStr"/>
      <c r="I147" s="27" t="inlineStr"/>
      <c r="J147" s="27" t="inlineStr"/>
      <c r="K147" s="27" t="inlineStr"/>
    </row>
    <row r="148">
      <c r="A148" s="27" t="inlineStr"/>
      <c r="B148" s="27" t="inlineStr"/>
      <c r="C148" s="27" t="inlineStr"/>
      <c r="D148" s="27" t="inlineStr"/>
      <c r="E148" s="27" t="inlineStr"/>
      <c r="F148" s="27">
        <f>IF(OR(D148="",E148=""),"",D148*E148)</f>
        <v/>
      </c>
      <c r="G148" s="27">
        <f>IF(F148="","",IF(F148&gt;=20,"Critical",IF(F148&gt;=12,"High",IF(F148&gt;=6,"Medium","Low"))))</f>
        <v/>
      </c>
      <c r="H148" s="27" t="inlineStr"/>
      <c r="I148" s="27" t="inlineStr"/>
      <c r="J148" s="27" t="inlineStr"/>
      <c r="K148" s="27" t="inlineStr"/>
    </row>
    <row r="149">
      <c r="A149" s="27" t="inlineStr"/>
      <c r="B149" s="27" t="inlineStr"/>
      <c r="C149" s="27" t="inlineStr"/>
      <c r="D149" s="27" t="inlineStr"/>
      <c r="E149" s="27" t="inlineStr"/>
      <c r="F149" s="27">
        <f>IF(OR(D149="",E149=""),"",D149*E149)</f>
        <v/>
      </c>
      <c r="G149" s="27">
        <f>IF(F149="","",IF(F149&gt;=20,"Critical",IF(F149&gt;=12,"High",IF(F149&gt;=6,"Medium","Low"))))</f>
        <v/>
      </c>
      <c r="H149" s="27" t="inlineStr"/>
      <c r="I149" s="27" t="inlineStr"/>
      <c r="J149" s="27" t="inlineStr"/>
      <c r="K149" s="27" t="inlineStr"/>
    </row>
    <row r="150">
      <c r="A150" s="27" t="inlineStr"/>
      <c r="B150" s="27" t="inlineStr"/>
      <c r="C150" s="27" t="inlineStr"/>
      <c r="D150" s="27" t="inlineStr"/>
      <c r="E150" s="27" t="inlineStr"/>
      <c r="F150" s="27">
        <f>IF(OR(D150="",E150=""),"",D150*E150)</f>
        <v/>
      </c>
      <c r="G150" s="27">
        <f>IF(F150="","",IF(F150&gt;=20,"Critical",IF(F150&gt;=12,"High",IF(F150&gt;=6,"Medium","Low"))))</f>
        <v/>
      </c>
      <c r="H150" s="27" t="inlineStr"/>
      <c r="I150" s="27" t="inlineStr"/>
      <c r="J150" s="27" t="inlineStr"/>
      <c r="K150" s="27" t="inlineStr"/>
    </row>
    <row r="151">
      <c r="A151" s="27" t="inlineStr"/>
      <c r="B151" s="27" t="inlineStr"/>
      <c r="C151" s="27" t="inlineStr"/>
      <c r="D151" s="27" t="inlineStr"/>
      <c r="E151" s="27" t="inlineStr"/>
      <c r="F151" s="27">
        <f>IF(OR(D151="",E151=""),"",D151*E151)</f>
        <v/>
      </c>
      <c r="G151" s="27">
        <f>IF(F151="","",IF(F151&gt;=20,"Critical",IF(F151&gt;=12,"High",IF(F151&gt;=6,"Medium","Low"))))</f>
        <v/>
      </c>
      <c r="H151" s="27" t="inlineStr"/>
      <c r="I151" s="27" t="inlineStr"/>
      <c r="J151" s="27" t="inlineStr"/>
      <c r="K151" s="27" t="inlineStr"/>
    </row>
    <row r="152">
      <c r="A152" s="27" t="inlineStr"/>
      <c r="B152" s="27" t="inlineStr"/>
      <c r="C152" s="27" t="inlineStr"/>
      <c r="D152" s="27" t="inlineStr"/>
      <c r="E152" s="27" t="inlineStr"/>
      <c r="F152" s="27">
        <f>IF(OR(D152="",E152=""),"",D152*E152)</f>
        <v/>
      </c>
      <c r="G152" s="27">
        <f>IF(F152="","",IF(F152&gt;=20,"Critical",IF(F152&gt;=12,"High",IF(F152&gt;=6,"Medium","Low"))))</f>
        <v/>
      </c>
      <c r="H152" s="27" t="inlineStr"/>
      <c r="I152" s="27" t="inlineStr"/>
      <c r="J152" s="27" t="inlineStr"/>
      <c r="K152" s="27" t="inlineStr"/>
    </row>
    <row r="153">
      <c r="A153" s="27" t="inlineStr"/>
      <c r="B153" s="27" t="inlineStr"/>
      <c r="C153" s="27" t="inlineStr"/>
      <c r="D153" s="27" t="inlineStr"/>
      <c r="E153" s="27" t="inlineStr"/>
      <c r="F153" s="27">
        <f>IF(OR(D153="",E153=""),"",D153*E153)</f>
        <v/>
      </c>
      <c r="G153" s="27">
        <f>IF(F153="","",IF(F153&gt;=20,"Critical",IF(F153&gt;=12,"High",IF(F153&gt;=6,"Medium","Low"))))</f>
        <v/>
      </c>
      <c r="H153" s="27" t="inlineStr"/>
      <c r="I153" s="27" t="inlineStr"/>
      <c r="J153" s="27" t="inlineStr"/>
      <c r="K153" s="27" t="inlineStr"/>
    </row>
  </sheetData>
  <autoFilter ref="A3:K153"/>
  <mergeCells count="1">
    <mergeCell ref="A1:H1"/>
  </mergeCells>
  <conditionalFormatting sqref="G4:G153">
    <cfRule type="expression" priority="1" dxfId="0">
      <formula>OR($G4="High",$G4="Critical")</formula>
    </cfRule>
  </conditionalFormatting>
  <conditionalFormatting sqref="A4:K153">
    <cfRule type="expression" priority="2" dxfId="1">
      <formula>$J4="Completed"</formula>
    </cfRule>
    <cfRule type="expression" priority="3" dxfId="2">
      <formula>OR($J4="Delayed",$J4="Blocked",$J4="Open")</formula>
    </cfRule>
    <cfRule type="expression" priority="4" dxfId="3">
      <formula>OR($J4="At Risk",$J4="In Progress")</formula>
    </cfRule>
  </conditionalFormatting>
  <dataValidations count="11">
    <dataValidation sqref="B4:B15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D4:D153" showDropDown="0" showInputMessage="0" showErrorMessage="1" allowBlank="1" errorTitle="Invalid selection" error="Select a value from the dropdown list." promptTitle="Dropdown" prompt="Choose from the list." type="list">
      <formula1>='Lists'!$AF$2:$AF$6</formula1>
    </dataValidation>
    <dataValidation sqref="E4:E153" showDropDown="0" showInputMessage="0" showErrorMessage="1" allowBlank="1" errorTitle="Invalid selection" error="Select a value from the dropdown list." promptTitle="Dropdown" prompt="Choose from the list." type="list">
      <formula1>='Lists'!$AF$2:$AF$6</formula1>
    </dataValidation>
    <dataValidation sqref="G4:G153" showDropDown="0" showInputMessage="0" showErrorMessage="1" allowBlank="1" errorTitle="Invalid selection" error="Select a value from the dropdown list." promptTitle="Dropdown" prompt="Choose from the list." type="list">
      <formula1>='Lists'!$N$2:$N$5</formula1>
    </dataValidation>
    <dataValidation sqref="I4:I153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  <dataValidation sqref="J4:J153" showDropDown="0" showInputMessage="0" showErrorMessage="1" allowBlank="1" errorTitle="Invalid selection" error="Select a value from the dropdown list." promptTitle="Dropdown" prompt="Choose from the list." type="list">
      <formula1>='Lists'!$K$2:$K$6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='Lists'!$AF$2:$AF$6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='Lists'!$AF$2:$AF$6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='Lists'!$O$2:$O$6</formula1>
    </dataValidation>
    <dataValidation sqref="K2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25" t="inlineStr">
        <is>
          <t>Resource Tracker</t>
        </is>
      </c>
    </row>
    <row r="2">
      <c r="A2" s="32" t="inlineStr">
        <is>
          <t>Quick Filters:</t>
        </is>
      </c>
      <c r="B2" s="49" t="inlineStr">
        <is>
          <t>Resource Name</t>
        </is>
      </c>
      <c r="C2" s="48" t="inlineStr"/>
      <c r="D2" s="49" t="inlineStr">
        <is>
          <t>Role</t>
        </is>
      </c>
      <c r="E2" s="48" t="inlineStr"/>
      <c r="F2" s="49" t="inlineStr">
        <is>
          <t>Project ID</t>
        </is>
      </c>
      <c r="G2" s="48" t="inlineStr"/>
      <c r="H2" s="49" t="inlineStr">
        <is>
          <t>Module</t>
        </is>
      </c>
      <c r="I2" s="48" t="inlineStr"/>
    </row>
    <row r="3">
      <c r="A3" s="47" t="inlineStr">
        <is>
          <t>Resource Name</t>
        </is>
      </c>
      <c r="B3" s="47" t="inlineStr">
        <is>
          <t>Role</t>
        </is>
      </c>
      <c r="C3" s="47" t="inlineStr">
        <is>
          <t>Project ID</t>
        </is>
      </c>
      <c r="D3" s="47" t="inlineStr">
        <is>
          <t>Module</t>
        </is>
      </c>
      <c r="E3" s="26" t="inlineStr">
        <is>
          <t>Allocation %</t>
        </is>
      </c>
      <c r="F3" s="26" t="inlineStr">
        <is>
          <t>Start Date</t>
        </is>
      </c>
      <c r="G3" s="26" t="inlineStr">
        <is>
          <t>End Date</t>
        </is>
      </c>
      <c r="H3" s="26" t="inlineStr">
        <is>
          <t>Current Workload</t>
        </is>
      </c>
      <c r="I3" s="26" t="inlineStr">
        <is>
          <t>Remarks</t>
        </is>
      </c>
    </row>
    <row r="4">
      <c r="A4" s="27" t="inlineStr">
        <is>
          <t>Priya Nair</t>
        </is>
      </c>
      <c r="B4" s="27" t="inlineStr">
        <is>
          <t>Frontend Engineer</t>
        </is>
      </c>
      <c r="C4" s="27" t="inlineStr">
        <is>
          <t>PRJ-001</t>
        </is>
      </c>
      <c r="D4" s="27" t="inlineStr">
        <is>
          <t>Login</t>
        </is>
      </c>
      <c r="E4" s="29" t="n">
        <v>0.6</v>
      </c>
      <c r="F4" s="36" t="n">
        <v>46042</v>
      </c>
      <c r="G4" s="36" t="n">
        <v>46215</v>
      </c>
      <c r="H4" s="29">
        <f>IF(A4="","",SUMIF(ResourceTracker[Resource Name],A4,ResourceTracker[Allocation %]))</f>
        <v/>
      </c>
      <c r="I4" s="27" t="inlineStr"/>
    </row>
    <row r="5">
      <c r="A5" s="27" t="inlineStr">
        <is>
          <t>Arjun Patel</t>
        </is>
      </c>
      <c r="B5" s="27" t="inlineStr">
        <is>
          <t>Backend Engineer</t>
        </is>
      </c>
      <c r="C5" s="27" t="inlineStr">
        <is>
          <t>PRJ-001</t>
        </is>
      </c>
      <c r="D5" s="27" t="inlineStr">
        <is>
          <t>Payments</t>
        </is>
      </c>
      <c r="E5" s="29" t="n">
        <v>0.8</v>
      </c>
      <c r="F5" s="36" t="n">
        <v>46096</v>
      </c>
      <c r="G5" s="36" t="n">
        <v>46215</v>
      </c>
      <c r="H5" s="29">
        <f>IF(A5="","",SUMIF(ResourceTracker[Resource Name],A5,ResourceTracker[Allocation %]))</f>
        <v/>
      </c>
      <c r="I5" s="27" t="inlineStr"/>
    </row>
    <row r="6">
      <c r="A6" s="27" t="inlineStr">
        <is>
          <t>Leena Das</t>
        </is>
      </c>
      <c r="B6" s="27" t="inlineStr">
        <is>
          <t>Business Analyst</t>
        </is>
      </c>
      <c r="C6" s="27" t="inlineStr">
        <is>
          <t>PRJ-002</t>
        </is>
      </c>
      <c r="D6" s="27" t="inlineStr">
        <is>
          <t>Workflow</t>
        </is>
      </c>
      <c r="E6" s="29" t="n">
        <v>0.75</v>
      </c>
      <c r="F6" s="36" t="n">
        <v>46068</v>
      </c>
      <c r="G6" s="36" t="n">
        <v>46249</v>
      </c>
      <c r="H6" s="29">
        <f>IF(A6="","",SUMIF(ResourceTracker[Resource Name],A6,ResourceTracker[Allocation %]))</f>
        <v/>
      </c>
      <c r="I6" s="27" t="inlineStr"/>
    </row>
    <row r="7">
      <c r="A7" s="27" t="inlineStr">
        <is>
          <t>Nikhil Verma</t>
        </is>
      </c>
      <c r="B7" s="27" t="inlineStr">
        <is>
          <t>Integration Engineer</t>
        </is>
      </c>
      <c r="C7" s="27" t="inlineStr">
        <is>
          <t>PRJ-002</t>
        </is>
      </c>
      <c r="D7" s="27" t="inlineStr">
        <is>
          <t>Integration</t>
        </is>
      </c>
      <c r="E7" s="29" t="n">
        <v>0.9</v>
      </c>
      <c r="F7" s="36" t="n">
        <v>46082</v>
      </c>
      <c r="G7" s="36" t="n">
        <v>46249</v>
      </c>
      <c r="H7" s="29">
        <f>IF(A7="","",SUMIF(ResourceTracker[Resource Name],A7,ResourceTracker[Allocation %]))</f>
        <v/>
      </c>
      <c r="I7" s="27" t="inlineStr"/>
    </row>
    <row r="8">
      <c r="A8" s="27" t="inlineStr">
        <is>
          <t>Imran Ali</t>
        </is>
      </c>
      <c r="B8" s="27" t="inlineStr">
        <is>
          <t>ML Engineer</t>
        </is>
      </c>
      <c r="C8" s="27" t="inlineStr">
        <is>
          <t>PRJ-004</t>
        </is>
      </c>
      <c r="D8" s="27" t="inlineStr">
        <is>
          <t>KYC</t>
        </is>
      </c>
      <c r="E8" s="29" t="n">
        <v>0.7</v>
      </c>
      <c r="F8" s="36" t="n">
        <v>46113</v>
      </c>
      <c r="G8" s="36" t="n">
        <v>46255</v>
      </c>
      <c r="H8" s="29">
        <f>IF(A8="","",SUMIF(ResourceTracker[Resource Name],A8,ResourceTracker[Allocation %]))</f>
        <v/>
      </c>
      <c r="I8" s="27" t="inlineStr"/>
    </row>
    <row r="9">
      <c r="A9" s="27" t="inlineStr"/>
      <c r="B9" s="27" t="inlineStr"/>
      <c r="C9" s="27" t="inlineStr"/>
      <c r="D9" s="27" t="inlineStr"/>
      <c r="E9" s="29" t="inlineStr"/>
      <c r="F9" s="36" t="inlineStr"/>
      <c r="G9" s="36" t="inlineStr"/>
      <c r="H9" s="29">
        <f>IF(A9="","",SUMIF(ResourceTracker[Resource Name],A9,ResourceTracker[Allocation %]))</f>
        <v/>
      </c>
      <c r="I9" s="27" t="inlineStr"/>
    </row>
    <row r="10">
      <c r="A10" s="27" t="inlineStr"/>
      <c r="B10" s="27" t="inlineStr"/>
      <c r="C10" s="27" t="inlineStr"/>
      <c r="D10" s="27" t="inlineStr"/>
      <c r="E10" s="29" t="inlineStr"/>
      <c r="F10" s="36" t="inlineStr"/>
      <c r="G10" s="36" t="inlineStr"/>
      <c r="H10" s="29">
        <f>IF(A10="","",SUMIF(ResourceTracker[Resource Name],A10,ResourceTracker[Allocation %]))</f>
        <v/>
      </c>
      <c r="I10" s="27" t="inlineStr"/>
    </row>
    <row r="11">
      <c r="A11" s="27" t="inlineStr"/>
      <c r="B11" s="27" t="inlineStr"/>
      <c r="C11" s="27" t="inlineStr"/>
      <c r="D11" s="27" t="inlineStr"/>
      <c r="E11" s="29" t="inlineStr"/>
      <c r="F11" s="36" t="inlineStr"/>
      <c r="G11" s="36" t="inlineStr"/>
      <c r="H11" s="29">
        <f>IF(A11="","",SUMIF(ResourceTracker[Resource Name],A11,ResourceTracker[Allocation %]))</f>
        <v/>
      </c>
      <c r="I11" s="27" t="inlineStr"/>
    </row>
    <row r="12">
      <c r="A12" s="27" t="inlineStr"/>
      <c r="B12" s="27" t="inlineStr"/>
      <c r="C12" s="27" t="inlineStr"/>
      <c r="D12" s="27" t="inlineStr"/>
      <c r="E12" s="29" t="inlineStr"/>
      <c r="F12" s="36" t="inlineStr"/>
      <c r="G12" s="36" t="inlineStr"/>
      <c r="H12" s="29">
        <f>IF(A12="","",SUMIF(ResourceTracker[Resource Name],A12,ResourceTracker[Allocation %]))</f>
        <v/>
      </c>
      <c r="I12" s="27" t="inlineStr"/>
    </row>
    <row r="13">
      <c r="A13" s="27" t="inlineStr"/>
      <c r="B13" s="27" t="inlineStr"/>
      <c r="C13" s="27" t="inlineStr"/>
      <c r="D13" s="27" t="inlineStr"/>
      <c r="E13" s="29" t="inlineStr"/>
      <c r="F13" s="36" t="inlineStr"/>
      <c r="G13" s="36" t="inlineStr"/>
      <c r="H13" s="29">
        <f>IF(A13="","",SUMIF(ResourceTracker[Resource Name],A13,ResourceTracker[Allocation %]))</f>
        <v/>
      </c>
      <c r="I13" s="27" t="inlineStr"/>
    </row>
    <row r="14">
      <c r="A14" s="27" t="inlineStr"/>
      <c r="B14" s="27" t="inlineStr"/>
      <c r="C14" s="27" t="inlineStr"/>
      <c r="D14" s="27" t="inlineStr"/>
      <c r="E14" s="29" t="inlineStr"/>
      <c r="F14" s="36" t="inlineStr"/>
      <c r="G14" s="36" t="inlineStr"/>
      <c r="H14" s="29">
        <f>IF(A14="","",SUMIF(ResourceTracker[Resource Name],A14,ResourceTracker[Allocation %]))</f>
        <v/>
      </c>
      <c r="I14" s="27" t="inlineStr"/>
    </row>
    <row r="15">
      <c r="A15" s="27" t="inlineStr"/>
      <c r="B15" s="27" t="inlineStr"/>
      <c r="C15" s="27" t="inlineStr"/>
      <c r="D15" s="27" t="inlineStr"/>
      <c r="E15" s="29" t="inlineStr"/>
      <c r="F15" s="36" t="inlineStr"/>
      <c r="G15" s="36" t="inlineStr"/>
      <c r="H15" s="29">
        <f>IF(A15="","",SUMIF(ResourceTracker[Resource Name],A15,ResourceTracker[Allocation %]))</f>
        <v/>
      </c>
      <c r="I15" s="27" t="inlineStr"/>
    </row>
    <row r="16">
      <c r="A16" s="27" t="inlineStr"/>
      <c r="B16" s="27" t="inlineStr"/>
      <c r="C16" s="27" t="inlineStr"/>
      <c r="D16" s="27" t="inlineStr"/>
      <c r="E16" s="29" t="inlineStr"/>
      <c r="F16" s="36" t="inlineStr"/>
      <c r="G16" s="36" t="inlineStr"/>
      <c r="H16" s="29">
        <f>IF(A16="","",SUMIF(ResourceTracker[Resource Name],A16,ResourceTracker[Allocation %]))</f>
        <v/>
      </c>
      <c r="I16" s="27" t="inlineStr"/>
    </row>
    <row r="17">
      <c r="A17" s="27" t="inlineStr"/>
      <c r="B17" s="27" t="inlineStr"/>
      <c r="C17" s="27" t="inlineStr"/>
      <c r="D17" s="27" t="inlineStr"/>
      <c r="E17" s="29" t="inlineStr"/>
      <c r="F17" s="36" t="inlineStr"/>
      <c r="G17" s="36" t="inlineStr"/>
      <c r="H17" s="29">
        <f>IF(A17="","",SUMIF(ResourceTracker[Resource Name],A17,ResourceTracker[Allocation %]))</f>
        <v/>
      </c>
      <c r="I17" s="27" t="inlineStr"/>
    </row>
    <row r="18">
      <c r="A18" s="27" t="inlineStr"/>
      <c r="B18" s="27" t="inlineStr"/>
      <c r="C18" s="27" t="inlineStr"/>
      <c r="D18" s="27" t="inlineStr"/>
      <c r="E18" s="29" t="inlineStr"/>
      <c r="F18" s="36" t="inlineStr"/>
      <c r="G18" s="36" t="inlineStr"/>
      <c r="H18" s="29">
        <f>IF(A18="","",SUMIF(ResourceTracker[Resource Name],A18,ResourceTracker[Allocation %]))</f>
        <v/>
      </c>
      <c r="I18" s="27" t="inlineStr"/>
    </row>
    <row r="19">
      <c r="A19" s="27" t="inlineStr"/>
      <c r="B19" s="27" t="inlineStr"/>
      <c r="C19" s="27" t="inlineStr"/>
      <c r="D19" s="27" t="inlineStr"/>
      <c r="E19" s="29" t="inlineStr"/>
      <c r="F19" s="36" t="inlineStr"/>
      <c r="G19" s="36" t="inlineStr"/>
      <c r="H19" s="29">
        <f>IF(A19="","",SUMIF(ResourceTracker[Resource Name],A19,ResourceTracker[Allocation %]))</f>
        <v/>
      </c>
      <c r="I19" s="27" t="inlineStr"/>
    </row>
    <row r="20">
      <c r="A20" s="27" t="inlineStr"/>
      <c r="B20" s="27" t="inlineStr"/>
      <c r="C20" s="27" t="inlineStr"/>
      <c r="D20" s="27" t="inlineStr"/>
      <c r="E20" s="29" t="inlineStr"/>
      <c r="F20" s="36" t="inlineStr"/>
      <c r="G20" s="36" t="inlineStr"/>
      <c r="H20" s="29">
        <f>IF(A20="","",SUMIF(ResourceTracker[Resource Name],A20,ResourceTracker[Allocation %]))</f>
        <v/>
      </c>
      <c r="I20" s="27" t="inlineStr"/>
    </row>
    <row r="21">
      <c r="A21" s="27" t="inlineStr"/>
      <c r="B21" s="27" t="inlineStr"/>
      <c r="C21" s="27" t="inlineStr"/>
      <c r="D21" s="27" t="inlineStr"/>
      <c r="E21" s="29" t="inlineStr"/>
      <c r="F21" s="36" t="inlineStr"/>
      <c r="G21" s="36" t="inlineStr"/>
      <c r="H21" s="29">
        <f>IF(A21="","",SUMIF(ResourceTracker[Resource Name],A21,ResourceTracker[Allocation %]))</f>
        <v/>
      </c>
      <c r="I21" s="27" t="inlineStr"/>
    </row>
    <row r="22">
      <c r="A22" s="27" t="inlineStr"/>
      <c r="B22" s="27" t="inlineStr"/>
      <c r="C22" s="27" t="inlineStr"/>
      <c r="D22" s="27" t="inlineStr"/>
      <c r="E22" s="29" t="inlineStr"/>
      <c r="F22" s="36" t="inlineStr"/>
      <c r="G22" s="36" t="inlineStr"/>
      <c r="H22" s="29">
        <f>IF(A22="","",SUMIF(ResourceTracker[Resource Name],A22,ResourceTracker[Allocation %]))</f>
        <v/>
      </c>
      <c r="I22" s="27" t="inlineStr"/>
    </row>
    <row r="23">
      <c r="A23" s="27" t="inlineStr"/>
      <c r="B23" s="27" t="inlineStr"/>
      <c r="C23" s="27" t="inlineStr"/>
      <c r="D23" s="27" t="inlineStr"/>
      <c r="E23" s="29" t="inlineStr"/>
      <c r="F23" s="36" t="inlineStr"/>
      <c r="G23" s="36" t="inlineStr"/>
      <c r="H23" s="29">
        <f>IF(A23="","",SUMIF(ResourceTracker[Resource Name],A23,ResourceTracker[Allocation %]))</f>
        <v/>
      </c>
      <c r="I23" s="27" t="inlineStr"/>
    </row>
    <row r="24">
      <c r="A24" s="27" t="inlineStr"/>
      <c r="B24" s="27" t="inlineStr"/>
      <c r="C24" s="27" t="inlineStr"/>
      <c r="D24" s="27" t="inlineStr"/>
      <c r="E24" s="29" t="inlineStr"/>
      <c r="F24" s="36" t="inlineStr"/>
      <c r="G24" s="36" t="inlineStr"/>
      <c r="H24" s="29">
        <f>IF(A24="","",SUMIF(ResourceTracker[Resource Name],A24,ResourceTracker[Allocation %]))</f>
        <v/>
      </c>
      <c r="I24" s="27" t="inlineStr"/>
    </row>
    <row r="25">
      <c r="A25" s="27" t="inlineStr"/>
      <c r="B25" s="27" t="inlineStr"/>
      <c r="C25" s="27" t="inlineStr"/>
      <c r="D25" s="27" t="inlineStr"/>
      <c r="E25" s="29" t="inlineStr"/>
      <c r="F25" s="36" t="inlineStr"/>
      <c r="G25" s="36" t="inlineStr"/>
      <c r="H25" s="29">
        <f>IF(A25="","",SUMIF(ResourceTracker[Resource Name],A25,ResourceTracker[Allocation %]))</f>
        <v/>
      </c>
      <c r="I25" s="27" t="inlineStr"/>
    </row>
    <row r="26">
      <c r="A26" s="27" t="inlineStr"/>
      <c r="B26" s="27" t="inlineStr"/>
      <c r="C26" s="27" t="inlineStr"/>
      <c r="D26" s="27" t="inlineStr"/>
      <c r="E26" s="29" t="inlineStr"/>
      <c r="F26" s="36" t="inlineStr"/>
      <c r="G26" s="36" t="inlineStr"/>
      <c r="H26" s="29">
        <f>IF(A26="","",SUMIF(ResourceTracker[Resource Name],A26,ResourceTracker[Allocation %]))</f>
        <v/>
      </c>
      <c r="I26" s="27" t="inlineStr"/>
    </row>
    <row r="27">
      <c r="A27" s="27" t="inlineStr"/>
      <c r="B27" s="27" t="inlineStr"/>
      <c r="C27" s="27" t="inlineStr"/>
      <c r="D27" s="27" t="inlineStr"/>
      <c r="E27" s="29" t="inlineStr"/>
      <c r="F27" s="36" t="inlineStr"/>
      <c r="G27" s="36" t="inlineStr"/>
      <c r="H27" s="29">
        <f>IF(A27="","",SUMIF(ResourceTracker[Resource Name],A27,ResourceTracker[Allocation %]))</f>
        <v/>
      </c>
      <c r="I27" s="27" t="inlineStr"/>
    </row>
    <row r="28">
      <c r="A28" s="27" t="inlineStr"/>
      <c r="B28" s="27" t="inlineStr"/>
      <c r="C28" s="27" t="inlineStr"/>
      <c r="D28" s="27" t="inlineStr"/>
      <c r="E28" s="29" t="inlineStr"/>
      <c r="F28" s="36" t="inlineStr"/>
      <c r="G28" s="36" t="inlineStr"/>
      <c r="H28" s="29">
        <f>IF(A28="","",SUMIF(ResourceTracker[Resource Name],A28,ResourceTracker[Allocation %]))</f>
        <v/>
      </c>
      <c r="I28" s="27" t="inlineStr"/>
    </row>
    <row r="29">
      <c r="A29" s="27" t="inlineStr"/>
      <c r="B29" s="27" t="inlineStr"/>
      <c r="C29" s="27" t="inlineStr"/>
      <c r="D29" s="27" t="inlineStr"/>
      <c r="E29" s="29" t="inlineStr"/>
      <c r="F29" s="36" t="inlineStr"/>
      <c r="G29" s="36" t="inlineStr"/>
      <c r="H29" s="29">
        <f>IF(A29="","",SUMIF(ResourceTracker[Resource Name],A29,ResourceTracker[Allocation %]))</f>
        <v/>
      </c>
      <c r="I29" s="27" t="inlineStr"/>
    </row>
    <row r="30">
      <c r="A30" s="27" t="inlineStr"/>
      <c r="B30" s="27" t="inlineStr"/>
      <c r="C30" s="27" t="inlineStr"/>
      <c r="D30" s="27" t="inlineStr"/>
      <c r="E30" s="29" t="inlineStr"/>
      <c r="F30" s="36" t="inlineStr"/>
      <c r="G30" s="36" t="inlineStr"/>
      <c r="H30" s="29">
        <f>IF(A30="","",SUMIF(ResourceTracker[Resource Name],A30,ResourceTracker[Allocation %]))</f>
        <v/>
      </c>
      <c r="I30" s="27" t="inlineStr"/>
    </row>
    <row r="31">
      <c r="A31" s="27" t="inlineStr"/>
      <c r="B31" s="27" t="inlineStr"/>
      <c r="C31" s="27" t="inlineStr"/>
      <c r="D31" s="27" t="inlineStr"/>
      <c r="E31" s="29" t="inlineStr"/>
      <c r="F31" s="36" t="inlineStr"/>
      <c r="G31" s="36" t="inlineStr"/>
      <c r="H31" s="29">
        <f>IF(A31="","",SUMIF(ResourceTracker[Resource Name],A31,ResourceTracker[Allocation %]))</f>
        <v/>
      </c>
      <c r="I31" s="27" t="inlineStr"/>
    </row>
    <row r="32">
      <c r="A32" s="27" t="inlineStr"/>
      <c r="B32" s="27" t="inlineStr"/>
      <c r="C32" s="27" t="inlineStr"/>
      <c r="D32" s="27" t="inlineStr"/>
      <c r="E32" s="29" t="inlineStr"/>
      <c r="F32" s="36" t="inlineStr"/>
      <c r="G32" s="36" t="inlineStr"/>
      <c r="H32" s="29">
        <f>IF(A32="","",SUMIF(ResourceTracker[Resource Name],A32,ResourceTracker[Allocation %]))</f>
        <v/>
      </c>
      <c r="I32" s="27" t="inlineStr"/>
    </row>
    <row r="33">
      <c r="A33" s="27" t="inlineStr"/>
      <c r="B33" s="27" t="inlineStr"/>
      <c r="C33" s="27" t="inlineStr"/>
      <c r="D33" s="27" t="inlineStr"/>
      <c r="E33" s="29" t="inlineStr"/>
      <c r="F33" s="36" t="inlineStr"/>
      <c r="G33" s="36" t="inlineStr"/>
      <c r="H33" s="29">
        <f>IF(A33="","",SUMIF(ResourceTracker[Resource Name],A33,ResourceTracker[Allocation %]))</f>
        <v/>
      </c>
      <c r="I33" s="27" t="inlineStr"/>
    </row>
    <row r="34">
      <c r="A34" s="27" t="inlineStr"/>
      <c r="B34" s="27" t="inlineStr"/>
      <c r="C34" s="27" t="inlineStr"/>
      <c r="D34" s="27" t="inlineStr"/>
      <c r="E34" s="29" t="inlineStr"/>
      <c r="F34" s="36" t="inlineStr"/>
      <c r="G34" s="36" t="inlineStr"/>
      <c r="H34" s="29">
        <f>IF(A34="","",SUMIF(ResourceTracker[Resource Name],A34,ResourceTracker[Allocation %]))</f>
        <v/>
      </c>
      <c r="I34" s="27" t="inlineStr"/>
    </row>
    <row r="35">
      <c r="A35" s="27" t="inlineStr"/>
      <c r="B35" s="27" t="inlineStr"/>
      <c r="C35" s="27" t="inlineStr"/>
      <c r="D35" s="27" t="inlineStr"/>
      <c r="E35" s="29" t="inlineStr"/>
      <c r="F35" s="36" t="inlineStr"/>
      <c r="G35" s="36" t="inlineStr"/>
      <c r="H35" s="29">
        <f>IF(A35="","",SUMIF(ResourceTracker[Resource Name],A35,ResourceTracker[Allocation %]))</f>
        <v/>
      </c>
      <c r="I35" s="27" t="inlineStr"/>
    </row>
    <row r="36">
      <c r="A36" s="27" t="inlineStr"/>
      <c r="B36" s="27" t="inlineStr"/>
      <c r="C36" s="27" t="inlineStr"/>
      <c r="D36" s="27" t="inlineStr"/>
      <c r="E36" s="29" t="inlineStr"/>
      <c r="F36" s="36" t="inlineStr"/>
      <c r="G36" s="36" t="inlineStr"/>
      <c r="H36" s="29">
        <f>IF(A36="","",SUMIF(ResourceTracker[Resource Name],A36,ResourceTracker[Allocation %]))</f>
        <v/>
      </c>
      <c r="I36" s="27" t="inlineStr"/>
    </row>
    <row r="37">
      <c r="A37" s="27" t="inlineStr"/>
      <c r="B37" s="27" t="inlineStr"/>
      <c r="C37" s="27" t="inlineStr"/>
      <c r="D37" s="27" t="inlineStr"/>
      <c r="E37" s="29" t="inlineStr"/>
      <c r="F37" s="36" t="inlineStr"/>
      <c r="G37" s="36" t="inlineStr"/>
      <c r="H37" s="29">
        <f>IF(A37="","",SUMIF(ResourceTracker[Resource Name],A37,ResourceTracker[Allocation %]))</f>
        <v/>
      </c>
      <c r="I37" s="27" t="inlineStr"/>
    </row>
    <row r="38">
      <c r="A38" s="27" t="inlineStr"/>
      <c r="B38" s="27" t="inlineStr"/>
      <c r="C38" s="27" t="inlineStr"/>
      <c r="D38" s="27" t="inlineStr"/>
      <c r="E38" s="29" t="inlineStr"/>
      <c r="F38" s="36" t="inlineStr"/>
      <c r="G38" s="36" t="inlineStr"/>
      <c r="H38" s="29">
        <f>IF(A38="","",SUMIF(ResourceTracker[Resource Name],A38,ResourceTracker[Allocation %]))</f>
        <v/>
      </c>
      <c r="I38" s="27" t="inlineStr"/>
    </row>
    <row r="39">
      <c r="A39" s="27" t="inlineStr"/>
      <c r="B39" s="27" t="inlineStr"/>
      <c r="C39" s="27" t="inlineStr"/>
      <c r="D39" s="27" t="inlineStr"/>
      <c r="E39" s="29" t="inlineStr"/>
      <c r="F39" s="36" t="inlineStr"/>
      <c r="G39" s="36" t="inlineStr"/>
      <c r="H39" s="29">
        <f>IF(A39="","",SUMIF(ResourceTracker[Resource Name],A39,ResourceTracker[Allocation %]))</f>
        <v/>
      </c>
      <c r="I39" s="27" t="inlineStr"/>
    </row>
    <row r="40">
      <c r="A40" s="27" t="inlineStr"/>
      <c r="B40" s="27" t="inlineStr"/>
      <c r="C40" s="27" t="inlineStr"/>
      <c r="D40" s="27" t="inlineStr"/>
      <c r="E40" s="29" t="inlineStr"/>
      <c r="F40" s="36" t="inlineStr"/>
      <c r="G40" s="36" t="inlineStr"/>
      <c r="H40" s="29">
        <f>IF(A40="","",SUMIF(ResourceTracker[Resource Name],A40,ResourceTracker[Allocation %]))</f>
        <v/>
      </c>
      <c r="I40" s="27" t="inlineStr"/>
    </row>
    <row r="41">
      <c r="A41" s="27" t="inlineStr"/>
      <c r="B41" s="27" t="inlineStr"/>
      <c r="C41" s="27" t="inlineStr"/>
      <c r="D41" s="27" t="inlineStr"/>
      <c r="E41" s="29" t="inlineStr"/>
      <c r="F41" s="36" t="inlineStr"/>
      <c r="G41" s="36" t="inlineStr"/>
      <c r="H41" s="29">
        <f>IF(A41="","",SUMIF(ResourceTracker[Resource Name],A41,ResourceTracker[Allocation %]))</f>
        <v/>
      </c>
      <c r="I41" s="27" t="inlineStr"/>
    </row>
    <row r="42">
      <c r="A42" s="27" t="inlineStr"/>
      <c r="B42" s="27" t="inlineStr"/>
      <c r="C42" s="27" t="inlineStr"/>
      <c r="D42" s="27" t="inlineStr"/>
      <c r="E42" s="29" t="inlineStr"/>
      <c r="F42" s="36" t="inlineStr"/>
      <c r="G42" s="36" t="inlineStr"/>
      <c r="H42" s="29">
        <f>IF(A42="","",SUMIF(ResourceTracker[Resource Name],A42,ResourceTracker[Allocation %]))</f>
        <v/>
      </c>
      <c r="I42" s="27" t="inlineStr"/>
    </row>
    <row r="43">
      <c r="A43" s="27" t="inlineStr"/>
      <c r="B43" s="27" t="inlineStr"/>
      <c r="C43" s="27" t="inlineStr"/>
      <c r="D43" s="27" t="inlineStr"/>
      <c r="E43" s="29" t="inlineStr"/>
      <c r="F43" s="36" t="inlineStr"/>
      <c r="G43" s="36" t="inlineStr"/>
      <c r="H43" s="29">
        <f>IF(A43="","",SUMIF(ResourceTracker[Resource Name],A43,ResourceTracker[Allocation %]))</f>
        <v/>
      </c>
      <c r="I43" s="27" t="inlineStr"/>
    </row>
    <row r="44">
      <c r="A44" s="27" t="inlineStr"/>
      <c r="B44" s="27" t="inlineStr"/>
      <c r="C44" s="27" t="inlineStr"/>
      <c r="D44" s="27" t="inlineStr"/>
      <c r="E44" s="29" t="inlineStr"/>
      <c r="F44" s="36" t="inlineStr"/>
      <c r="G44" s="36" t="inlineStr"/>
      <c r="H44" s="29">
        <f>IF(A44="","",SUMIF(ResourceTracker[Resource Name],A44,ResourceTracker[Allocation %]))</f>
        <v/>
      </c>
      <c r="I44" s="27" t="inlineStr"/>
    </row>
    <row r="45">
      <c r="A45" s="27" t="inlineStr"/>
      <c r="B45" s="27" t="inlineStr"/>
      <c r="C45" s="27" t="inlineStr"/>
      <c r="D45" s="27" t="inlineStr"/>
      <c r="E45" s="29" t="inlineStr"/>
      <c r="F45" s="36" t="inlineStr"/>
      <c r="G45" s="36" t="inlineStr"/>
      <c r="H45" s="29">
        <f>IF(A45="","",SUMIF(ResourceTracker[Resource Name],A45,ResourceTracker[Allocation %]))</f>
        <v/>
      </c>
      <c r="I45" s="27" t="inlineStr"/>
    </row>
    <row r="46">
      <c r="A46" s="27" t="inlineStr"/>
      <c r="B46" s="27" t="inlineStr"/>
      <c r="C46" s="27" t="inlineStr"/>
      <c r="D46" s="27" t="inlineStr"/>
      <c r="E46" s="29" t="inlineStr"/>
      <c r="F46" s="36" t="inlineStr"/>
      <c r="G46" s="36" t="inlineStr"/>
      <c r="H46" s="29">
        <f>IF(A46="","",SUMIF(ResourceTracker[Resource Name],A46,ResourceTracker[Allocation %]))</f>
        <v/>
      </c>
      <c r="I46" s="27" t="inlineStr"/>
    </row>
    <row r="47">
      <c r="A47" s="27" t="inlineStr"/>
      <c r="B47" s="27" t="inlineStr"/>
      <c r="C47" s="27" t="inlineStr"/>
      <c r="D47" s="27" t="inlineStr"/>
      <c r="E47" s="29" t="inlineStr"/>
      <c r="F47" s="36" t="inlineStr"/>
      <c r="G47" s="36" t="inlineStr"/>
      <c r="H47" s="29">
        <f>IF(A47="","",SUMIF(ResourceTracker[Resource Name],A47,ResourceTracker[Allocation %]))</f>
        <v/>
      </c>
      <c r="I47" s="27" t="inlineStr"/>
    </row>
    <row r="48">
      <c r="A48" s="27" t="inlineStr"/>
      <c r="B48" s="27" t="inlineStr"/>
      <c r="C48" s="27" t="inlineStr"/>
      <c r="D48" s="27" t="inlineStr"/>
      <c r="E48" s="29" t="inlineStr"/>
      <c r="F48" s="36" t="inlineStr"/>
      <c r="G48" s="36" t="inlineStr"/>
      <c r="H48" s="29">
        <f>IF(A48="","",SUMIF(ResourceTracker[Resource Name],A48,ResourceTracker[Allocation %]))</f>
        <v/>
      </c>
      <c r="I48" s="27" t="inlineStr"/>
    </row>
    <row r="49">
      <c r="A49" s="27" t="inlineStr"/>
      <c r="B49" s="27" t="inlineStr"/>
      <c r="C49" s="27" t="inlineStr"/>
      <c r="D49" s="27" t="inlineStr"/>
      <c r="E49" s="29" t="inlineStr"/>
      <c r="F49" s="36" t="inlineStr"/>
      <c r="G49" s="36" t="inlineStr"/>
      <c r="H49" s="29">
        <f>IF(A49="","",SUMIF(ResourceTracker[Resource Name],A49,ResourceTracker[Allocation %]))</f>
        <v/>
      </c>
      <c r="I49" s="27" t="inlineStr"/>
    </row>
    <row r="50">
      <c r="A50" s="27" t="inlineStr"/>
      <c r="B50" s="27" t="inlineStr"/>
      <c r="C50" s="27" t="inlineStr"/>
      <c r="D50" s="27" t="inlineStr"/>
      <c r="E50" s="29" t="inlineStr"/>
      <c r="F50" s="36" t="inlineStr"/>
      <c r="G50" s="36" t="inlineStr"/>
      <c r="H50" s="29">
        <f>IF(A50="","",SUMIF(ResourceTracker[Resource Name],A50,ResourceTracker[Allocation %]))</f>
        <v/>
      </c>
      <c r="I50" s="27" t="inlineStr"/>
    </row>
    <row r="51">
      <c r="A51" s="27" t="inlineStr"/>
      <c r="B51" s="27" t="inlineStr"/>
      <c r="C51" s="27" t="inlineStr"/>
      <c r="D51" s="27" t="inlineStr"/>
      <c r="E51" s="29" t="inlineStr"/>
      <c r="F51" s="36" t="inlineStr"/>
      <c r="G51" s="36" t="inlineStr"/>
      <c r="H51" s="29">
        <f>IF(A51="","",SUMIF(ResourceTracker[Resource Name],A51,ResourceTracker[Allocation %]))</f>
        <v/>
      </c>
      <c r="I51" s="27" t="inlineStr"/>
    </row>
    <row r="52">
      <c r="A52" s="27" t="inlineStr"/>
      <c r="B52" s="27" t="inlineStr"/>
      <c r="C52" s="27" t="inlineStr"/>
      <c r="D52" s="27" t="inlineStr"/>
      <c r="E52" s="29" t="inlineStr"/>
      <c r="F52" s="36" t="inlineStr"/>
      <c r="G52" s="36" t="inlineStr"/>
      <c r="H52" s="29">
        <f>IF(A52="","",SUMIF(ResourceTracker[Resource Name],A52,ResourceTracker[Allocation %]))</f>
        <v/>
      </c>
      <c r="I52" s="27" t="inlineStr"/>
    </row>
    <row r="53">
      <c r="A53" s="27" t="inlineStr"/>
      <c r="B53" s="27" t="inlineStr"/>
      <c r="C53" s="27" t="inlineStr"/>
      <c r="D53" s="27" t="inlineStr"/>
      <c r="E53" s="29" t="inlineStr"/>
      <c r="F53" s="36" t="inlineStr"/>
      <c r="G53" s="36" t="inlineStr"/>
      <c r="H53" s="29">
        <f>IF(A53="","",SUMIF(ResourceTracker[Resource Name],A53,ResourceTracker[Allocation %]))</f>
        <v/>
      </c>
      <c r="I53" s="27" t="inlineStr"/>
    </row>
    <row r="54">
      <c r="A54" s="27" t="inlineStr"/>
      <c r="B54" s="27" t="inlineStr"/>
      <c r="C54" s="27" t="inlineStr"/>
      <c r="D54" s="27" t="inlineStr"/>
      <c r="E54" s="29" t="inlineStr"/>
      <c r="F54" s="36" t="inlineStr"/>
      <c r="G54" s="36" t="inlineStr"/>
      <c r="H54" s="29">
        <f>IF(A54="","",SUMIF(ResourceTracker[Resource Name],A54,ResourceTracker[Allocation %]))</f>
        <v/>
      </c>
      <c r="I54" s="27" t="inlineStr"/>
    </row>
    <row r="55">
      <c r="A55" s="27" t="inlineStr"/>
      <c r="B55" s="27" t="inlineStr"/>
      <c r="C55" s="27" t="inlineStr"/>
      <c r="D55" s="27" t="inlineStr"/>
      <c r="E55" s="29" t="inlineStr"/>
      <c r="F55" s="36" t="inlineStr"/>
      <c r="G55" s="36" t="inlineStr"/>
      <c r="H55" s="29">
        <f>IF(A55="","",SUMIF(ResourceTracker[Resource Name],A55,ResourceTracker[Allocation %]))</f>
        <v/>
      </c>
      <c r="I55" s="27" t="inlineStr"/>
    </row>
    <row r="56">
      <c r="A56" s="27" t="inlineStr"/>
      <c r="B56" s="27" t="inlineStr"/>
      <c r="C56" s="27" t="inlineStr"/>
      <c r="D56" s="27" t="inlineStr"/>
      <c r="E56" s="29" t="inlineStr"/>
      <c r="F56" s="36" t="inlineStr"/>
      <c r="G56" s="36" t="inlineStr"/>
      <c r="H56" s="29">
        <f>IF(A56="","",SUMIF(ResourceTracker[Resource Name],A56,ResourceTracker[Allocation %]))</f>
        <v/>
      </c>
      <c r="I56" s="27" t="inlineStr"/>
    </row>
    <row r="57">
      <c r="A57" s="27" t="inlineStr"/>
      <c r="B57" s="27" t="inlineStr"/>
      <c r="C57" s="27" t="inlineStr"/>
      <c r="D57" s="27" t="inlineStr"/>
      <c r="E57" s="29" t="inlineStr"/>
      <c r="F57" s="36" t="inlineStr"/>
      <c r="G57" s="36" t="inlineStr"/>
      <c r="H57" s="29">
        <f>IF(A57="","",SUMIF(ResourceTracker[Resource Name],A57,ResourceTracker[Allocation %]))</f>
        <v/>
      </c>
      <c r="I57" s="27" t="inlineStr"/>
    </row>
    <row r="58">
      <c r="A58" s="27" t="inlineStr"/>
      <c r="B58" s="27" t="inlineStr"/>
      <c r="C58" s="27" t="inlineStr"/>
      <c r="D58" s="27" t="inlineStr"/>
      <c r="E58" s="29" t="inlineStr"/>
      <c r="F58" s="36" t="inlineStr"/>
      <c r="G58" s="36" t="inlineStr"/>
      <c r="H58" s="29">
        <f>IF(A58="","",SUMIF(ResourceTracker[Resource Name],A58,ResourceTracker[Allocation %]))</f>
        <v/>
      </c>
      <c r="I58" s="27" t="inlineStr"/>
    </row>
    <row r="59">
      <c r="A59" s="27" t="inlineStr"/>
      <c r="B59" s="27" t="inlineStr"/>
      <c r="C59" s="27" t="inlineStr"/>
      <c r="D59" s="27" t="inlineStr"/>
      <c r="E59" s="29" t="inlineStr"/>
      <c r="F59" s="36" t="inlineStr"/>
      <c r="G59" s="36" t="inlineStr"/>
      <c r="H59" s="29">
        <f>IF(A59="","",SUMIF(ResourceTracker[Resource Name],A59,ResourceTracker[Allocation %]))</f>
        <v/>
      </c>
      <c r="I59" s="27" t="inlineStr"/>
    </row>
    <row r="60">
      <c r="A60" s="27" t="inlineStr"/>
      <c r="B60" s="27" t="inlineStr"/>
      <c r="C60" s="27" t="inlineStr"/>
      <c r="D60" s="27" t="inlineStr"/>
      <c r="E60" s="29" t="inlineStr"/>
      <c r="F60" s="36" t="inlineStr"/>
      <c r="G60" s="36" t="inlineStr"/>
      <c r="H60" s="29">
        <f>IF(A60="","",SUMIF(ResourceTracker[Resource Name],A60,ResourceTracker[Allocation %]))</f>
        <v/>
      </c>
      <c r="I60" s="27" t="inlineStr"/>
    </row>
    <row r="61">
      <c r="A61" s="27" t="inlineStr"/>
      <c r="B61" s="27" t="inlineStr"/>
      <c r="C61" s="27" t="inlineStr"/>
      <c r="D61" s="27" t="inlineStr"/>
      <c r="E61" s="29" t="inlineStr"/>
      <c r="F61" s="36" t="inlineStr"/>
      <c r="G61" s="36" t="inlineStr"/>
      <c r="H61" s="29">
        <f>IF(A61="","",SUMIF(ResourceTracker[Resource Name],A61,ResourceTracker[Allocation %]))</f>
        <v/>
      </c>
      <c r="I61" s="27" t="inlineStr"/>
    </row>
    <row r="62">
      <c r="A62" s="27" t="inlineStr"/>
      <c r="B62" s="27" t="inlineStr"/>
      <c r="C62" s="27" t="inlineStr"/>
      <c r="D62" s="27" t="inlineStr"/>
      <c r="E62" s="29" t="inlineStr"/>
      <c r="F62" s="36" t="inlineStr"/>
      <c r="G62" s="36" t="inlineStr"/>
      <c r="H62" s="29">
        <f>IF(A62="","",SUMIF(ResourceTracker[Resource Name],A62,ResourceTracker[Allocation %]))</f>
        <v/>
      </c>
      <c r="I62" s="27" t="inlineStr"/>
    </row>
    <row r="63">
      <c r="A63" s="27" t="inlineStr"/>
      <c r="B63" s="27" t="inlineStr"/>
      <c r="C63" s="27" t="inlineStr"/>
      <c r="D63" s="27" t="inlineStr"/>
      <c r="E63" s="29" t="inlineStr"/>
      <c r="F63" s="36" t="inlineStr"/>
      <c r="G63" s="36" t="inlineStr"/>
      <c r="H63" s="29">
        <f>IF(A63="","",SUMIF(ResourceTracker[Resource Name],A63,ResourceTracker[Allocation %]))</f>
        <v/>
      </c>
      <c r="I63" s="27" t="inlineStr"/>
    </row>
    <row r="64">
      <c r="A64" s="27" t="inlineStr"/>
      <c r="B64" s="27" t="inlineStr"/>
      <c r="C64" s="27" t="inlineStr"/>
      <c r="D64" s="27" t="inlineStr"/>
      <c r="E64" s="29" t="inlineStr"/>
      <c r="F64" s="36" t="inlineStr"/>
      <c r="G64" s="36" t="inlineStr"/>
      <c r="H64" s="29">
        <f>IF(A64="","",SUMIF(ResourceTracker[Resource Name],A64,ResourceTracker[Allocation %]))</f>
        <v/>
      </c>
      <c r="I64" s="27" t="inlineStr"/>
    </row>
    <row r="65">
      <c r="A65" s="27" t="inlineStr"/>
      <c r="B65" s="27" t="inlineStr"/>
      <c r="C65" s="27" t="inlineStr"/>
      <c r="D65" s="27" t="inlineStr"/>
      <c r="E65" s="29" t="inlineStr"/>
      <c r="F65" s="36" t="inlineStr"/>
      <c r="G65" s="36" t="inlineStr"/>
      <c r="H65" s="29">
        <f>IF(A65="","",SUMIF(ResourceTracker[Resource Name],A65,ResourceTracker[Allocation %]))</f>
        <v/>
      </c>
      <c r="I65" s="27" t="inlineStr"/>
    </row>
    <row r="66">
      <c r="A66" s="27" t="inlineStr"/>
      <c r="B66" s="27" t="inlineStr"/>
      <c r="C66" s="27" t="inlineStr"/>
      <c r="D66" s="27" t="inlineStr"/>
      <c r="E66" s="29" t="inlineStr"/>
      <c r="F66" s="36" t="inlineStr"/>
      <c r="G66" s="36" t="inlineStr"/>
      <c r="H66" s="29">
        <f>IF(A66="","",SUMIF(ResourceTracker[Resource Name],A66,ResourceTracker[Allocation %]))</f>
        <v/>
      </c>
      <c r="I66" s="27" t="inlineStr"/>
    </row>
    <row r="67">
      <c r="A67" s="27" t="inlineStr"/>
      <c r="B67" s="27" t="inlineStr"/>
      <c r="C67" s="27" t="inlineStr"/>
      <c r="D67" s="27" t="inlineStr"/>
      <c r="E67" s="29" t="inlineStr"/>
      <c r="F67" s="36" t="inlineStr"/>
      <c r="G67" s="36" t="inlineStr"/>
      <c r="H67" s="29">
        <f>IF(A67="","",SUMIF(ResourceTracker[Resource Name],A67,ResourceTracker[Allocation %]))</f>
        <v/>
      </c>
      <c r="I67" s="27" t="inlineStr"/>
    </row>
    <row r="68">
      <c r="A68" s="27" t="inlineStr"/>
      <c r="B68" s="27" t="inlineStr"/>
      <c r="C68" s="27" t="inlineStr"/>
      <c r="D68" s="27" t="inlineStr"/>
      <c r="E68" s="29" t="inlineStr"/>
      <c r="F68" s="36" t="inlineStr"/>
      <c r="G68" s="36" t="inlineStr"/>
      <c r="H68" s="29">
        <f>IF(A68="","",SUMIF(ResourceTracker[Resource Name],A68,ResourceTracker[Allocation %]))</f>
        <v/>
      </c>
      <c r="I68" s="27" t="inlineStr"/>
    </row>
    <row r="69">
      <c r="A69" s="27" t="inlineStr"/>
      <c r="B69" s="27" t="inlineStr"/>
      <c r="C69" s="27" t="inlineStr"/>
      <c r="D69" s="27" t="inlineStr"/>
      <c r="E69" s="29" t="inlineStr"/>
      <c r="F69" s="36" t="inlineStr"/>
      <c r="G69" s="36" t="inlineStr"/>
      <c r="H69" s="29">
        <f>IF(A69="","",SUMIF(ResourceTracker[Resource Name],A69,ResourceTracker[Allocation %]))</f>
        <v/>
      </c>
      <c r="I69" s="27" t="inlineStr"/>
    </row>
    <row r="70">
      <c r="A70" s="27" t="inlineStr"/>
      <c r="B70" s="27" t="inlineStr"/>
      <c r="C70" s="27" t="inlineStr"/>
      <c r="D70" s="27" t="inlineStr"/>
      <c r="E70" s="29" t="inlineStr"/>
      <c r="F70" s="36" t="inlineStr"/>
      <c r="G70" s="36" t="inlineStr"/>
      <c r="H70" s="29">
        <f>IF(A70="","",SUMIF(ResourceTracker[Resource Name],A70,ResourceTracker[Allocation %]))</f>
        <v/>
      </c>
      <c r="I70" s="27" t="inlineStr"/>
    </row>
    <row r="71">
      <c r="A71" s="27" t="inlineStr"/>
      <c r="B71" s="27" t="inlineStr"/>
      <c r="C71" s="27" t="inlineStr"/>
      <c r="D71" s="27" t="inlineStr"/>
      <c r="E71" s="29" t="inlineStr"/>
      <c r="F71" s="36" t="inlineStr"/>
      <c r="G71" s="36" t="inlineStr"/>
      <c r="H71" s="29">
        <f>IF(A71="","",SUMIF(ResourceTracker[Resource Name],A71,ResourceTracker[Allocation %]))</f>
        <v/>
      </c>
      <c r="I71" s="27" t="inlineStr"/>
    </row>
    <row r="72">
      <c r="A72" s="27" t="inlineStr"/>
      <c r="B72" s="27" t="inlineStr"/>
      <c r="C72" s="27" t="inlineStr"/>
      <c r="D72" s="27" t="inlineStr"/>
      <c r="E72" s="29" t="inlineStr"/>
      <c r="F72" s="36" t="inlineStr"/>
      <c r="G72" s="36" t="inlineStr"/>
      <c r="H72" s="29">
        <f>IF(A72="","",SUMIF(ResourceTracker[Resource Name],A72,ResourceTracker[Allocation %]))</f>
        <v/>
      </c>
      <c r="I72" s="27" t="inlineStr"/>
    </row>
    <row r="73">
      <c r="A73" s="27" t="inlineStr"/>
      <c r="B73" s="27" t="inlineStr"/>
      <c r="C73" s="27" t="inlineStr"/>
      <c r="D73" s="27" t="inlineStr"/>
      <c r="E73" s="29" t="inlineStr"/>
      <c r="F73" s="36" t="inlineStr"/>
      <c r="G73" s="36" t="inlineStr"/>
      <c r="H73" s="29">
        <f>IF(A73="","",SUMIF(ResourceTracker[Resource Name],A73,ResourceTracker[Allocation %]))</f>
        <v/>
      </c>
      <c r="I73" s="27" t="inlineStr"/>
    </row>
    <row r="74">
      <c r="A74" s="27" t="inlineStr"/>
      <c r="B74" s="27" t="inlineStr"/>
      <c r="C74" s="27" t="inlineStr"/>
      <c r="D74" s="27" t="inlineStr"/>
      <c r="E74" s="29" t="inlineStr"/>
      <c r="F74" s="36" t="inlineStr"/>
      <c r="G74" s="36" t="inlineStr"/>
      <c r="H74" s="29">
        <f>IF(A74="","",SUMIF(ResourceTracker[Resource Name],A74,ResourceTracker[Allocation %]))</f>
        <v/>
      </c>
      <c r="I74" s="27" t="inlineStr"/>
    </row>
    <row r="75">
      <c r="A75" s="27" t="inlineStr"/>
      <c r="B75" s="27" t="inlineStr"/>
      <c r="C75" s="27" t="inlineStr"/>
      <c r="D75" s="27" t="inlineStr"/>
      <c r="E75" s="29" t="inlineStr"/>
      <c r="F75" s="36" t="inlineStr"/>
      <c r="G75" s="36" t="inlineStr"/>
      <c r="H75" s="29">
        <f>IF(A75="","",SUMIF(ResourceTracker[Resource Name],A75,ResourceTracker[Allocation %]))</f>
        <v/>
      </c>
      <c r="I75" s="27" t="inlineStr"/>
    </row>
    <row r="76">
      <c r="A76" s="27" t="inlineStr"/>
      <c r="B76" s="27" t="inlineStr"/>
      <c r="C76" s="27" t="inlineStr"/>
      <c r="D76" s="27" t="inlineStr"/>
      <c r="E76" s="29" t="inlineStr"/>
      <c r="F76" s="36" t="inlineStr"/>
      <c r="G76" s="36" t="inlineStr"/>
      <c r="H76" s="29">
        <f>IF(A76="","",SUMIF(ResourceTracker[Resource Name],A76,ResourceTracker[Allocation %]))</f>
        <v/>
      </c>
      <c r="I76" s="27" t="inlineStr"/>
    </row>
    <row r="77">
      <c r="A77" s="27" t="inlineStr"/>
      <c r="B77" s="27" t="inlineStr"/>
      <c r="C77" s="27" t="inlineStr"/>
      <c r="D77" s="27" t="inlineStr"/>
      <c r="E77" s="29" t="inlineStr"/>
      <c r="F77" s="36" t="inlineStr"/>
      <c r="G77" s="36" t="inlineStr"/>
      <c r="H77" s="29">
        <f>IF(A77="","",SUMIF(ResourceTracker[Resource Name],A77,ResourceTracker[Allocation %]))</f>
        <v/>
      </c>
      <c r="I77" s="27" t="inlineStr"/>
    </row>
    <row r="78">
      <c r="A78" s="27" t="inlineStr"/>
      <c r="B78" s="27" t="inlineStr"/>
      <c r="C78" s="27" t="inlineStr"/>
      <c r="D78" s="27" t="inlineStr"/>
      <c r="E78" s="29" t="inlineStr"/>
      <c r="F78" s="36" t="inlineStr"/>
      <c r="G78" s="36" t="inlineStr"/>
      <c r="H78" s="29">
        <f>IF(A78="","",SUMIF(ResourceTracker[Resource Name],A78,ResourceTracker[Allocation %]))</f>
        <v/>
      </c>
      <c r="I78" s="27" t="inlineStr"/>
    </row>
    <row r="79">
      <c r="A79" s="27" t="inlineStr"/>
      <c r="B79" s="27" t="inlineStr"/>
      <c r="C79" s="27" t="inlineStr"/>
      <c r="D79" s="27" t="inlineStr"/>
      <c r="E79" s="29" t="inlineStr"/>
      <c r="F79" s="36" t="inlineStr"/>
      <c r="G79" s="36" t="inlineStr"/>
      <c r="H79" s="29">
        <f>IF(A79="","",SUMIF(ResourceTracker[Resource Name],A79,ResourceTracker[Allocation %]))</f>
        <v/>
      </c>
      <c r="I79" s="27" t="inlineStr"/>
    </row>
    <row r="80">
      <c r="A80" s="27" t="inlineStr"/>
      <c r="B80" s="27" t="inlineStr"/>
      <c r="C80" s="27" t="inlineStr"/>
      <c r="D80" s="27" t="inlineStr"/>
      <c r="E80" s="29" t="inlineStr"/>
      <c r="F80" s="36" t="inlineStr"/>
      <c r="G80" s="36" t="inlineStr"/>
      <c r="H80" s="29">
        <f>IF(A80="","",SUMIF(ResourceTracker[Resource Name],A80,ResourceTracker[Allocation %]))</f>
        <v/>
      </c>
      <c r="I80" s="27" t="inlineStr"/>
    </row>
    <row r="81">
      <c r="A81" s="27" t="inlineStr"/>
      <c r="B81" s="27" t="inlineStr"/>
      <c r="C81" s="27" t="inlineStr"/>
      <c r="D81" s="27" t="inlineStr"/>
      <c r="E81" s="29" t="inlineStr"/>
      <c r="F81" s="36" t="inlineStr"/>
      <c r="G81" s="36" t="inlineStr"/>
      <c r="H81" s="29">
        <f>IF(A81="","",SUMIF(ResourceTracker[Resource Name],A81,ResourceTracker[Allocation %]))</f>
        <v/>
      </c>
      <c r="I81" s="27" t="inlineStr"/>
    </row>
    <row r="82">
      <c r="A82" s="27" t="inlineStr"/>
      <c r="B82" s="27" t="inlineStr"/>
      <c r="C82" s="27" t="inlineStr"/>
      <c r="D82" s="27" t="inlineStr"/>
      <c r="E82" s="29" t="inlineStr"/>
      <c r="F82" s="36" t="inlineStr"/>
      <c r="G82" s="36" t="inlineStr"/>
      <c r="H82" s="29">
        <f>IF(A82="","",SUMIF(ResourceTracker[Resource Name],A82,ResourceTracker[Allocation %]))</f>
        <v/>
      </c>
      <c r="I82" s="27" t="inlineStr"/>
    </row>
    <row r="83">
      <c r="A83" s="27" t="inlineStr"/>
      <c r="B83" s="27" t="inlineStr"/>
      <c r="C83" s="27" t="inlineStr"/>
      <c r="D83" s="27" t="inlineStr"/>
      <c r="E83" s="29" t="inlineStr"/>
      <c r="F83" s="36" t="inlineStr"/>
      <c r="G83" s="36" t="inlineStr"/>
      <c r="H83" s="29">
        <f>IF(A83="","",SUMIF(ResourceTracker[Resource Name],A83,ResourceTracker[Allocation %]))</f>
        <v/>
      </c>
      <c r="I83" s="27" t="inlineStr"/>
    </row>
    <row r="84">
      <c r="A84" s="27" t="inlineStr"/>
      <c r="B84" s="27" t="inlineStr"/>
      <c r="C84" s="27" t="inlineStr"/>
      <c r="D84" s="27" t="inlineStr"/>
      <c r="E84" s="29" t="inlineStr"/>
      <c r="F84" s="36" t="inlineStr"/>
      <c r="G84" s="36" t="inlineStr"/>
      <c r="H84" s="29">
        <f>IF(A84="","",SUMIF(ResourceTracker[Resource Name],A84,ResourceTracker[Allocation %]))</f>
        <v/>
      </c>
      <c r="I84" s="27" t="inlineStr"/>
    </row>
    <row r="85">
      <c r="A85" s="27" t="inlineStr"/>
      <c r="B85" s="27" t="inlineStr"/>
      <c r="C85" s="27" t="inlineStr"/>
      <c r="D85" s="27" t="inlineStr"/>
      <c r="E85" s="29" t="inlineStr"/>
      <c r="F85" s="36" t="inlineStr"/>
      <c r="G85" s="36" t="inlineStr"/>
      <c r="H85" s="29">
        <f>IF(A85="","",SUMIF(ResourceTracker[Resource Name],A85,ResourceTracker[Allocation %]))</f>
        <v/>
      </c>
      <c r="I85" s="27" t="inlineStr"/>
    </row>
    <row r="86">
      <c r="A86" s="27" t="inlineStr"/>
      <c r="B86" s="27" t="inlineStr"/>
      <c r="C86" s="27" t="inlineStr"/>
      <c r="D86" s="27" t="inlineStr"/>
      <c r="E86" s="29" t="inlineStr"/>
      <c r="F86" s="36" t="inlineStr"/>
      <c r="G86" s="36" t="inlineStr"/>
      <c r="H86" s="29">
        <f>IF(A86="","",SUMIF(ResourceTracker[Resource Name],A86,ResourceTracker[Allocation %]))</f>
        <v/>
      </c>
      <c r="I86" s="27" t="inlineStr"/>
    </row>
    <row r="87">
      <c r="A87" s="27" t="inlineStr"/>
      <c r="B87" s="27" t="inlineStr"/>
      <c r="C87" s="27" t="inlineStr"/>
      <c r="D87" s="27" t="inlineStr"/>
      <c r="E87" s="29" t="inlineStr"/>
      <c r="F87" s="36" t="inlineStr"/>
      <c r="G87" s="36" t="inlineStr"/>
      <c r="H87" s="29">
        <f>IF(A87="","",SUMIF(ResourceTracker[Resource Name],A87,ResourceTracker[Allocation %]))</f>
        <v/>
      </c>
      <c r="I87" s="27" t="inlineStr"/>
    </row>
    <row r="88">
      <c r="A88" s="27" t="inlineStr"/>
      <c r="B88" s="27" t="inlineStr"/>
      <c r="C88" s="27" t="inlineStr"/>
      <c r="D88" s="27" t="inlineStr"/>
      <c r="E88" s="29" t="inlineStr"/>
      <c r="F88" s="36" t="inlineStr"/>
      <c r="G88" s="36" t="inlineStr"/>
      <c r="H88" s="29">
        <f>IF(A88="","",SUMIF(ResourceTracker[Resource Name],A88,ResourceTracker[Allocation %]))</f>
        <v/>
      </c>
      <c r="I88" s="27" t="inlineStr"/>
    </row>
    <row r="89">
      <c r="A89" s="27" t="inlineStr"/>
      <c r="B89" s="27" t="inlineStr"/>
      <c r="C89" s="27" t="inlineStr"/>
      <c r="D89" s="27" t="inlineStr"/>
      <c r="E89" s="29" t="inlineStr"/>
      <c r="F89" s="36" t="inlineStr"/>
      <c r="G89" s="36" t="inlineStr"/>
      <c r="H89" s="29">
        <f>IF(A89="","",SUMIF(ResourceTracker[Resource Name],A89,ResourceTracker[Allocation %]))</f>
        <v/>
      </c>
      <c r="I89" s="27" t="inlineStr"/>
    </row>
    <row r="90">
      <c r="A90" s="27" t="inlineStr"/>
      <c r="B90" s="27" t="inlineStr"/>
      <c r="C90" s="27" t="inlineStr"/>
      <c r="D90" s="27" t="inlineStr"/>
      <c r="E90" s="29" t="inlineStr"/>
      <c r="F90" s="36" t="inlineStr"/>
      <c r="G90" s="36" t="inlineStr"/>
      <c r="H90" s="29">
        <f>IF(A90="","",SUMIF(ResourceTracker[Resource Name],A90,ResourceTracker[Allocation %]))</f>
        <v/>
      </c>
      <c r="I90" s="27" t="inlineStr"/>
    </row>
    <row r="91">
      <c r="A91" s="27" t="inlineStr"/>
      <c r="B91" s="27" t="inlineStr"/>
      <c r="C91" s="27" t="inlineStr"/>
      <c r="D91" s="27" t="inlineStr"/>
      <c r="E91" s="29" t="inlineStr"/>
      <c r="F91" s="36" t="inlineStr"/>
      <c r="G91" s="36" t="inlineStr"/>
      <c r="H91" s="29">
        <f>IF(A91="","",SUMIF(ResourceTracker[Resource Name],A91,ResourceTracker[Allocation %]))</f>
        <v/>
      </c>
      <c r="I91" s="27" t="inlineStr"/>
    </row>
    <row r="92">
      <c r="A92" s="27" t="inlineStr"/>
      <c r="B92" s="27" t="inlineStr"/>
      <c r="C92" s="27" t="inlineStr"/>
      <c r="D92" s="27" t="inlineStr"/>
      <c r="E92" s="29" t="inlineStr"/>
      <c r="F92" s="36" t="inlineStr"/>
      <c r="G92" s="36" t="inlineStr"/>
      <c r="H92" s="29">
        <f>IF(A92="","",SUMIF(ResourceTracker[Resource Name],A92,ResourceTracker[Allocation %]))</f>
        <v/>
      </c>
      <c r="I92" s="27" t="inlineStr"/>
    </row>
    <row r="93">
      <c r="A93" s="27" t="inlineStr"/>
      <c r="B93" s="27" t="inlineStr"/>
      <c r="C93" s="27" t="inlineStr"/>
      <c r="D93" s="27" t="inlineStr"/>
      <c r="E93" s="29" t="inlineStr"/>
      <c r="F93" s="36" t="inlineStr"/>
      <c r="G93" s="36" t="inlineStr"/>
      <c r="H93" s="29">
        <f>IF(A93="","",SUMIF(ResourceTracker[Resource Name],A93,ResourceTracker[Allocation %]))</f>
        <v/>
      </c>
      <c r="I93" s="27" t="inlineStr"/>
    </row>
    <row r="94">
      <c r="A94" s="27" t="inlineStr"/>
      <c r="B94" s="27" t="inlineStr"/>
      <c r="C94" s="27" t="inlineStr"/>
      <c r="D94" s="27" t="inlineStr"/>
      <c r="E94" s="29" t="inlineStr"/>
      <c r="F94" s="36" t="inlineStr"/>
      <c r="G94" s="36" t="inlineStr"/>
      <c r="H94" s="29">
        <f>IF(A94="","",SUMIF(ResourceTracker[Resource Name],A94,ResourceTracker[Allocation %]))</f>
        <v/>
      </c>
      <c r="I94" s="27" t="inlineStr"/>
    </row>
    <row r="95">
      <c r="A95" s="27" t="inlineStr"/>
      <c r="B95" s="27" t="inlineStr"/>
      <c r="C95" s="27" t="inlineStr"/>
      <c r="D95" s="27" t="inlineStr"/>
      <c r="E95" s="29" t="inlineStr"/>
      <c r="F95" s="36" t="inlineStr"/>
      <c r="G95" s="36" t="inlineStr"/>
      <c r="H95" s="29">
        <f>IF(A95="","",SUMIF(ResourceTracker[Resource Name],A95,ResourceTracker[Allocation %]))</f>
        <v/>
      </c>
      <c r="I95" s="27" t="inlineStr"/>
    </row>
    <row r="96">
      <c r="A96" s="27" t="inlineStr"/>
      <c r="B96" s="27" t="inlineStr"/>
      <c r="C96" s="27" t="inlineStr"/>
      <c r="D96" s="27" t="inlineStr"/>
      <c r="E96" s="29" t="inlineStr"/>
      <c r="F96" s="36" t="inlineStr"/>
      <c r="G96" s="36" t="inlineStr"/>
      <c r="H96" s="29">
        <f>IF(A96="","",SUMIF(ResourceTracker[Resource Name],A96,ResourceTracker[Allocation %]))</f>
        <v/>
      </c>
      <c r="I96" s="27" t="inlineStr"/>
    </row>
    <row r="97">
      <c r="A97" s="27" t="inlineStr"/>
      <c r="B97" s="27" t="inlineStr"/>
      <c r="C97" s="27" t="inlineStr"/>
      <c r="D97" s="27" t="inlineStr"/>
      <c r="E97" s="29" t="inlineStr"/>
      <c r="F97" s="36" t="inlineStr"/>
      <c r="G97" s="36" t="inlineStr"/>
      <c r="H97" s="29">
        <f>IF(A97="","",SUMIF(ResourceTracker[Resource Name],A97,ResourceTracker[Allocation %]))</f>
        <v/>
      </c>
      <c r="I97" s="27" t="inlineStr"/>
    </row>
    <row r="98">
      <c r="A98" s="27" t="inlineStr"/>
      <c r="B98" s="27" t="inlineStr"/>
      <c r="C98" s="27" t="inlineStr"/>
      <c r="D98" s="27" t="inlineStr"/>
      <c r="E98" s="29" t="inlineStr"/>
      <c r="F98" s="36" t="inlineStr"/>
      <c r="G98" s="36" t="inlineStr"/>
      <c r="H98" s="29">
        <f>IF(A98="","",SUMIF(ResourceTracker[Resource Name],A98,ResourceTracker[Allocation %]))</f>
        <v/>
      </c>
      <c r="I98" s="27" t="inlineStr"/>
    </row>
    <row r="99">
      <c r="A99" s="27" t="inlineStr"/>
      <c r="B99" s="27" t="inlineStr"/>
      <c r="C99" s="27" t="inlineStr"/>
      <c r="D99" s="27" t="inlineStr"/>
      <c r="E99" s="29" t="inlineStr"/>
      <c r="F99" s="36" t="inlineStr"/>
      <c r="G99" s="36" t="inlineStr"/>
      <c r="H99" s="29">
        <f>IF(A99="","",SUMIF(ResourceTracker[Resource Name],A99,ResourceTracker[Allocation %]))</f>
        <v/>
      </c>
      <c r="I99" s="27" t="inlineStr"/>
    </row>
    <row r="100">
      <c r="A100" s="27" t="inlineStr"/>
      <c r="B100" s="27" t="inlineStr"/>
      <c r="C100" s="27" t="inlineStr"/>
      <c r="D100" s="27" t="inlineStr"/>
      <c r="E100" s="29" t="inlineStr"/>
      <c r="F100" s="36" t="inlineStr"/>
      <c r="G100" s="36" t="inlineStr"/>
      <c r="H100" s="29">
        <f>IF(A100="","",SUMIF(ResourceTracker[Resource Name],A100,ResourceTracker[Allocation %]))</f>
        <v/>
      </c>
      <c r="I100" s="27" t="inlineStr"/>
    </row>
    <row r="101">
      <c r="A101" s="27" t="inlineStr"/>
      <c r="B101" s="27" t="inlineStr"/>
      <c r="C101" s="27" t="inlineStr"/>
      <c r="D101" s="27" t="inlineStr"/>
      <c r="E101" s="29" t="inlineStr"/>
      <c r="F101" s="36" t="inlineStr"/>
      <c r="G101" s="36" t="inlineStr"/>
      <c r="H101" s="29">
        <f>IF(A101="","",SUMIF(ResourceTracker[Resource Name],A101,ResourceTracker[Allocation %]))</f>
        <v/>
      </c>
      <c r="I101" s="27" t="inlineStr"/>
    </row>
    <row r="102">
      <c r="A102" s="27" t="inlineStr"/>
      <c r="B102" s="27" t="inlineStr"/>
      <c r="C102" s="27" t="inlineStr"/>
      <c r="D102" s="27" t="inlineStr"/>
      <c r="E102" s="29" t="inlineStr"/>
      <c r="F102" s="36" t="inlineStr"/>
      <c r="G102" s="36" t="inlineStr"/>
      <c r="H102" s="29">
        <f>IF(A102="","",SUMIF(ResourceTracker[Resource Name],A102,ResourceTracker[Allocation %]))</f>
        <v/>
      </c>
      <c r="I102" s="27" t="inlineStr"/>
    </row>
    <row r="103">
      <c r="A103" s="27" t="inlineStr"/>
      <c r="B103" s="27" t="inlineStr"/>
      <c r="C103" s="27" t="inlineStr"/>
      <c r="D103" s="27" t="inlineStr"/>
      <c r="E103" s="29" t="inlineStr"/>
      <c r="F103" s="36" t="inlineStr"/>
      <c r="G103" s="36" t="inlineStr"/>
      <c r="H103" s="29">
        <f>IF(A103="","",SUMIF(ResourceTracker[Resource Name],A103,ResourceTracker[Allocation %]))</f>
        <v/>
      </c>
      <c r="I103" s="27" t="inlineStr"/>
    </row>
    <row r="104">
      <c r="A104" s="27" t="inlineStr"/>
      <c r="B104" s="27" t="inlineStr"/>
      <c r="C104" s="27" t="inlineStr"/>
      <c r="D104" s="27" t="inlineStr"/>
      <c r="E104" s="29" t="inlineStr"/>
      <c r="F104" s="36" t="inlineStr"/>
      <c r="G104" s="36" t="inlineStr"/>
      <c r="H104" s="29">
        <f>IF(A104="","",SUMIF(ResourceTracker[Resource Name],A104,ResourceTracker[Allocation %]))</f>
        <v/>
      </c>
      <c r="I104" s="27" t="inlineStr"/>
    </row>
    <row r="105">
      <c r="A105" s="27" t="inlineStr"/>
      <c r="B105" s="27" t="inlineStr"/>
      <c r="C105" s="27" t="inlineStr"/>
      <c r="D105" s="27" t="inlineStr"/>
      <c r="E105" s="29" t="inlineStr"/>
      <c r="F105" s="36" t="inlineStr"/>
      <c r="G105" s="36" t="inlineStr"/>
      <c r="H105" s="29">
        <f>IF(A105="","",SUMIF(ResourceTracker[Resource Name],A105,ResourceTracker[Allocation %]))</f>
        <v/>
      </c>
      <c r="I105" s="27" t="inlineStr"/>
    </row>
    <row r="106">
      <c r="A106" s="27" t="inlineStr"/>
      <c r="B106" s="27" t="inlineStr"/>
      <c r="C106" s="27" t="inlineStr"/>
      <c r="D106" s="27" t="inlineStr"/>
      <c r="E106" s="29" t="inlineStr"/>
      <c r="F106" s="36" t="inlineStr"/>
      <c r="G106" s="36" t="inlineStr"/>
      <c r="H106" s="29">
        <f>IF(A106="","",SUMIF(ResourceTracker[Resource Name],A106,ResourceTracker[Allocation %]))</f>
        <v/>
      </c>
      <c r="I106" s="27" t="inlineStr"/>
    </row>
    <row r="107">
      <c r="A107" s="27" t="inlineStr"/>
      <c r="B107" s="27" t="inlineStr"/>
      <c r="C107" s="27" t="inlineStr"/>
      <c r="D107" s="27" t="inlineStr"/>
      <c r="E107" s="29" t="inlineStr"/>
      <c r="F107" s="36" t="inlineStr"/>
      <c r="G107" s="36" t="inlineStr"/>
      <c r="H107" s="29">
        <f>IF(A107="","",SUMIF(ResourceTracker[Resource Name],A107,ResourceTracker[Allocation %]))</f>
        <v/>
      </c>
      <c r="I107" s="27" t="inlineStr"/>
    </row>
    <row r="108">
      <c r="A108" s="27" t="inlineStr"/>
      <c r="B108" s="27" t="inlineStr"/>
      <c r="C108" s="27" t="inlineStr"/>
      <c r="D108" s="27" t="inlineStr"/>
      <c r="E108" s="29" t="inlineStr"/>
      <c r="F108" s="36" t="inlineStr"/>
      <c r="G108" s="36" t="inlineStr"/>
      <c r="H108" s="29">
        <f>IF(A108="","",SUMIF(ResourceTracker[Resource Name],A108,ResourceTracker[Allocation %]))</f>
        <v/>
      </c>
      <c r="I108" s="27" t="inlineStr"/>
    </row>
    <row r="109">
      <c r="A109" s="27" t="inlineStr"/>
      <c r="B109" s="27" t="inlineStr"/>
      <c r="C109" s="27" t="inlineStr"/>
      <c r="D109" s="27" t="inlineStr"/>
      <c r="E109" s="29" t="inlineStr"/>
      <c r="F109" s="36" t="inlineStr"/>
      <c r="G109" s="36" t="inlineStr"/>
      <c r="H109" s="29">
        <f>IF(A109="","",SUMIF(ResourceTracker[Resource Name],A109,ResourceTracker[Allocation %]))</f>
        <v/>
      </c>
      <c r="I109" s="27" t="inlineStr"/>
    </row>
    <row r="110">
      <c r="A110" s="27" t="inlineStr"/>
      <c r="B110" s="27" t="inlineStr"/>
      <c r="C110" s="27" t="inlineStr"/>
      <c r="D110" s="27" t="inlineStr"/>
      <c r="E110" s="29" t="inlineStr"/>
      <c r="F110" s="36" t="inlineStr"/>
      <c r="G110" s="36" t="inlineStr"/>
      <c r="H110" s="29">
        <f>IF(A110="","",SUMIF(ResourceTracker[Resource Name],A110,ResourceTracker[Allocation %]))</f>
        <v/>
      </c>
      <c r="I110" s="27" t="inlineStr"/>
    </row>
    <row r="111">
      <c r="A111" s="27" t="inlineStr"/>
      <c r="B111" s="27" t="inlineStr"/>
      <c r="C111" s="27" t="inlineStr"/>
      <c r="D111" s="27" t="inlineStr"/>
      <c r="E111" s="29" t="inlineStr"/>
      <c r="F111" s="36" t="inlineStr"/>
      <c r="G111" s="36" t="inlineStr"/>
      <c r="H111" s="29">
        <f>IF(A111="","",SUMIF(ResourceTracker[Resource Name],A111,ResourceTracker[Allocation %]))</f>
        <v/>
      </c>
      <c r="I111" s="27" t="inlineStr"/>
    </row>
    <row r="112">
      <c r="A112" s="27" t="inlineStr"/>
      <c r="B112" s="27" t="inlineStr"/>
      <c r="C112" s="27" t="inlineStr"/>
      <c r="D112" s="27" t="inlineStr"/>
      <c r="E112" s="29" t="inlineStr"/>
      <c r="F112" s="36" t="inlineStr"/>
      <c r="G112" s="36" t="inlineStr"/>
      <c r="H112" s="29">
        <f>IF(A112="","",SUMIF(ResourceTracker[Resource Name],A112,ResourceTracker[Allocation %]))</f>
        <v/>
      </c>
      <c r="I112" s="27" t="inlineStr"/>
    </row>
    <row r="113">
      <c r="A113" s="27" t="inlineStr"/>
      <c r="B113" s="27" t="inlineStr"/>
      <c r="C113" s="27" t="inlineStr"/>
      <c r="D113" s="27" t="inlineStr"/>
      <c r="E113" s="29" t="inlineStr"/>
      <c r="F113" s="36" t="inlineStr"/>
      <c r="G113" s="36" t="inlineStr"/>
      <c r="H113" s="29">
        <f>IF(A113="","",SUMIF(ResourceTracker[Resource Name],A113,ResourceTracker[Allocation %]))</f>
        <v/>
      </c>
      <c r="I113" s="27" t="inlineStr"/>
    </row>
    <row r="114">
      <c r="A114" s="27" t="inlineStr"/>
      <c r="B114" s="27" t="inlineStr"/>
      <c r="C114" s="27" t="inlineStr"/>
      <c r="D114" s="27" t="inlineStr"/>
      <c r="E114" s="29" t="inlineStr"/>
      <c r="F114" s="36" t="inlineStr"/>
      <c r="G114" s="36" t="inlineStr"/>
      <c r="H114" s="29">
        <f>IF(A114="","",SUMIF(ResourceTracker[Resource Name],A114,ResourceTracker[Allocation %]))</f>
        <v/>
      </c>
      <c r="I114" s="27" t="inlineStr"/>
    </row>
    <row r="115">
      <c r="A115" s="27" t="inlineStr"/>
      <c r="B115" s="27" t="inlineStr"/>
      <c r="C115" s="27" t="inlineStr"/>
      <c r="D115" s="27" t="inlineStr"/>
      <c r="E115" s="29" t="inlineStr"/>
      <c r="F115" s="36" t="inlineStr"/>
      <c r="G115" s="36" t="inlineStr"/>
      <c r="H115" s="29">
        <f>IF(A115="","",SUMIF(ResourceTracker[Resource Name],A115,ResourceTracker[Allocation %]))</f>
        <v/>
      </c>
      <c r="I115" s="27" t="inlineStr"/>
    </row>
    <row r="116">
      <c r="A116" s="27" t="inlineStr"/>
      <c r="B116" s="27" t="inlineStr"/>
      <c r="C116" s="27" t="inlineStr"/>
      <c r="D116" s="27" t="inlineStr"/>
      <c r="E116" s="29" t="inlineStr"/>
      <c r="F116" s="36" t="inlineStr"/>
      <c r="G116" s="36" t="inlineStr"/>
      <c r="H116" s="29">
        <f>IF(A116="","",SUMIF(ResourceTracker[Resource Name],A116,ResourceTracker[Allocation %]))</f>
        <v/>
      </c>
      <c r="I116" s="27" t="inlineStr"/>
    </row>
    <row r="117">
      <c r="A117" s="27" t="inlineStr"/>
      <c r="B117" s="27" t="inlineStr"/>
      <c r="C117" s="27" t="inlineStr"/>
      <c r="D117" s="27" t="inlineStr"/>
      <c r="E117" s="29" t="inlineStr"/>
      <c r="F117" s="36" t="inlineStr"/>
      <c r="G117" s="36" t="inlineStr"/>
      <c r="H117" s="29">
        <f>IF(A117="","",SUMIF(ResourceTracker[Resource Name],A117,ResourceTracker[Allocation %]))</f>
        <v/>
      </c>
      <c r="I117" s="27" t="inlineStr"/>
    </row>
    <row r="118">
      <c r="A118" s="27" t="inlineStr"/>
      <c r="B118" s="27" t="inlineStr"/>
      <c r="C118" s="27" t="inlineStr"/>
      <c r="D118" s="27" t="inlineStr"/>
      <c r="E118" s="29" t="inlineStr"/>
      <c r="F118" s="36" t="inlineStr"/>
      <c r="G118" s="36" t="inlineStr"/>
      <c r="H118" s="29">
        <f>IF(A118="","",SUMIF(ResourceTracker[Resource Name],A118,ResourceTracker[Allocation %]))</f>
        <v/>
      </c>
      <c r="I118" s="27" t="inlineStr"/>
    </row>
    <row r="119">
      <c r="A119" s="27" t="inlineStr"/>
      <c r="B119" s="27" t="inlineStr"/>
      <c r="C119" s="27" t="inlineStr"/>
      <c r="D119" s="27" t="inlineStr"/>
      <c r="E119" s="29" t="inlineStr"/>
      <c r="F119" s="36" t="inlineStr"/>
      <c r="G119" s="36" t="inlineStr"/>
      <c r="H119" s="29">
        <f>IF(A119="","",SUMIF(ResourceTracker[Resource Name],A119,ResourceTracker[Allocation %]))</f>
        <v/>
      </c>
      <c r="I119" s="27" t="inlineStr"/>
    </row>
    <row r="120">
      <c r="A120" s="27" t="inlineStr"/>
      <c r="B120" s="27" t="inlineStr"/>
      <c r="C120" s="27" t="inlineStr"/>
      <c r="D120" s="27" t="inlineStr"/>
      <c r="E120" s="29" t="inlineStr"/>
      <c r="F120" s="36" t="inlineStr"/>
      <c r="G120" s="36" t="inlineStr"/>
      <c r="H120" s="29">
        <f>IF(A120="","",SUMIF(ResourceTracker[Resource Name],A120,ResourceTracker[Allocation %]))</f>
        <v/>
      </c>
      <c r="I120" s="27" t="inlineStr"/>
    </row>
    <row r="121">
      <c r="A121" s="27" t="inlineStr"/>
      <c r="B121" s="27" t="inlineStr"/>
      <c r="C121" s="27" t="inlineStr"/>
      <c r="D121" s="27" t="inlineStr"/>
      <c r="E121" s="29" t="inlineStr"/>
      <c r="F121" s="36" t="inlineStr"/>
      <c r="G121" s="36" t="inlineStr"/>
      <c r="H121" s="29">
        <f>IF(A121="","",SUMIF(ResourceTracker[Resource Name],A121,ResourceTracker[Allocation %]))</f>
        <v/>
      </c>
      <c r="I121" s="27" t="inlineStr"/>
    </row>
    <row r="122">
      <c r="A122" s="27" t="inlineStr"/>
      <c r="B122" s="27" t="inlineStr"/>
      <c r="C122" s="27" t="inlineStr"/>
      <c r="D122" s="27" t="inlineStr"/>
      <c r="E122" s="29" t="inlineStr"/>
      <c r="F122" s="36" t="inlineStr"/>
      <c r="G122" s="36" t="inlineStr"/>
      <c r="H122" s="29">
        <f>IF(A122="","",SUMIF(ResourceTracker[Resource Name],A122,ResourceTracker[Allocation %]))</f>
        <v/>
      </c>
      <c r="I122" s="27" t="inlineStr"/>
    </row>
    <row r="123">
      <c r="A123" s="27" t="inlineStr"/>
      <c r="B123" s="27" t="inlineStr"/>
      <c r="C123" s="27" t="inlineStr"/>
      <c r="D123" s="27" t="inlineStr"/>
      <c r="E123" s="29" t="inlineStr"/>
      <c r="F123" s="36" t="inlineStr"/>
      <c r="G123" s="36" t="inlineStr"/>
      <c r="H123" s="29">
        <f>IF(A123="","",SUMIF(ResourceTracker[Resource Name],A123,ResourceTracker[Allocation %]))</f>
        <v/>
      </c>
      <c r="I123" s="27" t="inlineStr"/>
    </row>
    <row r="124">
      <c r="A124" s="27" t="inlineStr"/>
      <c r="B124" s="27" t="inlineStr"/>
      <c r="C124" s="27" t="inlineStr"/>
      <c r="D124" s="27" t="inlineStr"/>
      <c r="E124" s="29" t="inlineStr"/>
      <c r="F124" s="36" t="inlineStr"/>
      <c r="G124" s="36" t="inlineStr"/>
      <c r="H124" s="29">
        <f>IF(A124="","",SUMIF(ResourceTracker[Resource Name],A124,ResourceTracker[Allocation %]))</f>
        <v/>
      </c>
      <c r="I124" s="27" t="inlineStr"/>
    </row>
    <row r="125">
      <c r="A125" s="27" t="inlineStr"/>
      <c r="B125" s="27" t="inlineStr"/>
      <c r="C125" s="27" t="inlineStr"/>
      <c r="D125" s="27" t="inlineStr"/>
      <c r="E125" s="29" t="inlineStr"/>
      <c r="F125" s="36" t="inlineStr"/>
      <c r="G125" s="36" t="inlineStr"/>
      <c r="H125" s="29">
        <f>IF(A125="","",SUMIF(ResourceTracker[Resource Name],A125,ResourceTracker[Allocation %]))</f>
        <v/>
      </c>
      <c r="I125" s="27" t="inlineStr"/>
    </row>
    <row r="126">
      <c r="A126" s="27" t="inlineStr"/>
      <c r="B126" s="27" t="inlineStr"/>
      <c r="C126" s="27" t="inlineStr"/>
      <c r="D126" s="27" t="inlineStr"/>
      <c r="E126" s="29" t="inlineStr"/>
      <c r="F126" s="36" t="inlineStr"/>
      <c r="G126" s="36" t="inlineStr"/>
      <c r="H126" s="29">
        <f>IF(A126="","",SUMIF(ResourceTracker[Resource Name],A126,ResourceTracker[Allocation %]))</f>
        <v/>
      </c>
      <c r="I126" s="27" t="inlineStr"/>
    </row>
    <row r="127">
      <c r="A127" s="27" t="inlineStr"/>
      <c r="B127" s="27" t="inlineStr"/>
      <c r="C127" s="27" t="inlineStr"/>
      <c r="D127" s="27" t="inlineStr"/>
      <c r="E127" s="29" t="inlineStr"/>
      <c r="F127" s="36" t="inlineStr"/>
      <c r="G127" s="36" t="inlineStr"/>
      <c r="H127" s="29">
        <f>IF(A127="","",SUMIF(ResourceTracker[Resource Name],A127,ResourceTracker[Allocation %]))</f>
        <v/>
      </c>
      <c r="I127" s="27" t="inlineStr"/>
    </row>
    <row r="128">
      <c r="A128" s="27" t="inlineStr"/>
      <c r="B128" s="27" t="inlineStr"/>
      <c r="C128" s="27" t="inlineStr"/>
      <c r="D128" s="27" t="inlineStr"/>
      <c r="E128" s="29" t="inlineStr"/>
      <c r="F128" s="36" t="inlineStr"/>
      <c r="G128" s="36" t="inlineStr"/>
      <c r="H128" s="29">
        <f>IF(A128="","",SUMIF(ResourceTracker[Resource Name],A128,ResourceTracker[Allocation %]))</f>
        <v/>
      </c>
      <c r="I128" s="27" t="inlineStr"/>
    </row>
    <row r="129">
      <c r="A129" s="27" t="inlineStr"/>
      <c r="B129" s="27" t="inlineStr"/>
      <c r="C129" s="27" t="inlineStr"/>
      <c r="D129" s="27" t="inlineStr"/>
      <c r="E129" s="29" t="inlineStr"/>
      <c r="F129" s="36" t="inlineStr"/>
      <c r="G129" s="36" t="inlineStr"/>
      <c r="H129" s="29">
        <f>IF(A129="","",SUMIF(ResourceTracker[Resource Name],A129,ResourceTracker[Allocation %]))</f>
        <v/>
      </c>
      <c r="I129" s="27" t="inlineStr"/>
    </row>
    <row r="130">
      <c r="A130" s="27" t="inlineStr"/>
      <c r="B130" s="27" t="inlineStr"/>
      <c r="C130" s="27" t="inlineStr"/>
      <c r="D130" s="27" t="inlineStr"/>
      <c r="E130" s="29" t="inlineStr"/>
      <c r="F130" s="36" t="inlineStr"/>
      <c r="G130" s="36" t="inlineStr"/>
      <c r="H130" s="29">
        <f>IF(A130="","",SUMIF(ResourceTracker[Resource Name],A130,ResourceTracker[Allocation %]))</f>
        <v/>
      </c>
      <c r="I130" s="27" t="inlineStr"/>
    </row>
    <row r="131">
      <c r="A131" s="27" t="inlineStr"/>
      <c r="B131" s="27" t="inlineStr"/>
      <c r="C131" s="27" t="inlineStr"/>
      <c r="D131" s="27" t="inlineStr"/>
      <c r="E131" s="29" t="inlineStr"/>
      <c r="F131" s="36" t="inlineStr"/>
      <c r="G131" s="36" t="inlineStr"/>
      <c r="H131" s="29">
        <f>IF(A131="","",SUMIF(ResourceTracker[Resource Name],A131,ResourceTracker[Allocation %]))</f>
        <v/>
      </c>
      <c r="I131" s="27" t="inlineStr"/>
    </row>
    <row r="132">
      <c r="A132" s="27" t="inlineStr"/>
      <c r="B132" s="27" t="inlineStr"/>
      <c r="C132" s="27" t="inlineStr"/>
      <c r="D132" s="27" t="inlineStr"/>
      <c r="E132" s="29" t="inlineStr"/>
      <c r="F132" s="36" t="inlineStr"/>
      <c r="G132" s="36" t="inlineStr"/>
      <c r="H132" s="29">
        <f>IF(A132="","",SUMIF(ResourceTracker[Resource Name],A132,ResourceTracker[Allocation %]))</f>
        <v/>
      </c>
      <c r="I132" s="27" t="inlineStr"/>
    </row>
    <row r="133">
      <c r="A133" s="27" t="inlineStr"/>
      <c r="B133" s="27" t="inlineStr"/>
      <c r="C133" s="27" t="inlineStr"/>
      <c r="D133" s="27" t="inlineStr"/>
      <c r="E133" s="29" t="inlineStr"/>
      <c r="F133" s="36" t="inlineStr"/>
      <c r="G133" s="36" t="inlineStr"/>
      <c r="H133" s="29">
        <f>IF(A133="","",SUMIF(ResourceTracker[Resource Name],A133,ResourceTracker[Allocation %]))</f>
        <v/>
      </c>
      <c r="I133" s="27" t="inlineStr"/>
    </row>
    <row r="134">
      <c r="A134" s="27" t="inlineStr"/>
      <c r="B134" s="27" t="inlineStr"/>
      <c r="C134" s="27" t="inlineStr"/>
      <c r="D134" s="27" t="inlineStr"/>
      <c r="E134" s="29" t="inlineStr"/>
      <c r="F134" s="36" t="inlineStr"/>
      <c r="G134" s="36" t="inlineStr"/>
      <c r="H134" s="29">
        <f>IF(A134="","",SUMIF(ResourceTracker[Resource Name],A134,ResourceTracker[Allocation %]))</f>
        <v/>
      </c>
      <c r="I134" s="27" t="inlineStr"/>
    </row>
    <row r="135">
      <c r="A135" s="27" t="inlineStr"/>
      <c r="B135" s="27" t="inlineStr"/>
      <c r="C135" s="27" t="inlineStr"/>
      <c r="D135" s="27" t="inlineStr"/>
      <c r="E135" s="29" t="inlineStr"/>
      <c r="F135" s="36" t="inlineStr"/>
      <c r="G135" s="36" t="inlineStr"/>
      <c r="H135" s="29">
        <f>IF(A135="","",SUMIF(ResourceTracker[Resource Name],A135,ResourceTracker[Allocation %]))</f>
        <v/>
      </c>
      <c r="I135" s="27" t="inlineStr"/>
    </row>
    <row r="136">
      <c r="A136" s="27" t="inlineStr"/>
      <c r="B136" s="27" t="inlineStr"/>
      <c r="C136" s="27" t="inlineStr"/>
      <c r="D136" s="27" t="inlineStr"/>
      <c r="E136" s="29" t="inlineStr"/>
      <c r="F136" s="36" t="inlineStr"/>
      <c r="G136" s="36" t="inlineStr"/>
      <c r="H136" s="29">
        <f>IF(A136="","",SUMIF(ResourceTracker[Resource Name],A136,ResourceTracker[Allocation %]))</f>
        <v/>
      </c>
      <c r="I136" s="27" t="inlineStr"/>
    </row>
    <row r="137">
      <c r="A137" s="27" t="inlineStr"/>
      <c r="B137" s="27" t="inlineStr"/>
      <c r="C137" s="27" t="inlineStr"/>
      <c r="D137" s="27" t="inlineStr"/>
      <c r="E137" s="29" t="inlineStr"/>
      <c r="F137" s="36" t="inlineStr"/>
      <c r="G137" s="36" t="inlineStr"/>
      <c r="H137" s="29">
        <f>IF(A137="","",SUMIF(ResourceTracker[Resource Name],A137,ResourceTracker[Allocation %]))</f>
        <v/>
      </c>
      <c r="I137" s="27" t="inlineStr"/>
    </row>
    <row r="138">
      <c r="A138" s="27" t="inlineStr"/>
      <c r="B138" s="27" t="inlineStr"/>
      <c r="C138" s="27" t="inlineStr"/>
      <c r="D138" s="27" t="inlineStr"/>
      <c r="E138" s="29" t="inlineStr"/>
      <c r="F138" s="36" t="inlineStr"/>
      <c r="G138" s="36" t="inlineStr"/>
      <c r="H138" s="29">
        <f>IF(A138="","",SUMIF(ResourceTracker[Resource Name],A138,ResourceTracker[Allocation %]))</f>
        <v/>
      </c>
      <c r="I138" s="27" t="inlineStr"/>
    </row>
    <row r="139">
      <c r="A139" s="27" t="inlineStr"/>
      <c r="B139" s="27" t="inlineStr"/>
      <c r="C139" s="27" t="inlineStr"/>
      <c r="D139" s="27" t="inlineStr"/>
      <c r="E139" s="29" t="inlineStr"/>
      <c r="F139" s="36" t="inlineStr"/>
      <c r="G139" s="36" t="inlineStr"/>
      <c r="H139" s="29">
        <f>IF(A139="","",SUMIF(ResourceTracker[Resource Name],A139,ResourceTracker[Allocation %]))</f>
        <v/>
      </c>
      <c r="I139" s="27" t="inlineStr"/>
    </row>
    <row r="140">
      <c r="A140" s="27" t="inlineStr"/>
      <c r="B140" s="27" t="inlineStr"/>
      <c r="C140" s="27" t="inlineStr"/>
      <c r="D140" s="27" t="inlineStr"/>
      <c r="E140" s="29" t="inlineStr"/>
      <c r="F140" s="36" t="inlineStr"/>
      <c r="G140" s="36" t="inlineStr"/>
      <c r="H140" s="29">
        <f>IF(A140="","",SUMIF(ResourceTracker[Resource Name],A140,ResourceTracker[Allocation %]))</f>
        <v/>
      </c>
      <c r="I140" s="27" t="inlineStr"/>
    </row>
    <row r="141">
      <c r="A141" s="27" t="inlineStr"/>
      <c r="B141" s="27" t="inlineStr"/>
      <c r="C141" s="27" t="inlineStr"/>
      <c r="D141" s="27" t="inlineStr"/>
      <c r="E141" s="29" t="inlineStr"/>
      <c r="F141" s="36" t="inlineStr"/>
      <c r="G141" s="36" t="inlineStr"/>
      <c r="H141" s="29">
        <f>IF(A141="","",SUMIF(ResourceTracker[Resource Name],A141,ResourceTracker[Allocation %]))</f>
        <v/>
      </c>
      <c r="I141" s="27" t="inlineStr"/>
    </row>
    <row r="142">
      <c r="A142" s="27" t="inlineStr"/>
      <c r="B142" s="27" t="inlineStr"/>
      <c r="C142" s="27" t="inlineStr"/>
      <c r="D142" s="27" t="inlineStr"/>
      <c r="E142" s="29" t="inlineStr"/>
      <c r="F142" s="36" t="inlineStr"/>
      <c r="G142" s="36" t="inlineStr"/>
      <c r="H142" s="29">
        <f>IF(A142="","",SUMIF(ResourceTracker[Resource Name],A142,ResourceTracker[Allocation %]))</f>
        <v/>
      </c>
      <c r="I142" s="27" t="inlineStr"/>
    </row>
    <row r="143">
      <c r="A143" s="27" t="inlineStr"/>
      <c r="B143" s="27" t="inlineStr"/>
      <c r="C143" s="27" t="inlineStr"/>
      <c r="D143" s="27" t="inlineStr"/>
      <c r="E143" s="29" t="inlineStr"/>
      <c r="F143" s="36" t="inlineStr"/>
      <c r="G143" s="36" t="inlineStr"/>
      <c r="H143" s="29">
        <f>IF(A143="","",SUMIF(ResourceTracker[Resource Name],A143,ResourceTracker[Allocation %]))</f>
        <v/>
      </c>
      <c r="I143" s="27" t="inlineStr"/>
    </row>
    <row r="144">
      <c r="A144" s="27" t="inlineStr"/>
      <c r="B144" s="27" t="inlineStr"/>
      <c r="C144" s="27" t="inlineStr"/>
      <c r="D144" s="27" t="inlineStr"/>
      <c r="E144" s="29" t="inlineStr"/>
      <c r="F144" s="36" t="inlineStr"/>
      <c r="G144" s="36" t="inlineStr"/>
      <c r="H144" s="29">
        <f>IF(A144="","",SUMIF(ResourceTracker[Resource Name],A144,ResourceTracker[Allocation %]))</f>
        <v/>
      </c>
      <c r="I144" s="27" t="inlineStr"/>
    </row>
    <row r="145">
      <c r="A145" s="27" t="inlineStr"/>
      <c r="B145" s="27" t="inlineStr"/>
      <c r="C145" s="27" t="inlineStr"/>
      <c r="D145" s="27" t="inlineStr"/>
      <c r="E145" s="29" t="inlineStr"/>
      <c r="F145" s="36" t="inlineStr"/>
      <c r="G145" s="36" t="inlineStr"/>
      <c r="H145" s="29">
        <f>IF(A145="","",SUMIF(ResourceTracker[Resource Name],A145,ResourceTracker[Allocation %]))</f>
        <v/>
      </c>
      <c r="I145" s="27" t="inlineStr"/>
    </row>
    <row r="146">
      <c r="A146" s="27" t="inlineStr"/>
      <c r="B146" s="27" t="inlineStr"/>
      <c r="C146" s="27" t="inlineStr"/>
      <c r="D146" s="27" t="inlineStr"/>
      <c r="E146" s="29" t="inlineStr"/>
      <c r="F146" s="36" t="inlineStr"/>
      <c r="G146" s="36" t="inlineStr"/>
      <c r="H146" s="29">
        <f>IF(A146="","",SUMIF(ResourceTracker[Resource Name],A146,ResourceTracker[Allocation %]))</f>
        <v/>
      </c>
      <c r="I146" s="27" t="inlineStr"/>
    </row>
    <row r="147">
      <c r="A147" s="27" t="inlineStr"/>
      <c r="B147" s="27" t="inlineStr"/>
      <c r="C147" s="27" t="inlineStr"/>
      <c r="D147" s="27" t="inlineStr"/>
      <c r="E147" s="29" t="inlineStr"/>
      <c r="F147" s="36" t="inlineStr"/>
      <c r="G147" s="36" t="inlineStr"/>
      <c r="H147" s="29">
        <f>IF(A147="","",SUMIF(ResourceTracker[Resource Name],A147,ResourceTracker[Allocation %]))</f>
        <v/>
      </c>
      <c r="I147" s="27" t="inlineStr"/>
    </row>
    <row r="148">
      <c r="A148" s="27" t="inlineStr"/>
      <c r="B148" s="27" t="inlineStr"/>
      <c r="C148" s="27" t="inlineStr"/>
      <c r="D148" s="27" t="inlineStr"/>
      <c r="E148" s="29" t="inlineStr"/>
      <c r="F148" s="36" t="inlineStr"/>
      <c r="G148" s="36" t="inlineStr"/>
      <c r="H148" s="29">
        <f>IF(A148="","",SUMIF(ResourceTracker[Resource Name],A148,ResourceTracker[Allocation %]))</f>
        <v/>
      </c>
      <c r="I148" s="27" t="inlineStr"/>
    </row>
    <row r="149">
      <c r="A149" s="27" t="inlineStr"/>
      <c r="B149" s="27" t="inlineStr"/>
      <c r="C149" s="27" t="inlineStr"/>
      <c r="D149" s="27" t="inlineStr"/>
      <c r="E149" s="29" t="inlineStr"/>
      <c r="F149" s="36" t="inlineStr"/>
      <c r="G149" s="36" t="inlineStr"/>
      <c r="H149" s="29">
        <f>IF(A149="","",SUMIF(ResourceTracker[Resource Name],A149,ResourceTracker[Allocation %]))</f>
        <v/>
      </c>
      <c r="I149" s="27" t="inlineStr"/>
    </row>
    <row r="150">
      <c r="A150" s="27" t="inlineStr"/>
      <c r="B150" s="27" t="inlineStr"/>
      <c r="C150" s="27" t="inlineStr"/>
      <c r="D150" s="27" t="inlineStr"/>
      <c r="E150" s="29" t="inlineStr"/>
      <c r="F150" s="36" t="inlineStr"/>
      <c r="G150" s="36" t="inlineStr"/>
      <c r="H150" s="29">
        <f>IF(A150="","",SUMIF(ResourceTracker[Resource Name],A150,ResourceTracker[Allocation %]))</f>
        <v/>
      </c>
      <c r="I150" s="27" t="inlineStr"/>
    </row>
    <row r="151">
      <c r="A151" s="27" t="inlineStr"/>
      <c r="B151" s="27" t="inlineStr"/>
      <c r="C151" s="27" t="inlineStr"/>
      <c r="D151" s="27" t="inlineStr"/>
      <c r="E151" s="29" t="inlineStr"/>
      <c r="F151" s="36" t="inlineStr"/>
      <c r="G151" s="36" t="inlineStr"/>
      <c r="H151" s="29">
        <f>IF(A151="","",SUMIF(ResourceTracker[Resource Name],A151,ResourceTracker[Allocation %]))</f>
        <v/>
      </c>
      <c r="I151" s="27" t="inlineStr"/>
    </row>
    <row r="152">
      <c r="A152" s="27" t="inlineStr"/>
      <c r="B152" s="27" t="inlineStr"/>
      <c r="C152" s="27" t="inlineStr"/>
      <c r="D152" s="27" t="inlineStr"/>
      <c r="E152" s="29" t="inlineStr"/>
      <c r="F152" s="36" t="inlineStr"/>
      <c r="G152" s="36" t="inlineStr"/>
      <c r="H152" s="29">
        <f>IF(A152="","",SUMIF(ResourceTracker[Resource Name],A152,ResourceTracker[Allocation %]))</f>
        <v/>
      </c>
      <c r="I152" s="27" t="inlineStr"/>
    </row>
    <row r="153">
      <c r="A153" s="27" t="inlineStr"/>
      <c r="B153" s="27" t="inlineStr"/>
      <c r="C153" s="27" t="inlineStr"/>
      <c r="D153" s="27" t="inlineStr"/>
      <c r="E153" s="29" t="inlineStr"/>
      <c r="F153" s="36" t="inlineStr"/>
      <c r="G153" s="36" t="inlineStr"/>
      <c r="H153" s="29">
        <f>IF(A153="","",SUMIF(ResourceTracker[Resource Name],A153,ResourceTracker[Allocation %]))</f>
        <v/>
      </c>
      <c r="I153" s="27" t="inlineStr"/>
    </row>
  </sheetData>
  <autoFilter ref="A3:I153"/>
  <mergeCells count="1">
    <mergeCell ref="A1:H1"/>
  </mergeCells>
  <dataValidations count="8">
    <dataValidation sqref="A4:A153" showDropDown="0" showInputMessage="0" showErrorMessage="1" allowBlank="1" errorTitle="Invalid selection" error="Select a value from the dropdown list." promptTitle="Dropdown" prompt="Choose from the list." type="list">
      <formula1>='Lists'!$X$2:$X$6</formula1>
    </dataValidation>
    <dataValidation sqref="B4:B153" showDropDown="0" showInputMessage="0" showErrorMessage="1" allowBlank="1" errorTitle="Invalid selection" error="Select a value from the dropdown list." promptTitle="Dropdown" prompt="Choose from the list." type="list">
      <formula1>='Lists'!$AD$2:$AD$6</formula1>
    </dataValidation>
    <dataValidation sqref="C4:C15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D4:D153" showDropDown="0" showInputMessage="0" showErrorMessage="1" allowBlank="1" errorTitle="Invalid selection" error="Select a value from the dropdown list." promptTitle="Dropdown" prompt="Choose from the list." type="list">
      <formula1>='Lists'!$AC$2:$AC$8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='Lists'!$Y$2:$Y$7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='Lists'!$AD$2:$AD$6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='Lists'!$AC$2:$AC$8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25" t="inlineStr">
        <is>
          <t>Change Request Tracker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Requested By</t>
        </is>
      </c>
      <c r="E2" s="48" t="inlineStr"/>
      <c r="F2" s="49" t="inlineStr">
        <is>
          <t>Approval Status</t>
        </is>
      </c>
      <c r="G2" s="48" t="inlineStr"/>
      <c r="H2" s="49" t="inlineStr">
        <is>
          <t>Status</t>
        </is>
      </c>
      <c r="I2" s="48" t="inlineStr"/>
    </row>
    <row r="3">
      <c r="A3" s="26" t="inlineStr">
        <is>
          <t>CR ID</t>
        </is>
      </c>
      <c r="B3" s="47" t="inlineStr">
        <is>
          <t>Project ID</t>
        </is>
      </c>
      <c r="C3" s="26" t="inlineStr">
        <is>
          <t>Change Description</t>
        </is>
      </c>
      <c r="D3" s="47" t="inlineStr">
        <is>
          <t>Requested By</t>
        </is>
      </c>
      <c r="E3" s="26" t="inlineStr">
        <is>
          <t>Requested Date</t>
        </is>
      </c>
      <c r="F3" s="26" t="inlineStr">
        <is>
          <t>Impact Analysis</t>
        </is>
      </c>
      <c r="G3" s="26" t="inlineStr">
        <is>
          <t>Effort Estimate</t>
        </is>
      </c>
      <c r="H3" s="47" t="inlineStr">
        <is>
          <t>Approval Status</t>
        </is>
      </c>
      <c r="I3" s="26" t="inlineStr">
        <is>
          <t>Target Date</t>
        </is>
      </c>
      <c r="J3" s="47" t="inlineStr">
        <is>
          <t>Status</t>
        </is>
      </c>
      <c r="K3" s="26" t="inlineStr">
        <is>
          <t>Remarks</t>
        </is>
      </c>
    </row>
    <row r="4">
      <c r="A4" s="27" t="inlineStr">
        <is>
          <t>CR-001</t>
        </is>
      </c>
      <c r="B4" s="27" t="inlineStr">
        <is>
          <t>PRJ-001</t>
        </is>
      </c>
      <c r="C4" s="27" t="inlineStr">
        <is>
          <t>Add transaction nickname field</t>
        </is>
      </c>
      <c r="D4" s="27" t="inlineStr">
        <is>
          <t>Business</t>
        </is>
      </c>
      <c r="E4" s="36" t="n">
        <v>46152</v>
      </c>
      <c r="F4" s="27" t="inlineStr">
        <is>
          <t>Medium UI and API impact</t>
        </is>
      </c>
      <c r="G4" s="27" t="inlineStr">
        <is>
          <t>6 days</t>
        </is>
      </c>
      <c r="H4" s="27" t="inlineStr">
        <is>
          <t>Approved</t>
        </is>
      </c>
      <c r="I4" s="36" t="n">
        <v>46193</v>
      </c>
      <c r="J4" s="27" t="inlineStr">
        <is>
          <t>In Progress</t>
        </is>
      </c>
      <c r="K4" s="27" t="inlineStr"/>
    </row>
    <row r="5">
      <c r="A5" s="27" t="inlineStr">
        <is>
          <t>CR-002</t>
        </is>
      </c>
      <c r="B5" s="27" t="inlineStr">
        <is>
          <t>PRJ-004</t>
        </is>
      </c>
      <c r="C5" s="27" t="inlineStr">
        <is>
          <t>Add CKYC validation</t>
        </is>
      </c>
      <c r="D5" s="27" t="inlineStr">
        <is>
          <t>Compliance</t>
        </is>
      </c>
      <c r="E5" s="36" t="n">
        <v>46166</v>
      </c>
      <c r="F5" s="27" t="inlineStr">
        <is>
          <t>High integration impact</t>
        </is>
      </c>
      <c r="G5" s="27" t="inlineStr">
        <is>
          <t>14 days</t>
        </is>
      </c>
      <c r="H5" s="27" t="inlineStr">
        <is>
          <t>Pending</t>
        </is>
      </c>
      <c r="I5" s="36" t="n">
        <v>46208</v>
      </c>
      <c r="J5" s="27" t="inlineStr">
        <is>
          <t>Open</t>
        </is>
      </c>
      <c r="K5" s="27" t="inlineStr"/>
    </row>
    <row r="6">
      <c r="A6" s="27" t="inlineStr"/>
      <c r="B6" s="27" t="inlineStr"/>
      <c r="C6" s="27" t="inlineStr"/>
      <c r="D6" s="27" t="inlineStr"/>
      <c r="E6" s="36" t="inlineStr"/>
      <c r="F6" s="27" t="inlineStr"/>
      <c r="G6" s="27" t="inlineStr"/>
      <c r="H6" s="27" t="inlineStr"/>
      <c r="I6" s="36" t="inlineStr"/>
      <c r="J6" s="27" t="inlineStr"/>
      <c r="K6" s="27" t="inlineStr"/>
    </row>
    <row r="7">
      <c r="A7" s="27" t="inlineStr"/>
      <c r="B7" s="27" t="inlineStr"/>
      <c r="C7" s="27" t="inlineStr"/>
      <c r="D7" s="27" t="inlineStr"/>
      <c r="E7" s="36" t="inlineStr"/>
      <c r="F7" s="27" t="inlineStr"/>
      <c r="G7" s="27" t="inlineStr"/>
      <c r="H7" s="27" t="inlineStr"/>
      <c r="I7" s="36" t="inlineStr"/>
      <c r="J7" s="27" t="inlineStr"/>
      <c r="K7" s="27" t="inlineStr"/>
    </row>
    <row r="8">
      <c r="A8" s="27" t="inlineStr"/>
      <c r="B8" s="27" t="inlineStr"/>
      <c r="C8" s="27" t="inlineStr"/>
      <c r="D8" s="27" t="inlineStr"/>
      <c r="E8" s="36" t="inlineStr"/>
      <c r="F8" s="27" t="inlineStr"/>
      <c r="G8" s="27" t="inlineStr"/>
      <c r="H8" s="27" t="inlineStr"/>
      <c r="I8" s="36" t="inlineStr"/>
      <c r="J8" s="27" t="inlineStr"/>
      <c r="K8" s="27" t="inlineStr"/>
    </row>
    <row r="9">
      <c r="A9" s="27" t="inlineStr"/>
      <c r="B9" s="27" t="inlineStr"/>
      <c r="C9" s="27" t="inlineStr"/>
      <c r="D9" s="27" t="inlineStr"/>
      <c r="E9" s="36" t="inlineStr"/>
      <c r="F9" s="27" t="inlineStr"/>
      <c r="G9" s="27" t="inlineStr"/>
      <c r="H9" s="27" t="inlineStr"/>
      <c r="I9" s="36" t="inlineStr"/>
      <c r="J9" s="27" t="inlineStr"/>
      <c r="K9" s="27" t="inlineStr"/>
    </row>
    <row r="10">
      <c r="A10" s="27" t="inlineStr"/>
      <c r="B10" s="27" t="inlineStr"/>
      <c r="C10" s="27" t="inlineStr"/>
      <c r="D10" s="27" t="inlineStr"/>
      <c r="E10" s="36" t="inlineStr"/>
      <c r="F10" s="27" t="inlineStr"/>
      <c r="G10" s="27" t="inlineStr"/>
      <c r="H10" s="27" t="inlineStr"/>
      <c r="I10" s="36" t="inlineStr"/>
      <c r="J10" s="27" t="inlineStr"/>
      <c r="K10" s="27" t="inlineStr"/>
    </row>
    <row r="11">
      <c r="A11" s="27" t="inlineStr"/>
      <c r="B11" s="27" t="inlineStr"/>
      <c r="C11" s="27" t="inlineStr"/>
      <c r="D11" s="27" t="inlineStr"/>
      <c r="E11" s="36" t="inlineStr"/>
      <c r="F11" s="27" t="inlineStr"/>
      <c r="G11" s="27" t="inlineStr"/>
      <c r="H11" s="27" t="inlineStr"/>
      <c r="I11" s="36" t="inlineStr"/>
      <c r="J11" s="27" t="inlineStr"/>
      <c r="K11" s="27" t="inlineStr"/>
    </row>
    <row r="12">
      <c r="A12" s="27" t="inlineStr"/>
      <c r="B12" s="27" t="inlineStr"/>
      <c r="C12" s="27" t="inlineStr"/>
      <c r="D12" s="27" t="inlineStr"/>
      <c r="E12" s="36" t="inlineStr"/>
      <c r="F12" s="27" t="inlineStr"/>
      <c r="G12" s="27" t="inlineStr"/>
      <c r="H12" s="27" t="inlineStr"/>
      <c r="I12" s="36" t="inlineStr"/>
      <c r="J12" s="27" t="inlineStr"/>
      <c r="K12" s="27" t="inlineStr"/>
    </row>
    <row r="13">
      <c r="A13" s="27" t="inlineStr"/>
      <c r="B13" s="27" t="inlineStr"/>
      <c r="C13" s="27" t="inlineStr"/>
      <c r="D13" s="27" t="inlineStr"/>
      <c r="E13" s="36" t="inlineStr"/>
      <c r="F13" s="27" t="inlineStr"/>
      <c r="G13" s="27" t="inlineStr"/>
      <c r="H13" s="27" t="inlineStr"/>
      <c r="I13" s="36" t="inlineStr"/>
      <c r="J13" s="27" t="inlineStr"/>
      <c r="K13" s="27" t="inlineStr"/>
    </row>
    <row r="14">
      <c r="A14" s="27" t="inlineStr"/>
      <c r="B14" s="27" t="inlineStr"/>
      <c r="C14" s="27" t="inlineStr"/>
      <c r="D14" s="27" t="inlineStr"/>
      <c r="E14" s="36" t="inlineStr"/>
      <c r="F14" s="27" t="inlineStr"/>
      <c r="G14" s="27" t="inlineStr"/>
      <c r="H14" s="27" t="inlineStr"/>
      <c r="I14" s="36" t="inlineStr"/>
      <c r="J14" s="27" t="inlineStr"/>
      <c r="K14" s="27" t="inlineStr"/>
    </row>
    <row r="15">
      <c r="A15" s="27" t="inlineStr"/>
      <c r="B15" s="27" t="inlineStr"/>
      <c r="C15" s="27" t="inlineStr"/>
      <c r="D15" s="27" t="inlineStr"/>
      <c r="E15" s="36" t="inlineStr"/>
      <c r="F15" s="27" t="inlineStr"/>
      <c r="G15" s="27" t="inlineStr"/>
      <c r="H15" s="27" t="inlineStr"/>
      <c r="I15" s="36" t="inlineStr"/>
      <c r="J15" s="27" t="inlineStr"/>
      <c r="K15" s="27" t="inlineStr"/>
    </row>
    <row r="16">
      <c r="A16" s="27" t="inlineStr"/>
      <c r="B16" s="27" t="inlineStr"/>
      <c r="C16" s="27" t="inlineStr"/>
      <c r="D16" s="27" t="inlineStr"/>
      <c r="E16" s="36" t="inlineStr"/>
      <c r="F16" s="27" t="inlineStr"/>
      <c r="G16" s="27" t="inlineStr"/>
      <c r="H16" s="27" t="inlineStr"/>
      <c r="I16" s="36" t="inlineStr"/>
      <c r="J16" s="27" t="inlineStr"/>
      <c r="K16" s="27" t="inlineStr"/>
    </row>
    <row r="17">
      <c r="A17" s="27" t="inlineStr"/>
      <c r="B17" s="27" t="inlineStr"/>
      <c r="C17" s="27" t="inlineStr"/>
      <c r="D17" s="27" t="inlineStr"/>
      <c r="E17" s="36" t="inlineStr"/>
      <c r="F17" s="27" t="inlineStr"/>
      <c r="G17" s="27" t="inlineStr"/>
      <c r="H17" s="27" t="inlineStr"/>
      <c r="I17" s="36" t="inlineStr"/>
      <c r="J17" s="27" t="inlineStr"/>
      <c r="K17" s="27" t="inlineStr"/>
    </row>
    <row r="18">
      <c r="A18" s="27" t="inlineStr"/>
      <c r="B18" s="27" t="inlineStr"/>
      <c r="C18" s="27" t="inlineStr"/>
      <c r="D18" s="27" t="inlineStr"/>
      <c r="E18" s="36" t="inlineStr"/>
      <c r="F18" s="27" t="inlineStr"/>
      <c r="G18" s="27" t="inlineStr"/>
      <c r="H18" s="27" t="inlineStr"/>
      <c r="I18" s="36" t="inlineStr"/>
      <c r="J18" s="27" t="inlineStr"/>
      <c r="K18" s="27" t="inlineStr"/>
    </row>
    <row r="19">
      <c r="A19" s="27" t="inlineStr"/>
      <c r="B19" s="27" t="inlineStr"/>
      <c r="C19" s="27" t="inlineStr"/>
      <c r="D19" s="27" t="inlineStr"/>
      <c r="E19" s="36" t="inlineStr"/>
      <c r="F19" s="27" t="inlineStr"/>
      <c r="G19" s="27" t="inlineStr"/>
      <c r="H19" s="27" t="inlineStr"/>
      <c r="I19" s="36" t="inlineStr"/>
      <c r="J19" s="27" t="inlineStr"/>
      <c r="K19" s="27" t="inlineStr"/>
    </row>
    <row r="20">
      <c r="A20" s="27" t="inlineStr"/>
      <c r="B20" s="27" t="inlineStr"/>
      <c r="C20" s="27" t="inlineStr"/>
      <c r="D20" s="27" t="inlineStr"/>
      <c r="E20" s="36" t="inlineStr"/>
      <c r="F20" s="27" t="inlineStr"/>
      <c r="G20" s="27" t="inlineStr"/>
      <c r="H20" s="27" t="inlineStr"/>
      <c r="I20" s="36" t="inlineStr"/>
      <c r="J20" s="27" t="inlineStr"/>
      <c r="K20" s="27" t="inlineStr"/>
    </row>
    <row r="21">
      <c r="A21" s="27" t="inlineStr"/>
      <c r="B21" s="27" t="inlineStr"/>
      <c r="C21" s="27" t="inlineStr"/>
      <c r="D21" s="27" t="inlineStr"/>
      <c r="E21" s="36" t="inlineStr"/>
      <c r="F21" s="27" t="inlineStr"/>
      <c r="G21" s="27" t="inlineStr"/>
      <c r="H21" s="27" t="inlineStr"/>
      <c r="I21" s="36" t="inlineStr"/>
      <c r="J21" s="27" t="inlineStr"/>
      <c r="K21" s="27" t="inlineStr"/>
    </row>
    <row r="22">
      <c r="A22" s="27" t="inlineStr"/>
      <c r="B22" s="27" t="inlineStr"/>
      <c r="C22" s="27" t="inlineStr"/>
      <c r="D22" s="27" t="inlineStr"/>
      <c r="E22" s="36" t="inlineStr"/>
      <c r="F22" s="27" t="inlineStr"/>
      <c r="G22" s="27" t="inlineStr"/>
      <c r="H22" s="27" t="inlineStr"/>
      <c r="I22" s="36" t="inlineStr"/>
      <c r="J22" s="27" t="inlineStr"/>
      <c r="K22" s="27" t="inlineStr"/>
    </row>
    <row r="23">
      <c r="A23" s="27" t="inlineStr"/>
      <c r="B23" s="27" t="inlineStr"/>
      <c r="C23" s="27" t="inlineStr"/>
      <c r="D23" s="27" t="inlineStr"/>
      <c r="E23" s="36" t="inlineStr"/>
      <c r="F23" s="27" t="inlineStr"/>
      <c r="G23" s="27" t="inlineStr"/>
      <c r="H23" s="27" t="inlineStr"/>
      <c r="I23" s="36" t="inlineStr"/>
      <c r="J23" s="27" t="inlineStr"/>
      <c r="K23" s="27" t="inlineStr"/>
    </row>
    <row r="24">
      <c r="A24" s="27" t="inlineStr"/>
      <c r="B24" s="27" t="inlineStr"/>
      <c r="C24" s="27" t="inlineStr"/>
      <c r="D24" s="27" t="inlineStr"/>
      <c r="E24" s="36" t="inlineStr"/>
      <c r="F24" s="27" t="inlineStr"/>
      <c r="G24" s="27" t="inlineStr"/>
      <c r="H24" s="27" t="inlineStr"/>
      <c r="I24" s="36" t="inlineStr"/>
      <c r="J24" s="27" t="inlineStr"/>
      <c r="K24" s="27" t="inlineStr"/>
    </row>
    <row r="25">
      <c r="A25" s="27" t="inlineStr"/>
      <c r="B25" s="27" t="inlineStr"/>
      <c r="C25" s="27" t="inlineStr"/>
      <c r="D25" s="27" t="inlineStr"/>
      <c r="E25" s="36" t="inlineStr"/>
      <c r="F25" s="27" t="inlineStr"/>
      <c r="G25" s="27" t="inlineStr"/>
      <c r="H25" s="27" t="inlineStr"/>
      <c r="I25" s="36" t="inlineStr"/>
      <c r="J25" s="27" t="inlineStr"/>
      <c r="K25" s="27" t="inlineStr"/>
    </row>
    <row r="26">
      <c r="A26" s="27" t="inlineStr"/>
      <c r="B26" s="27" t="inlineStr"/>
      <c r="C26" s="27" t="inlineStr"/>
      <c r="D26" s="27" t="inlineStr"/>
      <c r="E26" s="36" t="inlineStr"/>
      <c r="F26" s="27" t="inlineStr"/>
      <c r="G26" s="27" t="inlineStr"/>
      <c r="H26" s="27" t="inlineStr"/>
      <c r="I26" s="36" t="inlineStr"/>
      <c r="J26" s="27" t="inlineStr"/>
      <c r="K26" s="27" t="inlineStr"/>
    </row>
    <row r="27">
      <c r="A27" s="27" t="inlineStr"/>
      <c r="B27" s="27" t="inlineStr"/>
      <c r="C27" s="27" t="inlineStr"/>
      <c r="D27" s="27" t="inlineStr"/>
      <c r="E27" s="36" t="inlineStr"/>
      <c r="F27" s="27" t="inlineStr"/>
      <c r="G27" s="27" t="inlineStr"/>
      <c r="H27" s="27" t="inlineStr"/>
      <c r="I27" s="36" t="inlineStr"/>
      <c r="J27" s="27" t="inlineStr"/>
      <c r="K27" s="27" t="inlineStr"/>
    </row>
    <row r="28">
      <c r="A28" s="27" t="inlineStr"/>
      <c r="B28" s="27" t="inlineStr"/>
      <c r="C28" s="27" t="inlineStr"/>
      <c r="D28" s="27" t="inlineStr"/>
      <c r="E28" s="36" t="inlineStr"/>
      <c r="F28" s="27" t="inlineStr"/>
      <c r="G28" s="27" t="inlineStr"/>
      <c r="H28" s="27" t="inlineStr"/>
      <c r="I28" s="36" t="inlineStr"/>
      <c r="J28" s="27" t="inlineStr"/>
      <c r="K28" s="27" t="inlineStr"/>
    </row>
    <row r="29">
      <c r="A29" s="27" t="inlineStr"/>
      <c r="B29" s="27" t="inlineStr"/>
      <c r="C29" s="27" t="inlineStr"/>
      <c r="D29" s="27" t="inlineStr"/>
      <c r="E29" s="36" t="inlineStr"/>
      <c r="F29" s="27" t="inlineStr"/>
      <c r="G29" s="27" t="inlineStr"/>
      <c r="H29" s="27" t="inlineStr"/>
      <c r="I29" s="36" t="inlineStr"/>
      <c r="J29" s="27" t="inlineStr"/>
      <c r="K29" s="27" t="inlineStr"/>
    </row>
    <row r="30">
      <c r="A30" s="27" t="inlineStr"/>
      <c r="B30" s="27" t="inlineStr"/>
      <c r="C30" s="27" t="inlineStr"/>
      <c r="D30" s="27" t="inlineStr"/>
      <c r="E30" s="36" t="inlineStr"/>
      <c r="F30" s="27" t="inlineStr"/>
      <c r="G30" s="27" t="inlineStr"/>
      <c r="H30" s="27" t="inlineStr"/>
      <c r="I30" s="36" t="inlineStr"/>
      <c r="J30" s="27" t="inlineStr"/>
      <c r="K30" s="27" t="inlineStr"/>
    </row>
    <row r="31">
      <c r="A31" s="27" t="inlineStr"/>
      <c r="B31" s="27" t="inlineStr"/>
      <c r="C31" s="27" t="inlineStr"/>
      <c r="D31" s="27" t="inlineStr"/>
      <c r="E31" s="36" t="inlineStr"/>
      <c r="F31" s="27" t="inlineStr"/>
      <c r="G31" s="27" t="inlineStr"/>
      <c r="H31" s="27" t="inlineStr"/>
      <c r="I31" s="36" t="inlineStr"/>
      <c r="J31" s="27" t="inlineStr"/>
      <c r="K31" s="27" t="inlineStr"/>
    </row>
    <row r="32">
      <c r="A32" s="27" t="inlineStr"/>
      <c r="B32" s="27" t="inlineStr"/>
      <c r="C32" s="27" t="inlineStr"/>
      <c r="D32" s="27" t="inlineStr"/>
      <c r="E32" s="36" t="inlineStr"/>
      <c r="F32" s="27" t="inlineStr"/>
      <c r="G32" s="27" t="inlineStr"/>
      <c r="H32" s="27" t="inlineStr"/>
      <c r="I32" s="36" t="inlineStr"/>
      <c r="J32" s="27" t="inlineStr"/>
      <c r="K32" s="27" t="inlineStr"/>
    </row>
    <row r="33">
      <c r="A33" s="27" t="inlineStr"/>
      <c r="B33" s="27" t="inlineStr"/>
      <c r="C33" s="27" t="inlineStr"/>
      <c r="D33" s="27" t="inlineStr"/>
      <c r="E33" s="36" t="inlineStr"/>
      <c r="F33" s="27" t="inlineStr"/>
      <c r="G33" s="27" t="inlineStr"/>
      <c r="H33" s="27" t="inlineStr"/>
      <c r="I33" s="36" t="inlineStr"/>
      <c r="J33" s="27" t="inlineStr"/>
      <c r="K33" s="27" t="inlineStr"/>
    </row>
    <row r="34">
      <c r="A34" s="27" t="inlineStr"/>
      <c r="B34" s="27" t="inlineStr"/>
      <c r="C34" s="27" t="inlineStr"/>
      <c r="D34" s="27" t="inlineStr"/>
      <c r="E34" s="36" t="inlineStr"/>
      <c r="F34" s="27" t="inlineStr"/>
      <c r="G34" s="27" t="inlineStr"/>
      <c r="H34" s="27" t="inlineStr"/>
      <c r="I34" s="36" t="inlineStr"/>
      <c r="J34" s="27" t="inlineStr"/>
      <c r="K34" s="27" t="inlineStr"/>
    </row>
    <row r="35">
      <c r="A35" s="27" t="inlineStr"/>
      <c r="B35" s="27" t="inlineStr"/>
      <c r="C35" s="27" t="inlineStr"/>
      <c r="D35" s="27" t="inlineStr"/>
      <c r="E35" s="36" t="inlineStr"/>
      <c r="F35" s="27" t="inlineStr"/>
      <c r="G35" s="27" t="inlineStr"/>
      <c r="H35" s="27" t="inlineStr"/>
      <c r="I35" s="36" t="inlineStr"/>
      <c r="J35" s="27" t="inlineStr"/>
      <c r="K35" s="27" t="inlineStr"/>
    </row>
    <row r="36">
      <c r="A36" s="27" t="inlineStr"/>
      <c r="B36" s="27" t="inlineStr"/>
      <c r="C36" s="27" t="inlineStr"/>
      <c r="D36" s="27" t="inlineStr"/>
      <c r="E36" s="36" t="inlineStr"/>
      <c r="F36" s="27" t="inlineStr"/>
      <c r="G36" s="27" t="inlineStr"/>
      <c r="H36" s="27" t="inlineStr"/>
      <c r="I36" s="36" t="inlineStr"/>
      <c r="J36" s="27" t="inlineStr"/>
      <c r="K36" s="27" t="inlineStr"/>
    </row>
    <row r="37">
      <c r="A37" s="27" t="inlineStr"/>
      <c r="B37" s="27" t="inlineStr"/>
      <c r="C37" s="27" t="inlineStr"/>
      <c r="D37" s="27" t="inlineStr"/>
      <c r="E37" s="36" t="inlineStr"/>
      <c r="F37" s="27" t="inlineStr"/>
      <c r="G37" s="27" t="inlineStr"/>
      <c r="H37" s="27" t="inlineStr"/>
      <c r="I37" s="36" t="inlineStr"/>
      <c r="J37" s="27" t="inlineStr"/>
      <c r="K37" s="27" t="inlineStr"/>
    </row>
    <row r="38">
      <c r="A38" s="27" t="inlineStr"/>
      <c r="B38" s="27" t="inlineStr"/>
      <c r="C38" s="27" t="inlineStr"/>
      <c r="D38" s="27" t="inlineStr"/>
      <c r="E38" s="36" t="inlineStr"/>
      <c r="F38" s="27" t="inlineStr"/>
      <c r="G38" s="27" t="inlineStr"/>
      <c r="H38" s="27" t="inlineStr"/>
      <c r="I38" s="36" t="inlineStr"/>
      <c r="J38" s="27" t="inlineStr"/>
      <c r="K38" s="27" t="inlineStr"/>
    </row>
    <row r="39">
      <c r="A39" s="27" t="inlineStr"/>
      <c r="B39" s="27" t="inlineStr"/>
      <c r="C39" s="27" t="inlineStr"/>
      <c r="D39" s="27" t="inlineStr"/>
      <c r="E39" s="36" t="inlineStr"/>
      <c r="F39" s="27" t="inlineStr"/>
      <c r="G39" s="27" t="inlineStr"/>
      <c r="H39" s="27" t="inlineStr"/>
      <c r="I39" s="36" t="inlineStr"/>
      <c r="J39" s="27" t="inlineStr"/>
      <c r="K39" s="27" t="inlineStr"/>
    </row>
    <row r="40">
      <c r="A40" s="27" t="inlineStr"/>
      <c r="B40" s="27" t="inlineStr"/>
      <c r="C40" s="27" t="inlineStr"/>
      <c r="D40" s="27" t="inlineStr"/>
      <c r="E40" s="36" t="inlineStr"/>
      <c r="F40" s="27" t="inlineStr"/>
      <c r="G40" s="27" t="inlineStr"/>
      <c r="H40" s="27" t="inlineStr"/>
      <c r="I40" s="36" t="inlineStr"/>
      <c r="J40" s="27" t="inlineStr"/>
      <c r="K40" s="27" t="inlineStr"/>
    </row>
    <row r="41">
      <c r="A41" s="27" t="inlineStr"/>
      <c r="B41" s="27" t="inlineStr"/>
      <c r="C41" s="27" t="inlineStr"/>
      <c r="D41" s="27" t="inlineStr"/>
      <c r="E41" s="36" t="inlineStr"/>
      <c r="F41" s="27" t="inlineStr"/>
      <c r="G41" s="27" t="inlineStr"/>
      <c r="H41" s="27" t="inlineStr"/>
      <c r="I41" s="36" t="inlineStr"/>
      <c r="J41" s="27" t="inlineStr"/>
      <c r="K41" s="27" t="inlineStr"/>
    </row>
    <row r="42">
      <c r="A42" s="27" t="inlineStr"/>
      <c r="B42" s="27" t="inlineStr"/>
      <c r="C42" s="27" t="inlineStr"/>
      <c r="D42" s="27" t="inlineStr"/>
      <c r="E42" s="36" t="inlineStr"/>
      <c r="F42" s="27" t="inlineStr"/>
      <c r="G42" s="27" t="inlineStr"/>
      <c r="H42" s="27" t="inlineStr"/>
      <c r="I42" s="36" t="inlineStr"/>
      <c r="J42" s="27" t="inlineStr"/>
      <c r="K42" s="27" t="inlineStr"/>
    </row>
    <row r="43">
      <c r="A43" s="27" t="inlineStr"/>
      <c r="B43" s="27" t="inlineStr"/>
      <c r="C43" s="27" t="inlineStr"/>
      <c r="D43" s="27" t="inlineStr"/>
      <c r="E43" s="36" t="inlineStr"/>
      <c r="F43" s="27" t="inlineStr"/>
      <c r="G43" s="27" t="inlineStr"/>
      <c r="H43" s="27" t="inlineStr"/>
      <c r="I43" s="36" t="inlineStr"/>
      <c r="J43" s="27" t="inlineStr"/>
      <c r="K43" s="27" t="inlineStr"/>
    </row>
    <row r="44">
      <c r="A44" s="27" t="inlineStr"/>
      <c r="B44" s="27" t="inlineStr"/>
      <c r="C44" s="27" t="inlineStr"/>
      <c r="D44" s="27" t="inlineStr"/>
      <c r="E44" s="36" t="inlineStr"/>
      <c r="F44" s="27" t="inlineStr"/>
      <c r="G44" s="27" t="inlineStr"/>
      <c r="H44" s="27" t="inlineStr"/>
      <c r="I44" s="36" t="inlineStr"/>
      <c r="J44" s="27" t="inlineStr"/>
      <c r="K44" s="27" t="inlineStr"/>
    </row>
    <row r="45">
      <c r="A45" s="27" t="inlineStr"/>
      <c r="B45" s="27" t="inlineStr"/>
      <c r="C45" s="27" t="inlineStr"/>
      <c r="D45" s="27" t="inlineStr"/>
      <c r="E45" s="36" t="inlineStr"/>
      <c r="F45" s="27" t="inlineStr"/>
      <c r="G45" s="27" t="inlineStr"/>
      <c r="H45" s="27" t="inlineStr"/>
      <c r="I45" s="36" t="inlineStr"/>
      <c r="J45" s="27" t="inlineStr"/>
      <c r="K45" s="27" t="inlineStr"/>
    </row>
    <row r="46">
      <c r="A46" s="27" t="inlineStr"/>
      <c r="B46" s="27" t="inlineStr"/>
      <c r="C46" s="27" t="inlineStr"/>
      <c r="D46" s="27" t="inlineStr"/>
      <c r="E46" s="36" t="inlineStr"/>
      <c r="F46" s="27" t="inlineStr"/>
      <c r="G46" s="27" t="inlineStr"/>
      <c r="H46" s="27" t="inlineStr"/>
      <c r="I46" s="36" t="inlineStr"/>
      <c r="J46" s="27" t="inlineStr"/>
      <c r="K46" s="27" t="inlineStr"/>
    </row>
    <row r="47">
      <c r="A47" s="27" t="inlineStr"/>
      <c r="B47" s="27" t="inlineStr"/>
      <c r="C47" s="27" t="inlineStr"/>
      <c r="D47" s="27" t="inlineStr"/>
      <c r="E47" s="36" t="inlineStr"/>
      <c r="F47" s="27" t="inlineStr"/>
      <c r="G47" s="27" t="inlineStr"/>
      <c r="H47" s="27" t="inlineStr"/>
      <c r="I47" s="36" t="inlineStr"/>
      <c r="J47" s="27" t="inlineStr"/>
      <c r="K47" s="27" t="inlineStr"/>
    </row>
    <row r="48">
      <c r="A48" s="27" t="inlineStr"/>
      <c r="B48" s="27" t="inlineStr"/>
      <c r="C48" s="27" t="inlineStr"/>
      <c r="D48" s="27" t="inlineStr"/>
      <c r="E48" s="36" t="inlineStr"/>
      <c r="F48" s="27" t="inlineStr"/>
      <c r="G48" s="27" t="inlineStr"/>
      <c r="H48" s="27" t="inlineStr"/>
      <c r="I48" s="36" t="inlineStr"/>
      <c r="J48" s="27" t="inlineStr"/>
      <c r="K48" s="27" t="inlineStr"/>
    </row>
    <row r="49">
      <c r="A49" s="27" t="inlineStr"/>
      <c r="B49" s="27" t="inlineStr"/>
      <c r="C49" s="27" t="inlineStr"/>
      <c r="D49" s="27" t="inlineStr"/>
      <c r="E49" s="36" t="inlineStr"/>
      <c r="F49" s="27" t="inlineStr"/>
      <c r="G49" s="27" t="inlineStr"/>
      <c r="H49" s="27" t="inlineStr"/>
      <c r="I49" s="36" t="inlineStr"/>
      <c r="J49" s="27" t="inlineStr"/>
      <c r="K49" s="27" t="inlineStr"/>
    </row>
    <row r="50">
      <c r="A50" s="27" t="inlineStr"/>
      <c r="B50" s="27" t="inlineStr"/>
      <c r="C50" s="27" t="inlineStr"/>
      <c r="D50" s="27" t="inlineStr"/>
      <c r="E50" s="36" t="inlineStr"/>
      <c r="F50" s="27" t="inlineStr"/>
      <c r="G50" s="27" t="inlineStr"/>
      <c r="H50" s="27" t="inlineStr"/>
      <c r="I50" s="36" t="inlineStr"/>
      <c r="J50" s="27" t="inlineStr"/>
      <c r="K50" s="27" t="inlineStr"/>
    </row>
    <row r="51">
      <c r="A51" s="27" t="inlineStr"/>
      <c r="B51" s="27" t="inlineStr"/>
      <c r="C51" s="27" t="inlineStr"/>
      <c r="D51" s="27" t="inlineStr"/>
      <c r="E51" s="36" t="inlineStr"/>
      <c r="F51" s="27" t="inlineStr"/>
      <c r="G51" s="27" t="inlineStr"/>
      <c r="H51" s="27" t="inlineStr"/>
      <c r="I51" s="36" t="inlineStr"/>
      <c r="J51" s="27" t="inlineStr"/>
      <c r="K51" s="27" t="inlineStr"/>
    </row>
    <row r="52">
      <c r="A52" s="27" t="inlineStr"/>
      <c r="B52" s="27" t="inlineStr"/>
      <c r="C52" s="27" t="inlineStr"/>
      <c r="D52" s="27" t="inlineStr"/>
      <c r="E52" s="36" t="inlineStr"/>
      <c r="F52" s="27" t="inlineStr"/>
      <c r="G52" s="27" t="inlineStr"/>
      <c r="H52" s="27" t="inlineStr"/>
      <c r="I52" s="36" t="inlineStr"/>
      <c r="J52" s="27" t="inlineStr"/>
      <c r="K52" s="27" t="inlineStr"/>
    </row>
    <row r="53">
      <c r="A53" s="27" t="inlineStr"/>
      <c r="B53" s="27" t="inlineStr"/>
      <c r="C53" s="27" t="inlineStr"/>
      <c r="D53" s="27" t="inlineStr"/>
      <c r="E53" s="36" t="inlineStr"/>
      <c r="F53" s="27" t="inlineStr"/>
      <c r="G53" s="27" t="inlineStr"/>
      <c r="H53" s="27" t="inlineStr"/>
      <c r="I53" s="36" t="inlineStr"/>
      <c r="J53" s="27" t="inlineStr"/>
      <c r="K53" s="27" t="inlineStr"/>
    </row>
    <row r="54">
      <c r="A54" s="27" t="inlineStr"/>
      <c r="B54" s="27" t="inlineStr"/>
      <c r="C54" s="27" t="inlineStr"/>
      <c r="D54" s="27" t="inlineStr"/>
      <c r="E54" s="36" t="inlineStr"/>
      <c r="F54" s="27" t="inlineStr"/>
      <c r="G54" s="27" t="inlineStr"/>
      <c r="H54" s="27" t="inlineStr"/>
      <c r="I54" s="36" t="inlineStr"/>
      <c r="J54" s="27" t="inlineStr"/>
      <c r="K54" s="27" t="inlineStr"/>
    </row>
    <row r="55">
      <c r="A55" s="27" t="inlineStr"/>
      <c r="B55" s="27" t="inlineStr"/>
      <c r="C55" s="27" t="inlineStr"/>
      <c r="D55" s="27" t="inlineStr"/>
      <c r="E55" s="36" t="inlineStr"/>
      <c r="F55" s="27" t="inlineStr"/>
      <c r="G55" s="27" t="inlineStr"/>
      <c r="H55" s="27" t="inlineStr"/>
      <c r="I55" s="36" t="inlineStr"/>
      <c r="J55" s="27" t="inlineStr"/>
      <c r="K55" s="27" t="inlineStr"/>
    </row>
    <row r="56">
      <c r="A56" s="27" t="inlineStr"/>
      <c r="B56" s="27" t="inlineStr"/>
      <c r="C56" s="27" t="inlineStr"/>
      <c r="D56" s="27" t="inlineStr"/>
      <c r="E56" s="36" t="inlineStr"/>
      <c r="F56" s="27" t="inlineStr"/>
      <c r="G56" s="27" t="inlineStr"/>
      <c r="H56" s="27" t="inlineStr"/>
      <c r="I56" s="36" t="inlineStr"/>
      <c r="J56" s="27" t="inlineStr"/>
      <c r="K56" s="27" t="inlineStr"/>
    </row>
    <row r="57">
      <c r="A57" s="27" t="inlineStr"/>
      <c r="B57" s="27" t="inlineStr"/>
      <c r="C57" s="27" t="inlineStr"/>
      <c r="D57" s="27" t="inlineStr"/>
      <c r="E57" s="36" t="inlineStr"/>
      <c r="F57" s="27" t="inlineStr"/>
      <c r="G57" s="27" t="inlineStr"/>
      <c r="H57" s="27" t="inlineStr"/>
      <c r="I57" s="36" t="inlineStr"/>
      <c r="J57" s="27" t="inlineStr"/>
      <c r="K57" s="27" t="inlineStr"/>
    </row>
    <row r="58">
      <c r="A58" s="27" t="inlineStr"/>
      <c r="B58" s="27" t="inlineStr"/>
      <c r="C58" s="27" t="inlineStr"/>
      <c r="D58" s="27" t="inlineStr"/>
      <c r="E58" s="36" t="inlineStr"/>
      <c r="F58" s="27" t="inlineStr"/>
      <c r="G58" s="27" t="inlineStr"/>
      <c r="H58" s="27" t="inlineStr"/>
      <c r="I58" s="36" t="inlineStr"/>
      <c r="J58" s="27" t="inlineStr"/>
      <c r="K58" s="27" t="inlineStr"/>
    </row>
    <row r="59">
      <c r="A59" s="27" t="inlineStr"/>
      <c r="B59" s="27" t="inlineStr"/>
      <c r="C59" s="27" t="inlineStr"/>
      <c r="D59" s="27" t="inlineStr"/>
      <c r="E59" s="36" t="inlineStr"/>
      <c r="F59" s="27" t="inlineStr"/>
      <c r="G59" s="27" t="inlineStr"/>
      <c r="H59" s="27" t="inlineStr"/>
      <c r="I59" s="36" t="inlineStr"/>
      <c r="J59" s="27" t="inlineStr"/>
      <c r="K59" s="27" t="inlineStr"/>
    </row>
    <row r="60">
      <c r="A60" s="27" t="inlineStr"/>
      <c r="B60" s="27" t="inlineStr"/>
      <c r="C60" s="27" t="inlineStr"/>
      <c r="D60" s="27" t="inlineStr"/>
      <c r="E60" s="36" t="inlineStr"/>
      <c r="F60" s="27" t="inlineStr"/>
      <c r="G60" s="27" t="inlineStr"/>
      <c r="H60" s="27" t="inlineStr"/>
      <c r="I60" s="36" t="inlineStr"/>
      <c r="J60" s="27" t="inlineStr"/>
      <c r="K60" s="27" t="inlineStr"/>
    </row>
    <row r="61">
      <c r="A61" s="27" t="inlineStr"/>
      <c r="B61" s="27" t="inlineStr"/>
      <c r="C61" s="27" t="inlineStr"/>
      <c r="D61" s="27" t="inlineStr"/>
      <c r="E61" s="36" t="inlineStr"/>
      <c r="F61" s="27" t="inlineStr"/>
      <c r="G61" s="27" t="inlineStr"/>
      <c r="H61" s="27" t="inlineStr"/>
      <c r="I61" s="36" t="inlineStr"/>
      <c r="J61" s="27" t="inlineStr"/>
      <c r="K61" s="27" t="inlineStr"/>
    </row>
    <row r="62">
      <c r="A62" s="27" t="inlineStr"/>
      <c r="B62" s="27" t="inlineStr"/>
      <c r="C62" s="27" t="inlineStr"/>
      <c r="D62" s="27" t="inlineStr"/>
      <c r="E62" s="36" t="inlineStr"/>
      <c r="F62" s="27" t="inlineStr"/>
      <c r="G62" s="27" t="inlineStr"/>
      <c r="H62" s="27" t="inlineStr"/>
      <c r="I62" s="36" t="inlineStr"/>
      <c r="J62" s="27" t="inlineStr"/>
      <c r="K62" s="27" t="inlineStr"/>
    </row>
    <row r="63">
      <c r="A63" s="27" t="inlineStr"/>
      <c r="B63" s="27" t="inlineStr"/>
      <c r="C63" s="27" t="inlineStr"/>
      <c r="D63" s="27" t="inlineStr"/>
      <c r="E63" s="36" t="inlineStr"/>
      <c r="F63" s="27" t="inlineStr"/>
      <c r="G63" s="27" t="inlineStr"/>
      <c r="H63" s="27" t="inlineStr"/>
      <c r="I63" s="36" t="inlineStr"/>
      <c r="J63" s="27" t="inlineStr"/>
      <c r="K63" s="27" t="inlineStr"/>
    </row>
    <row r="64">
      <c r="A64" s="27" t="inlineStr"/>
      <c r="B64" s="27" t="inlineStr"/>
      <c r="C64" s="27" t="inlineStr"/>
      <c r="D64" s="27" t="inlineStr"/>
      <c r="E64" s="36" t="inlineStr"/>
      <c r="F64" s="27" t="inlineStr"/>
      <c r="G64" s="27" t="inlineStr"/>
      <c r="H64" s="27" t="inlineStr"/>
      <c r="I64" s="36" t="inlineStr"/>
      <c r="J64" s="27" t="inlineStr"/>
      <c r="K64" s="27" t="inlineStr"/>
    </row>
    <row r="65">
      <c r="A65" s="27" t="inlineStr"/>
      <c r="B65" s="27" t="inlineStr"/>
      <c r="C65" s="27" t="inlineStr"/>
      <c r="D65" s="27" t="inlineStr"/>
      <c r="E65" s="36" t="inlineStr"/>
      <c r="F65" s="27" t="inlineStr"/>
      <c r="G65" s="27" t="inlineStr"/>
      <c r="H65" s="27" t="inlineStr"/>
      <c r="I65" s="36" t="inlineStr"/>
      <c r="J65" s="27" t="inlineStr"/>
      <c r="K65" s="27" t="inlineStr"/>
    </row>
    <row r="66">
      <c r="A66" s="27" t="inlineStr"/>
      <c r="B66" s="27" t="inlineStr"/>
      <c r="C66" s="27" t="inlineStr"/>
      <c r="D66" s="27" t="inlineStr"/>
      <c r="E66" s="36" t="inlineStr"/>
      <c r="F66" s="27" t="inlineStr"/>
      <c r="G66" s="27" t="inlineStr"/>
      <c r="H66" s="27" t="inlineStr"/>
      <c r="I66" s="36" t="inlineStr"/>
      <c r="J66" s="27" t="inlineStr"/>
      <c r="K66" s="27" t="inlineStr"/>
    </row>
    <row r="67">
      <c r="A67" s="27" t="inlineStr"/>
      <c r="B67" s="27" t="inlineStr"/>
      <c r="C67" s="27" t="inlineStr"/>
      <c r="D67" s="27" t="inlineStr"/>
      <c r="E67" s="36" t="inlineStr"/>
      <c r="F67" s="27" t="inlineStr"/>
      <c r="G67" s="27" t="inlineStr"/>
      <c r="H67" s="27" t="inlineStr"/>
      <c r="I67" s="36" t="inlineStr"/>
      <c r="J67" s="27" t="inlineStr"/>
      <c r="K67" s="27" t="inlineStr"/>
    </row>
    <row r="68">
      <c r="A68" s="27" t="inlineStr"/>
      <c r="B68" s="27" t="inlineStr"/>
      <c r="C68" s="27" t="inlineStr"/>
      <c r="D68" s="27" t="inlineStr"/>
      <c r="E68" s="36" t="inlineStr"/>
      <c r="F68" s="27" t="inlineStr"/>
      <c r="G68" s="27" t="inlineStr"/>
      <c r="H68" s="27" t="inlineStr"/>
      <c r="I68" s="36" t="inlineStr"/>
      <c r="J68" s="27" t="inlineStr"/>
      <c r="K68" s="27" t="inlineStr"/>
    </row>
    <row r="69">
      <c r="A69" s="27" t="inlineStr"/>
      <c r="B69" s="27" t="inlineStr"/>
      <c r="C69" s="27" t="inlineStr"/>
      <c r="D69" s="27" t="inlineStr"/>
      <c r="E69" s="36" t="inlineStr"/>
      <c r="F69" s="27" t="inlineStr"/>
      <c r="G69" s="27" t="inlineStr"/>
      <c r="H69" s="27" t="inlineStr"/>
      <c r="I69" s="36" t="inlineStr"/>
      <c r="J69" s="27" t="inlineStr"/>
      <c r="K69" s="27" t="inlineStr"/>
    </row>
    <row r="70">
      <c r="A70" s="27" t="inlineStr"/>
      <c r="B70" s="27" t="inlineStr"/>
      <c r="C70" s="27" t="inlineStr"/>
      <c r="D70" s="27" t="inlineStr"/>
      <c r="E70" s="36" t="inlineStr"/>
      <c r="F70" s="27" t="inlineStr"/>
      <c r="G70" s="27" t="inlineStr"/>
      <c r="H70" s="27" t="inlineStr"/>
      <c r="I70" s="36" t="inlineStr"/>
      <c r="J70" s="27" t="inlineStr"/>
      <c r="K70" s="27" t="inlineStr"/>
    </row>
    <row r="71">
      <c r="A71" s="27" t="inlineStr"/>
      <c r="B71" s="27" t="inlineStr"/>
      <c r="C71" s="27" t="inlineStr"/>
      <c r="D71" s="27" t="inlineStr"/>
      <c r="E71" s="36" t="inlineStr"/>
      <c r="F71" s="27" t="inlineStr"/>
      <c r="G71" s="27" t="inlineStr"/>
      <c r="H71" s="27" t="inlineStr"/>
      <c r="I71" s="36" t="inlineStr"/>
      <c r="J71" s="27" t="inlineStr"/>
      <c r="K71" s="27" t="inlineStr"/>
    </row>
    <row r="72">
      <c r="A72" s="27" t="inlineStr"/>
      <c r="B72" s="27" t="inlineStr"/>
      <c r="C72" s="27" t="inlineStr"/>
      <c r="D72" s="27" t="inlineStr"/>
      <c r="E72" s="36" t="inlineStr"/>
      <c r="F72" s="27" t="inlineStr"/>
      <c r="G72" s="27" t="inlineStr"/>
      <c r="H72" s="27" t="inlineStr"/>
      <c r="I72" s="36" t="inlineStr"/>
      <c r="J72" s="27" t="inlineStr"/>
      <c r="K72" s="27" t="inlineStr"/>
    </row>
    <row r="73">
      <c r="A73" s="27" t="inlineStr"/>
      <c r="B73" s="27" t="inlineStr"/>
      <c r="C73" s="27" t="inlineStr"/>
      <c r="D73" s="27" t="inlineStr"/>
      <c r="E73" s="36" t="inlineStr"/>
      <c r="F73" s="27" t="inlineStr"/>
      <c r="G73" s="27" t="inlineStr"/>
      <c r="H73" s="27" t="inlineStr"/>
      <c r="I73" s="36" t="inlineStr"/>
      <c r="J73" s="27" t="inlineStr"/>
      <c r="K73" s="27" t="inlineStr"/>
    </row>
    <row r="74">
      <c r="A74" s="27" t="inlineStr"/>
      <c r="B74" s="27" t="inlineStr"/>
      <c r="C74" s="27" t="inlineStr"/>
      <c r="D74" s="27" t="inlineStr"/>
      <c r="E74" s="36" t="inlineStr"/>
      <c r="F74" s="27" t="inlineStr"/>
      <c r="G74" s="27" t="inlineStr"/>
      <c r="H74" s="27" t="inlineStr"/>
      <c r="I74" s="36" t="inlineStr"/>
      <c r="J74" s="27" t="inlineStr"/>
      <c r="K74" s="27" t="inlineStr"/>
    </row>
    <row r="75">
      <c r="A75" s="27" t="inlineStr"/>
      <c r="B75" s="27" t="inlineStr"/>
      <c r="C75" s="27" t="inlineStr"/>
      <c r="D75" s="27" t="inlineStr"/>
      <c r="E75" s="36" t="inlineStr"/>
      <c r="F75" s="27" t="inlineStr"/>
      <c r="G75" s="27" t="inlineStr"/>
      <c r="H75" s="27" t="inlineStr"/>
      <c r="I75" s="36" t="inlineStr"/>
      <c r="J75" s="27" t="inlineStr"/>
      <c r="K75" s="27" t="inlineStr"/>
    </row>
    <row r="76">
      <c r="A76" s="27" t="inlineStr"/>
      <c r="B76" s="27" t="inlineStr"/>
      <c r="C76" s="27" t="inlineStr"/>
      <c r="D76" s="27" t="inlineStr"/>
      <c r="E76" s="36" t="inlineStr"/>
      <c r="F76" s="27" t="inlineStr"/>
      <c r="G76" s="27" t="inlineStr"/>
      <c r="H76" s="27" t="inlineStr"/>
      <c r="I76" s="36" t="inlineStr"/>
      <c r="J76" s="27" t="inlineStr"/>
      <c r="K76" s="27" t="inlineStr"/>
    </row>
    <row r="77">
      <c r="A77" s="27" t="inlineStr"/>
      <c r="B77" s="27" t="inlineStr"/>
      <c r="C77" s="27" t="inlineStr"/>
      <c r="D77" s="27" t="inlineStr"/>
      <c r="E77" s="36" t="inlineStr"/>
      <c r="F77" s="27" t="inlineStr"/>
      <c r="G77" s="27" t="inlineStr"/>
      <c r="H77" s="27" t="inlineStr"/>
      <c r="I77" s="36" t="inlineStr"/>
      <c r="J77" s="27" t="inlineStr"/>
      <c r="K77" s="27" t="inlineStr"/>
    </row>
    <row r="78">
      <c r="A78" s="27" t="inlineStr"/>
      <c r="B78" s="27" t="inlineStr"/>
      <c r="C78" s="27" t="inlineStr"/>
      <c r="D78" s="27" t="inlineStr"/>
      <c r="E78" s="36" t="inlineStr"/>
      <c r="F78" s="27" t="inlineStr"/>
      <c r="G78" s="27" t="inlineStr"/>
      <c r="H78" s="27" t="inlineStr"/>
      <c r="I78" s="36" t="inlineStr"/>
      <c r="J78" s="27" t="inlineStr"/>
      <c r="K78" s="27" t="inlineStr"/>
    </row>
    <row r="79">
      <c r="A79" s="27" t="inlineStr"/>
      <c r="B79" s="27" t="inlineStr"/>
      <c r="C79" s="27" t="inlineStr"/>
      <c r="D79" s="27" t="inlineStr"/>
      <c r="E79" s="36" t="inlineStr"/>
      <c r="F79" s="27" t="inlineStr"/>
      <c r="G79" s="27" t="inlineStr"/>
      <c r="H79" s="27" t="inlineStr"/>
      <c r="I79" s="36" t="inlineStr"/>
      <c r="J79" s="27" t="inlineStr"/>
      <c r="K79" s="27" t="inlineStr"/>
    </row>
    <row r="80">
      <c r="A80" s="27" t="inlineStr"/>
      <c r="B80" s="27" t="inlineStr"/>
      <c r="C80" s="27" t="inlineStr"/>
      <c r="D80" s="27" t="inlineStr"/>
      <c r="E80" s="36" t="inlineStr"/>
      <c r="F80" s="27" t="inlineStr"/>
      <c r="G80" s="27" t="inlineStr"/>
      <c r="H80" s="27" t="inlineStr"/>
      <c r="I80" s="36" t="inlineStr"/>
      <c r="J80" s="27" t="inlineStr"/>
      <c r="K80" s="27" t="inlineStr"/>
    </row>
    <row r="81">
      <c r="A81" s="27" t="inlineStr"/>
      <c r="B81" s="27" t="inlineStr"/>
      <c r="C81" s="27" t="inlineStr"/>
      <c r="D81" s="27" t="inlineStr"/>
      <c r="E81" s="36" t="inlineStr"/>
      <c r="F81" s="27" t="inlineStr"/>
      <c r="G81" s="27" t="inlineStr"/>
      <c r="H81" s="27" t="inlineStr"/>
      <c r="I81" s="36" t="inlineStr"/>
      <c r="J81" s="27" t="inlineStr"/>
      <c r="K81" s="27" t="inlineStr"/>
    </row>
    <row r="82">
      <c r="A82" s="27" t="inlineStr"/>
      <c r="B82" s="27" t="inlineStr"/>
      <c r="C82" s="27" t="inlineStr"/>
      <c r="D82" s="27" t="inlineStr"/>
      <c r="E82" s="36" t="inlineStr"/>
      <c r="F82" s="27" t="inlineStr"/>
      <c r="G82" s="27" t="inlineStr"/>
      <c r="H82" s="27" t="inlineStr"/>
      <c r="I82" s="36" t="inlineStr"/>
      <c r="J82" s="27" t="inlineStr"/>
      <c r="K82" s="27" t="inlineStr"/>
    </row>
    <row r="83">
      <c r="A83" s="27" t="inlineStr"/>
      <c r="B83" s="27" t="inlineStr"/>
      <c r="C83" s="27" t="inlineStr"/>
      <c r="D83" s="27" t="inlineStr"/>
      <c r="E83" s="36" t="inlineStr"/>
      <c r="F83" s="27" t="inlineStr"/>
      <c r="G83" s="27" t="inlineStr"/>
      <c r="H83" s="27" t="inlineStr"/>
      <c r="I83" s="36" t="inlineStr"/>
      <c r="J83" s="27" t="inlineStr"/>
      <c r="K83" s="27" t="inlineStr"/>
    </row>
    <row r="84">
      <c r="A84" s="27" t="inlineStr"/>
      <c r="B84" s="27" t="inlineStr"/>
      <c r="C84" s="27" t="inlineStr"/>
      <c r="D84" s="27" t="inlineStr"/>
      <c r="E84" s="36" t="inlineStr"/>
      <c r="F84" s="27" t="inlineStr"/>
      <c r="G84" s="27" t="inlineStr"/>
      <c r="H84" s="27" t="inlineStr"/>
      <c r="I84" s="36" t="inlineStr"/>
      <c r="J84" s="27" t="inlineStr"/>
      <c r="K84" s="27" t="inlineStr"/>
    </row>
    <row r="85">
      <c r="A85" s="27" t="inlineStr"/>
      <c r="B85" s="27" t="inlineStr"/>
      <c r="C85" s="27" t="inlineStr"/>
      <c r="D85" s="27" t="inlineStr"/>
      <c r="E85" s="36" t="inlineStr"/>
      <c r="F85" s="27" t="inlineStr"/>
      <c r="G85" s="27" t="inlineStr"/>
      <c r="H85" s="27" t="inlineStr"/>
      <c r="I85" s="36" t="inlineStr"/>
      <c r="J85" s="27" t="inlineStr"/>
      <c r="K85" s="27" t="inlineStr"/>
    </row>
    <row r="86">
      <c r="A86" s="27" t="inlineStr"/>
      <c r="B86" s="27" t="inlineStr"/>
      <c r="C86" s="27" t="inlineStr"/>
      <c r="D86" s="27" t="inlineStr"/>
      <c r="E86" s="36" t="inlineStr"/>
      <c r="F86" s="27" t="inlineStr"/>
      <c r="G86" s="27" t="inlineStr"/>
      <c r="H86" s="27" t="inlineStr"/>
      <c r="I86" s="36" t="inlineStr"/>
      <c r="J86" s="27" t="inlineStr"/>
      <c r="K86" s="27" t="inlineStr"/>
    </row>
    <row r="87">
      <c r="A87" s="27" t="inlineStr"/>
      <c r="B87" s="27" t="inlineStr"/>
      <c r="C87" s="27" t="inlineStr"/>
      <c r="D87" s="27" t="inlineStr"/>
      <c r="E87" s="36" t="inlineStr"/>
      <c r="F87" s="27" t="inlineStr"/>
      <c r="G87" s="27" t="inlineStr"/>
      <c r="H87" s="27" t="inlineStr"/>
      <c r="I87" s="36" t="inlineStr"/>
      <c r="J87" s="27" t="inlineStr"/>
      <c r="K87" s="27" t="inlineStr"/>
    </row>
    <row r="88">
      <c r="A88" s="27" t="inlineStr"/>
      <c r="B88" s="27" t="inlineStr"/>
      <c r="C88" s="27" t="inlineStr"/>
      <c r="D88" s="27" t="inlineStr"/>
      <c r="E88" s="36" t="inlineStr"/>
      <c r="F88" s="27" t="inlineStr"/>
      <c r="G88" s="27" t="inlineStr"/>
      <c r="H88" s="27" t="inlineStr"/>
      <c r="I88" s="36" t="inlineStr"/>
      <c r="J88" s="27" t="inlineStr"/>
      <c r="K88" s="27" t="inlineStr"/>
    </row>
    <row r="89">
      <c r="A89" s="27" t="inlineStr"/>
      <c r="B89" s="27" t="inlineStr"/>
      <c r="C89" s="27" t="inlineStr"/>
      <c r="D89" s="27" t="inlineStr"/>
      <c r="E89" s="36" t="inlineStr"/>
      <c r="F89" s="27" t="inlineStr"/>
      <c r="G89" s="27" t="inlineStr"/>
      <c r="H89" s="27" t="inlineStr"/>
      <c r="I89" s="36" t="inlineStr"/>
      <c r="J89" s="27" t="inlineStr"/>
      <c r="K89" s="27" t="inlineStr"/>
    </row>
    <row r="90">
      <c r="A90" s="27" t="inlineStr"/>
      <c r="B90" s="27" t="inlineStr"/>
      <c r="C90" s="27" t="inlineStr"/>
      <c r="D90" s="27" t="inlineStr"/>
      <c r="E90" s="36" t="inlineStr"/>
      <c r="F90" s="27" t="inlineStr"/>
      <c r="G90" s="27" t="inlineStr"/>
      <c r="H90" s="27" t="inlineStr"/>
      <c r="I90" s="36" t="inlineStr"/>
      <c r="J90" s="27" t="inlineStr"/>
      <c r="K90" s="27" t="inlineStr"/>
    </row>
    <row r="91">
      <c r="A91" s="27" t="inlineStr"/>
      <c r="B91" s="27" t="inlineStr"/>
      <c r="C91" s="27" t="inlineStr"/>
      <c r="D91" s="27" t="inlineStr"/>
      <c r="E91" s="36" t="inlineStr"/>
      <c r="F91" s="27" t="inlineStr"/>
      <c r="G91" s="27" t="inlineStr"/>
      <c r="H91" s="27" t="inlineStr"/>
      <c r="I91" s="36" t="inlineStr"/>
      <c r="J91" s="27" t="inlineStr"/>
      <c r="K91" s="27" t="inlineStr"/>
    </row>
    <row r="92">
      <c r="A92" s="27" t="inlineStr"/>
      <c r="B92" s="27" t="inlineStr"/>
      <c r="C92" s="27" t="inlineStr"/>
      <c r="D92" s="27" t="inlineStr"/>
      <c r="E92" s="36" t="inlineStr"/>
      <c r="F92" s="27" t="inlineStr"/>
      <c r="G92" s="27" t="inlineStr"/>
      <c r="H92" s="27" t="inlineStr"/>
      <c r="I92" s="36" t="inlineStr"/>
      <c r="J92" s="27" t="inlineStr"/>
      <c r="K92" s="27" t="inlineStr"/>
    </row>
    <row r="93">
      <c r="A93" s="27" t="inlineStr"/>
      <c r="B93" s="27" t="inlineStr"/>
      <c r="C93" s="27" t="inlineStr"/>
      <c r="D93" s="27" t="inlineStr"/>
      <c r="E93" s="36" t="inlineStr"/>
      <c r="F93" s="27" t="inlineStr"/>
      <c r="G93" s="27" t="inlineStr"/>
      <c r="H93" s="27" t="inlineStr"/>
      <c r="I93" s="36" t="inlineStr"/>
      <c r="J93" s="27" t="inlineStr"/>
      <c r="K93" s="27" t="inlineStr"/>
    </row>
    <row r="94">
      <c r="A94" s="27" t="inlineStr"/>
      <c r="B94" s="27" t="inlineStr"/>
      <c r="C94" s="27" t="inlineStr"/>
      <c r="D94" s="27" t="inlineStr"/>
      <c r="E94" s="36" t="inlineStr"/>
      <c r="F94" s="27" t="inlineStr"/>
      <c r="G94" s="27" t="inlineStr"/>
      <c r="H94" s="27" t="inlineStr"/>
      <c r="I94" s="36" t="inlineStr"/>
      <c r="J94" s="27" t="inlineStr"/>
      <c r="K94" s="27" t="inlineStr"/>
    </row>
    <row r="95">
      <c r="A95" s="27" t="inlineStr"/>
      <c r="B95" s="27" t="inlineStr"/>
      <c r="C95" s="27" t="inlineStr"/>
      <c r="D95" s="27" t="inlineStr"/>
      <c r="E95" s="36" t="inlineStr"/>
      <c r="F95" s="27" t="inlineStr"/>
      <c r="G95" s="27" t="inlineStr"/>
      <c r="H95" s="27" t="inlineStr"/>
      <c r="I95" s="36" t="inlineStr"/>
      <c r="J95" s="27" t="inlineStr"/>
      <c r="K95" s="27" t="inlineStr"/>
    </row>
    <row r="96">
      <c r="A96" s="27" t="inlineStr"/>
      <c r="B96" s="27" t="inlineStr"/>
      <c r="C96" s="27" t="inlineStr"/>
      <c r="D96" s="27" t="inlineStr"/>
      <c r="E96" s="36" t="inlineStr"/>
      <c r="F96" s="27" t="inlineStr"/>
      <c r="G96" s="27" t="inlineStr"/>
      <c r="H96" s="27" t="inlineStr"/>
      <c r="I96" s="36" t="inlineStr"/>
      <c r="J96" s="27" t="inlineStr"/>
      <c r="K96" s="27" t="inlineStr"/>
    </row>
    <row r="97">
      <c r="A97" s="27" t="inlineStr"/>
      <c r="B97" s="27" t="inlineStr"/>
      <c r="C97" s="27" t="inlineStr"/>
      <c r="D97" s="27" t="inlineStr"/>
      <c r="E97" s="36" t="inlineStr"/>
      <c r="F97" s="27" t="inlineStr"/>
      <c r="G97" s="27" t="inlineStr"/>
      <c r="H97" s="27" t="inlineStr"/>
      <c r="I97" s="36" t="inlineStr"/>
      <c r="J97" s="27" t="inlineStr"/>
      <c r="K97" s="27" t="inlineStr"/>
    </row>
    <row r="98">
      <c r="A98" s="27" t="inlineStr"/>
      <c r="B98" s="27" t="inlineStr"/>
      <c r="C98" s="27" t="inlineStr"/>
      <c r="D98" s="27" t="inlineStr"/>
      <c r="E98" s="36" t="inlineStr"/>
      <c r="F98" s="27" t="inlineStr"/>
      <c r="G98" s="27" t="inlineStr"/>
      <c r="H98" s="27" t="inlineStr"/>
      <c r="I98" s="36" t="inlineStr"/>
      <c r="J98" s="27" t="inlineStr"/>
      <c r="K98" s="27" t="inlineStr"/>
    </row>
    <row r="99">
      <c r="A99" s="27" t="inlineStr"/>
      <c r="B99" s="27" t="inlineStr"/>
      <c r="C99" s="27" t="inlineStr"/>
      <c r="D99" s="27" t="inlineStr"/>
      <c r="E99" s="36" t="inlineStr"/>
      <c r="F99" s="27" t="inlineStr"/>
      <c r="G99" s="27" t="inlineStr"/>
      <c r="H99" s="27" t="inlineStr"/>
      <c r="I99" s="36" t="inlineStr"/>
      <c r="J99" s="27" t="inlineStr"/>
      <c r="K99" s="27" t="inlineStr"/>
    </row>
    <row r="100">
      <c r="A100" s="27" t="inlineStr"/>
      <c r="B100" s="27" t="inlineStr"/>
      <c r="C100" s="27" t="inlineStr"/>
      <c r="D100" s="27" t="inlineStr"/>
      <c r="E100" s="36" t="inlineStr"/>
      <c r="F100" s="27" t="inlineStr"/>
      <c r="G100" s="27" t="inlineStr"/>
      <c r="H100" s="27" t="inlineStr"/>
      <c r="I100" s="36" t="inlineStr"/>
      <c r="J100" s="27" t="inlineStr"/>
      <c r="K100" s="27" t="inlineStr"/>
    </row>
    <row r="101">
      <c r="A101" s="27" t="inlineStr"/>
      <c r="B101" s="27" t="inlineStr"/>
      <c r="C101" s="27" t="inlineStr"/>
      <c r="D101" s="27" t="inlineStr"/>
      <c r="E101" s="36" t="inlineStr"/>
      <c r="F101" s="27" t="inlineStr"/>
      <c r="G101" s="27" t="inlineStr"/>
      <c r="H101" s="27" t="inlineStr"/>
      <c r="I101" s="36" t="inlineStr"/>
      <c r="J101" s="27" t="inlineStr"/>
      <c r="K101" s="27" t="inlineStr"/>
    </row>
    <row r="102">
      <c r="A102" s="27" t="inlineStr"/>
      <c r="B102" s="27" t="inlineStr"/>
      <c r="C102" s="27" t="inlineStr"/>
      <c r="D102" s="27" t="inlineStr"/>
      <c r="E102" s="36" t="inlineStr"/>
      <c r="F102" s="27" t="inlineStr"/>
      <c r="G102" s="27" t="inlineStr"/>
      <c r="H102" s="27" t="inlineStr"/>
      <c r="I102" s="36" t="inlineStr"/>
      <c r="J102" s="27" t="inlineStr"/>
      <c r="K102" s="27" t="inlineStr"/>
    </row>
    <row r="103">
      <c r="A103" s="27" t="inlineStr"/>
      <c r="B103" s="27" t="inlineStr"/>
      <c r="C103" s="27" t="inlineStr"/>
      <c r="D103" s="27" t="inlineStr"/>
      <c r="E103" s="36" t="inlineStr"/>
      <c r="F103" s="27" t="inlineStr"/>
      <c r="G103" s="27" t="inlineStr"/>
      <c r="H103" s="27" t="inlineStr"/>
      <c r="I103" s="36" t="inlineStr"/>
      <c r="J103" s="27" t="inlineStr"/>
      <c r="K103" s="27" t="inlineStr"/>
    </row>
    <row r="104">
      <c r="A104" s="27" t="inlineStr"/>
      <c r="B104" s="27" t="inlineStr"/>
      <c r="C104" s="27" t="inlineStr"/>
      <c r="D104" s="27" t="inlineStr"/>
      <c r="E104" s="36" t="inlineStr"/>
      <c r="F104" s="27" t="inlineStr"/>
      <c r="G104" s="27" t="inlineStr"/>
      <c r="H104" s="27" t="inlineStr"/>
      <c r="I104" s="36" t="inlineStr"/>
      <c r="J104" s="27" t="inlineStr"/>
      <c r="K104" s="27" t="inlineStr"/>
    </row>
    <row r="105">
      <c r="A105" s="27" t="inlineStr"/>
      <c r="B105" s="27" t="inlineStr"/>
      <c r="C105" s="27" t="inlineStr"/>
      <c r="D105" s="27" t="inlineStr"/>
      <c r="E105" s="36" t="inlineStr"/>
      <c r="F105" s="27" t="inlineStr"/>
      <c r="G105" s="27" t="inlineStr"/>
      <c r="H105" s="27" t="inlineStr"/>
      <c r="I105" s="36" t="inlineStr"/>
      <c r="J105" s="27" t="inlineStr"/>
      <c r="K105" s="27" t="inlineStr"/>
    </row>
    <row r="106">
      <c r="A106" s="27" t="inlineStr"/>
      <c r="B106" s="27" t="inlineStr"/>
      <c r="C106" s="27" t="inlineStr"/>
      <c r="D106" s="27" t="inlineStr"/>
      <c r="E106" s="36" t="inlineStr"/>
      <c r="F106" s="27" t="inlineStr"/>
      <c r="G106" s="27" t="inlineStr"/>
      <c r="H106" s="27" t="inlineStr"/>
      <c r="I106" s="36" t="inlineStr"/>
      <c r="J106" s="27" t="inlineStr"/>
      <c r="K106" s="27" t="inlineStr"/>
    </row>
    <row r="107">
      <c r="A107" s="27" t="inlineStr"/>
      <c r="B107" s="27" t="inlineStr"/>
      <c r="C107" s="27" t="inlineStr"/>
      <c r="D107" s="27" t="inlineStr"/>
      <c r="E107" s="36" t="inlineStr"/>
      <c r="F107" s="27" t="inlineStr"/>
      <c r="G107" s="27" t="inlineStr"/>
      <c r="H107" s="27" t="inlineStr"/>
      <c r="I107" s="36" t="inlineStr"/>
      <c r="J107" s="27" t="inlineStr"/>
      <c r="K107" s="27" t="inlineStr"/>
    </row>
    <row r="108">
      <c r="A108" s="27" t="inlineStr"/>
      <c r="B108" s="27" t="inlineStr"/>
      <c r="C108" s="27" t="inlineStr"/>
      <c r="D108" s="27" t="inlineStr"/>
      <c r="E108" s="36" t="inlineStr"/>
      <c r="F108" s="27" t="inlineStr"/>
      <c r="G108" s="27" t="inlineStr"/>
      <c r="H108" s="27" t="inlineStr"/>
      <c r="I108" s="36" t="inlineStr"/>
      <c r="J108" s="27" t="inlineStr"/>
      <c r="K108" s="27" t="inlineStr"/>
    </row>
    <row r="109">
      <c r="A109" s="27" t="inlineStr"/>
      <c r="B109" s="27" t="inlineStr"/>
      <c r="C109" s="27" t="inlineStr"/>
      <c r="D109" s="27" t="inlineStr"/>
      <c r="E109" s="36" t="inlineStr"/>
      <c r="F109" s="27" t="inlineStr"/>
      <c r="G109" s="27" t="inlineStr"/>
      <c r="H109" s="27" t="inlineStr"/>
      <c r="I109" s="36" t="inlineStr"/>
      <c r="J109" s="27" t="inlineStr"/>
      <c r="K109" s="27" t="inlineStr"/>
    </row>
    <row r="110">
      <c r="A110" s="27" t="inlineStr"/>
      <c r="B110" s="27" t="inlineStr"/>
      <c r="C110" s="27" t="inlineStr"/>
      <c r="D110" s="27" t="inlineStr"/>
      <c r="E110" s="36" t="inlineStr"/>
      <c r="F110" s="27" t="inlineStr"/>
      <c r="G110" s="27" t="inlineStr"/>
      <c r="H110" s="27" t="inlineStr"/>
      <c r="I110" s="36" t="inlineStr"/>
      <c r="J110" s="27" t="inlineStr"/>
      <c r="K110" s="27" t="inlineStr"/>
    </row>
    <row r="111">
      <c r="A111" s="27" t="inlineStr"/>
      <c r="B111" s="27" t="inlineStr"/>
      <c r="C111" s="27" t="inlineStr"/>
      <c r="D111" s="27" t="inlineStr"/>
      <c r="E111" s="36" t="inlineStr"/>
      <c r="F111" s="27" t="inlineStr"/>
      <c r="G111" s="27" t="inlineStr"/>
      <c r="H111" s="27" t="inlineStr"/>
      <c r="I111" s="36" t="inlineStr"/>
      <c r="J111" s="27" t="inlineStr"/>
      <c r="K111" s="27" t="inlineStr"/>
    </row>
    <row r="112">
      <c r="A112" s="27" t="inlineStr"/>
      <c r="B112" s="27" t="inlineStr"/>
      <c r="C112" s="27" t="inlineStr"/>
      <c r="D112" s="27" t="inlineStr"/>
      <c r="E112" s="36" t="inlineStr"/>
      <c r="F112" s="27" t="inlineStr"/>
      <c r="G112" s="27" t="inlineStr"/>
      <c r="H112" s="27" t="inlineStr"/>
      <c r="I112" s="36" t="inlineStr"/>
      <c r="J112" s="27" t="inlineStr"/>
      <c r="K112" s="27" t="inlineStr"/>
    </row>
    <row r="113">
      <c r="A113" s="27" t="inlineStr"/>
      <c r="B113" s="27" t="inlineStr"/>
      <c r="C113" s="27" t="inlineStr"/>
      <c r="D113" s="27" t="inlineStr"/>
      <c r="E113" s="36" t="inlineStr"/>
      <c r="F113" s="27" t="inlineStr"/>
      <c r="G113" s="27" t="inlineStr"/>
      <c r="H113" s="27" t="inlineStr"/>
      <c r="I113" s="36" t="inlineStr"/>
      <c r="J113" s="27" t="inlineStr"/>
      <c r="K113" s="27" t="inlineStr"/>
    </row>
    <row r="114">
      <c r="A114" s="27" t="inlineStr"/>
      <c r="B114" s="27" t="inlineStr"/>
      <c r="C114" s="27" t="inlineStr"/>
      <c r="D114" s="27" t="inlineStr"/>
      <c r="E114" s="36" t="inlineStr"/>
      <c r="F114" s="27" t="inlineStr"/>
      <c r="G114" s="27" t="inlineStr"/>
      <c r="H114" s="27" t="inlineStr"/>
      <c r="I114" s="36" t="inlineStr"/>
      <c r="J114" s="27" t="inlineStr"/>
      <c r="K114" s="27" t="inlineStr"/>
    </row>
    <row r="115">
      <c r="A115" s="27" t="inlineStr"/>
      <c r="B115" s="27" t="inlineStr"/>
      <c r="C115" s="27" t="inlineStr"/>
      <c r="D115" s="27" t="inlineStr"/>
      <c r="E115" s="36" t="inlineStr"/>
      <c r="F115" s="27" t="inlineStr"/>
      <c r="G115" s="27" t="inlineStr"/>
      <c r="H115" s="27" t="inlineStr"/>
      <c r="I115" s="36" t="inlineStr"/>
      <c r="J115" s="27" t="inlineStr"/>
      <c r="K115" s="27" t="inlineStr"/>
    </row>
    <row r="116">
      <c r="A116" s="27" t="inlineStr"/>
      <c r="B116" s="27" t="inlineStr"/>
      <c r="C116" s="27" t="inlineStr"/>
      <c r="D116" s="27" t="inlineStr"/>
      <c r="E116" s="36" t="inlineStr"/>
      <c r="F116" s="27" t="inlineStr"/>
      <c r="G116" s="27" t="inlineStr"/>
      <c r="H116" s="27" t="inlineStr"/>
      <c r="I116" s="36" t="inlineStr"/>
      <c r="J116" s="27" t="inlineStr"/>
      <c r="K116" s="27" t="inlineStr"/>
    </row>
    <row r="117">
      <c r="A117" s="27" t="inlineStr"/>
      <c r="B117" s="27" t="inlineStr"/>
      <c r="C117" s="27" t="inlineStr"/>
      <c r="D117" s="27" t="inlineStr"/>
      <c r="E117" s="36" t="inlineStr"/>
      <c r="F117" s="27" t="inlineStr"/>
      <c r="G117" s="27" t="inlineStr"/>
      <c r="H117" s="27" t="inlineStr"/>
      <c r="I117" s="36" t="inlineStr"/>
      <c r="J117" s="27" t="inlineStr"/>
      <c r="K117" s="27" t="inlineStr"/>
    </row>
    <row r="118">
      <c r="A118" s="27" t="inlineStr"/>
      <c r="B118" s="27" t="inlineStr"/>
      <c r="C118" s="27" t="inlineStr"/>
      <c r="D118" s="27" t="inlineStr"/>
      <c r="E118" s="36" t="inlineStr"/>
      <c r="F118" s="27" t="inlineStr"/>
      <c r="G118" s="27" t="inlineStr"/>
      <c r="H118" s="27" t="inlineStr"/>
      <c r="I118" s="36" t="inlineStr"/>
      <c r="J118" s="27" t="inlineStr"/>
      <c r="K118" s="27" t="inlineStr"/>
    </row>
    <row r="119">
      <c r="A119" s="27" t="inlineStr"/>
      <c r="B119" s="27" t="inlineStr"/>
      <c r="C119" s="27" t="inlineStr"/>
      <c r="D119" s="27" t="inlineStr"/>
      <c r="E119" s="36" t="inlineStr"/>
      <c r="F119" s="27" t="inlineStr"/>
      <c r="G119" s="27" t="inlineStr"/>
      <c r="H119" s="27" t="inlineStr"/>
      <c r="I119" s="36" t="inlineStr"/>
      <c r="J119" s="27" t="inlineStr"/>
      <c r="K119" s="27" t="inlineStr"/>
    </row>
    <row r="120">
      <c r="A120" s="27" t="inlineStr"/>
      <c r="B120" s="27" t="inlineStr"/>
      <c r="C120" s="27" t="inlineStr"/>
      <c r="D120" s="27" t="inlineStr"/>
      <c r="E120" s="36" t="inlineStr"/>
      <c r="F120" s="27" t="inlineStr"/>
      <c r="G120" s="27" t="inlineStr"/>
      <c r="H120" s="27" t="inlineStr"/>
      <c r="I120" s="36" t="inlineStr"/>
      <c r="J120" s="27" t="inlineStr"/>
      <c r="K120" s="27" t="inlineStr"/>
    </row>
    <row r="121">
      <c r="A121" s="27" t="inlineStr"/>
      <c r="B121" s="27" t="inlineStr"/>
      <c r="C121" s="27" t="inlineStr"/>
      <c r="D121" s="27" t="inlineStr"/>
      <c r="E121" s="36" t="inlineStr"/>
      <c r="F121" s="27" t="inlineStr"/>
      <c r="G121" s="27" t="inlineStr"/>
      <c r="H121" s="27" t="inlineStr"/>
      <c r="I121" s="36" t="inlineStr"/>
      <c r="J121" s="27" t="inlineStr"/>
      <c r="K121" s="27" t="inlineStr"/>
    </row>
    <row r="122">
      <c r="A122" s="27" t="inlineStr"/>
      <c r="B122" s="27" t="inlineStr"/>
      <c r="C122" s="27" t="inlineStr"/>
      <c r="D122" s="27" t="inlineStr"/>
      <c r="E122" s="36" t="inlineStr"/>
      <c r="F122" s="27" t="inlineStr"/>
      <c r="G122" s="27" t="inlineStr"/>
      <c r="H122" s="27" t="inlineStr"/>
      <c r="I122" s="36" t="inlineStr"/>
      <c r="J122" s="27" t="inlineStr"/>
      <c r="K122" s="27" t="inlineStr"/>
    </row>
    <row r="123">
      <c r="A123" s="27" t="inlineStr"/>
      <c r="B123" s="27" t="inlineStr"/>
      <c r="C123" s="27" t="inlineStr"/>
      <c r="D123" s="27" t="inlineStr"/>
      <c r="E123" s="36" t="inlineStr"/>
      <c r="F123" s="27" t="inlineStr"/>
      <c r="G123" s="27" t="inlineStr"/>
      <c r="H123" s="27" t="inlineStr"/>
      <c r="I123" s="36" t="inlineStr"/>
      <c r="J123" s="27" t="inlineStr"/>
      <c r="K123" s="27" t="inlineStr"/>
    </row>
    <row r="124">
      <c r="A124" s="27" t="inlineStr"/>
      <c r="B124" s="27" t="inlineStr"/>
      <c r="C124" s="27" t="inlineStr"/>
      <c r="D124" s="27" t="inlineStr"/>
      <c r="E124" s="36" t="inlineStr"/>
      <c r="F124" s="27" t="inlineStr"/>
      <c r="G124" s="27" t="inlineStr"/>
      <c r="H124" s="27" t="inlineStr"/>
      <c r="I124" s="36" t="inlineStr"/>
      <c r="J124" s="27" t="inlineStr"/>
      <c r="K124" s="27" t="inlineStr"/>
    </row>
    <row r="125">
      <c r="A125" s="27" t="inlineStr"/>
      <c r="B125" s="27" t="inlineStr"/>
      <c r="C125" s="27" t="inlineStr"/>
      <c r="D125" s="27" t="inlineStr"/>
      <c r="E125" s="36" t="inlineStr"/>
      <c r="F125" s="27" t="inlineStr"/>
      <c r="G125" s="27" t="inlineStr"/>
      <c r="H125" s="27" t="inlineStr"/>
      <c r="I125" s="36" t="inlineStr"/>
      <c r="J125" s="27" t="inlineStr"/>
      <c r="K125" s="27" t="inlineStr"/>
    </row>
    <row r="126">
      <c r="A126" s="27" t="inlineStr"/>
      <c r="B126" s="27" t="inlineStr"/>
      <c r="C126" s="27" t="inlineStr"/>
      <c r="D126" s="27" t="inlineStr"/>
      <c r="E126" s="36" t="inlineStr"/>
      <c r="F126" s="27" t="inlineStr"/>
      <c r="G126" s="27" t="inlineStr"/>
      <c r="H126" s="27" t="inlineStr"/>
      <c r="I126" s="36" t="inlineStr"/>
      <c r="J126" s="27" t="inlineStr"/>
      <c r="K126" s="27" t="inlineStr"/>
    </row>
    <row r="127">
      <c r="A127" s="27" t="inlineStr"/>
      <c r="B127" s="27" t="inlineStr"/>
      <c r="C127" s="27" t="inlineStr"/>
      <c r="D127" s="27" t="inlineStr"/>
      <c r="E127" s="36" t="inlineStr"/>
      <c r="F127" s="27" t="inlineStr"/>
      <c r="G127" s="27" t="inlineStr"/>
      <c r="H127" s="27" t="inlineStr"/>
      <c r="I127" s="36" t="inlineStr"/>
      <c r="J127" s="27" t="inlineStr"/>
      <c r="K127" s="27" t="inlineStr"/>
    </row>
    <row r="128">
      <c r="A128" s="27" t="inlineStr"/>
      <c r="B128" s="27" t="inlineStr"/>
      <c r="C128" s="27" t="inlineStr"/>
      <c r="D128" s="27" t="inlineStr"/>
      <c r="E128" s="36" t="inlineStr"/>
      <c r="F128" s="27" t="inlineStr"/>
      <c r="G128" s="27" t="inlineStr"/>
      <c r="H128" s="27" t="inlineStr"/>
      <c r="I128" s="36" t="inlineStr"/>
      <c r="J128" s="27" t="inlineStr"/>
      <c r="K128" s="27" t="inlineStr"/>
    </row>
    <row r="129">
      <c r="A129" s="27" t="inlineStr"/>
      <c r="B129" s="27" t="inlineStr"/>
      <c r="C129" s="27" t="inlineStr"/>
      <c r="D129" s="27" t="inlineStr"/>
      <c r="E129" s="36" t="inlineStr"/>
      <c r="F129" s="27" t="inlineStr"/>
      <c r="G129" s="27" t="inlineStr"/>
      <c r="H129" s="27" t="inlineStr"/>
      <c r="I129" s="36" t="inlineStr"/>
      <c r="J129" s="27" t="inlineStr"/>
      <c r="K129" s="27" t="inlineStr"/>
    </row>
    <row r="130">
      <c r="A130" s="27" t="inlineStr"/>
      <c r="B130" s="27" t="inlineStr"/>
      <c r="C130" s="27" t="inlineStr"/>
      <c r="D130" s="27" t="inlineStr"/>
      <c r="E130" s="36" t="inlineStr"/>
      <c r="F130" s="27" t="inlineStr"/>
      <c r="G130" s="27" t="inlineStr"/>
      <c r="H130" s="27" t="inlineStr"/>
      <c r="I130" s="36" t="inlineStr"/>
      <c r="J130" s="27" t="inlineStr"/>
      <c r="K130" s="27" t="inlineStr"/>
    </row>
    <row r="131">
      <c r="A131" s="27" t="inlineStr"/>
      <c r="B131" s="27" t="inlineStr"/>
      <c r="C131" s="27" t="inlineStr"/>
      <c r="D131" s="27" t="inlineStr"/>
      <c r="E131" s="36" t="inlineStr"/>
      <c r="F131" s="27" t="inlineStr"/>
      <c r="G131" s="27" t="inlineStr"/>
      <c r="H131" s="27" t="inlineStr"/>
      <c r="I131" s="36" t="inlineStr"/>
      <c r="J131" s="27" t="inlineStr"/>
      <c r="K131" s="27" t="inlineStr"/>
    </row>
    <row r="132">
      <c r="A132" s="27" t="inlineStr"/>
      <c r="B132" s="27" t="inlineStr"/>
      <c r="C132" s="27" t="inlineStr"/>
      <c r="D132" s="27" t="inlineStr"/>
      <c r="E132" s="36" t="inlineStr"/>
      <c r="F132" s="27" t="inlineStr"/>
      <c r="G132" s="27" t="inlineStr"/>
      <c r="H132" s="27" t="inlineStr"/>
      <c r="I132" s="36" t="inlineStr"/>
      <c r="J132" s="27" t="inlineStr"/>
      <c r="K132" s="27" t="inlineStr"/>
    </row>
    <row r="133">
      <c r="A133" s="27" t="inlineStr"/>
      <c r="B133" s="27" t="inlineStr"/>
      <c r="C133" s="27" t="inlineStr"/>
      <c r="D133" s="27" t="inlineStr"/>
      <c r="E133" s="36" t="inlineStr"/>
      <c r="F133" s="27" t="inlineStr"/>
      <c r="G133" s="27" t="inlineStr"/>
      <c r="H133" s="27" t="inlineStr"/>
      <c r="I133" s="36" t="inlineStr"/>
      <c r="J133" s="27" t="inlineStr"/>
      <c r="K133" s="27" t="inlineStr"/>
    </row>
    <row r="134">
      <c r="A134" s="27" t="inlineStr"/>
      <c r="B134" s="27" t="inlineStr"/>
      <c r="C134" s="27" t="inlineStr"/>
      <c r="D134" s="27" t="inlineStr"/>
      <c r="E134" s="36" t="inlineStr"/>
      <c r="F134" s="27" t="inlineStr"/>
      <c r="G134" s="27" t="inlineStr"/>
      <c r="H134" s="27" t="inlineStr"/>
      <c r="I134" s="36" t="inlineStr"/>
      <c r="J134" s="27" t="inlineStr"/>
      <c r="K134" s="27" t="inlineStr"/>
    </row>
    <row r="135">
      <c r="A135" s="27" t="inlineStr"/>
      <c r="B135" s="27" t="inlineStr"/>
      <c r="C135" s="27" t="inlineStr"/>
      <c r="D135" s="27" t="inlineStr"/>
      <c r="E135" s="36" t="inlineStr"/>
      <c r="F135" s="27" t="inlineStr"/>
      <c r="G135" s="27" t="inlineStr"/>
      <c r="H135" s="27" t="inlineStr"/>
      <c r="I135" s="36" t="inlineStr"/>
      <c r="J135" s="27" t="inlineStr"/>
      <c r="K135" s="27" t="inlineStr"/>
    </row>
    <row r="136">
      <c r="A136" s="27" t="inlineStr"/>
      <c r="B136" s="27" t="inlineStr"/>
      <c r="C136" s="27" t="inlineStr"/>
      <c r="D136" s="27" t="inlineStr"/>
      <c r="E136" s="36" t="inlineStr"/>
      <c r="F136" s="27" t="inlineStr"/>
      <c r="G136" s="27" t="inlineStr"/>
      <c r="H136" s="27" t="inlineStr"/>
      <c r="I136" s="36" t="inlineStr"/>
      <c r="J136" s="27" t="inlineStr"/>
      <c r="K136" s="27" t="inlineStr"/>
    </row>
    <row r="137">
      <c r="A137" s="27" t="inlineStr"/>
      <c r="B137" s="27" t="inlineStr"/>
      <c r="C137" s="27" t="inlineStr"/>
      <c r="D137" s="27" t="inlineStr"/>
      <c r="E137" s="36" t="inlineStr"/>
      <c r="F137" s="27" t="inlineStr"/>
      <c r="G137" s="27" t="inlineStr"/>
      <c r="H137" s="27" t="inlineStr"/>
      <c r="I137" s="36" t="inlineStr"/>
      <c r="J137" s="27" t="inlineStr"/>
      <c r="K137" s="27" t="inlineStr"/>
    </row>
    <row r="138">
      <c r="A138" s="27" t="inlineStr"/>
      <c r="B138" s="27" t="inlineStr"/>
      <c r="C138" s="27" t="inlineStr"/>
      <c r="D138" s="27" t="inlineStr"/>
      <c r="E138" s="36" t="inlineStr"/>
      <c r="F138" s="27" t="inlineStr"/>
      <c r="G138" s="27" t="inlineStr"/>
      <c r="H138" s="27" t="inlineStr"/>
      <c r="I138" s="36" t="inlineStr"/>
      <c r="J138" s="27" t="inlineStr"/>
      <c r="K138" s="27" t="inlineStr"/>
    </row>
    <row r="139">
      <c r="A139" s="27" t="inlineStr"/>
      <c r="B139" s="27" t="inlineStr"/>
      <c r="C139" s="27" t="inlineStr"/>
      <c r="D139" s="27" t="inlineStr"/>
      <c r="E139" s="36" t="inlineStr"/>
      <c r="F139" s="27" t="inlineStr"/>
      <c r="G139" s="27" t="inlineStr"/>
      <c r="H139" s="27" t="inlineStr"/>
      <c r="I139" s="36" t="inlineStr"/>
      <c r="J139" s="27" t="inlineStr"/>
      <c r="K139" s="27" t="inlineStr"/>
    </row>
    <row r="140">
      <c r="A140" s="27" t="inlineStr"/>
      <c r="B140" s="27" t="inlineStr"/>
      <c r="C140" s="27" t="inlineStr"/>
      <c r="D140" s="27" t="inlineStr"/>
      <c r="E140" s="36" t="inlineStr"/>
      <c r="F140" s="27" t="inlineStr"/>
      <c r="G140" s="27" t="inlineStr"/>
      <c r="H140" s="27" t="inlineStr"/>
      <c r="I140" s="36" t="inlineStr"/>
      <c r="J140" s="27" t="inlineStr"/>
      <c r="K140" s="27" t="inlineStr"/>
    </row>
    <row r="141">
      <c r="A141" s="27" t="inlineStr"/>
      <c r="B141" s="27" t="inlineStr"/>
      <c r="C141" s="27" t="inlineStr"/>
      <c r="D141" s="27" t="inlineStr"/>
      <c r="E141" s="36" t="inlineStr"/>
      <c r="F141" s="27" t="inlineStr"/>
      <c r="G141" s="27" t="inlineStr"/>
      <c r="H141" s="27" t="inlineStr"/>
      <c r="I141" s="36" t="inlineStr"/>
      <c r="J141" s="27" t="inlineStr"/>
      <c r="K141" s="27" t="inlineStr"/>
    </row>
    <row r="142">
      <c r="A142" s="27" t="inlineStr"/>
      <c r="B142" s="27" t="inlineStr"/>
      <c r="C142" s="27" t="inlineStr"/>
      <c r="D142" s="27" t="inlineStr"/>
      <c r="E142" s="36" t="inlineStr"/>
      <c r="F142" s="27" t="inlineStr"/>
      <c r="G142" s="27" t="inlineStr"/>
      <c r="H142" s="27" t="inlineStr"/>
      <c r="I142" s="36" t="inlineStr"/>
      <c r="J142" s="27" t="inlineStr"/>
      <c r="K142" s="27" t="inlineStr"/>
    </row>
    <row r="143">
      <c r="A143" s="27" t="inlineStr"/>
      <c r="B143" s="27" t="inlineStr"/>
      <c r="C143" s="27" t="inlineStr"/>
      <c r="D143" s="27" t="inlineStr"/>
      <c r="E143" s="36" t="inlineStr"/>
      <c r="F143" s="27" t="inlineStr"/>
      <c r="G143" s="27" t="inlineStr"/>
      <c r="H143" s="27" t="inlineStr"/>
      <c r="I143" s="36" t="inlineStr"/>
      <c r="J143" s="27" t="inlineStr"/>
      <c r="K143" s="27" t="inlineStr"/>
    </row>
    <row r="144">
      <c r="A144" s="27" t="inlineStr"/>
      <c r="B144" s="27" t="inlineStr"/>
      <c r="C144" s="27" t="inlineStr"/>
      <c r="D144" s="27" t="inlineStr"/>
      <c r="E144" s="36" t="inlineStr"/>
      <c r="F144" s="27" t="inlineStr"/>
      <c r="G144" s="27" t="inlineStr"/>
      <c r="H144" s="27" t="inlineStr"/>
      <c r="I144" s="36" t="inlineStr"/>
      <c r="J144" s="27" t="inlineStr"/>
      <c r="K144" s="27" t="inlineStr"/>
    </row>
    <row r="145">
      <c r="A145" s="27" t="inlineStr"/>
      <c r="B145" s="27" t="inlineStr"/>
      <c r="C145" s="27" t="inlineStr"/>
      <c r="D145" s="27" t="inlineStr"/>
      <c r="E145" s="36" t="inlineStr"/>
      <c r="F145" s="27" t="inlineStr"/>
      <c r="G145" s="27" t="inlineStr"/>
      <c r="H145" s="27" t="inlineStr"/>
      <c r="I145" s="36" t="inlineStr"/>
      <c r="J145" s="27" t="inlineStr"/>
      <c r="K145" s="27" t="inlineStr"/>
    </row>
    <row r="146">
      <c r="A146" s="27" t="inlineStr"/>
      <c r="B146" s="27" t="inlineStr"/>
      <c r="C146" s="27" t="inlineStr"/>
      <c r="D146" s="27" t="inlineStr"/>
      <c r="E146" s="36" t="inlineStr"/>
      <c r="F146" s="27" t="inlineStr"/>
      <c r="G146" s="27" t="inlineStr"/>
      <c r="H146" s="27" t="inlineStr"/>
      <c r="I146" s="36" t="inlineStr"/>
      <c r="J146" s="27" t="inlineStr"/>
      <c r="K146" s="27" t="inlineStr"/>
    </row>
    <row r="147">
      <c r="A147" s="27" t="inlineStr"/>
      <c r="B147" s="27" t="inlineStr"/>
      <c r="C147" s="27" t="inlineStr"/>
      <c r="D147" s="27" t="inlineStr"/>
      <c r="E147" s="36" t="inlineStr"/>
      <c r="F147" s="27" t="inlineStr"/>
      <c r="G147" s="27" t="inlineStr"/>
      <c r="H147" s="27" t="inlineStr"/>
      <c r="I147" s="36" t="inlineStr"/>
      <c r="J147" s="27" t="inlineStr"/>
      <c r="K147" s="27" t="inlineStr"/>
    </row>
    <row r="148">
      <c r="A148" s="27" t="inlineStr"/>
      <c r="B148" s="27" t="inlineStr"/>
      <c r="C148" s="27" t="inlineStr"/>
      <c r="D148" s="27" t="inlineStr"/>
      <c r="E148" s="36" t="inlineStr"/>
      <c r="F148" s="27" t="inlineStr"/>
      <c r="G148" s="27" t="inlineStr"/>
      <c r="H148" s="27" t="inlineStr"/>
      <c r="I148" s="36" t="inlineStr"/>
      <c r="J148" s="27" t="inlineStr"/>
      <c r="K148" s="27" t="inlineStr"/>
    </row>
    <row r="149">
      <c r="A149" s="27" t="inlineStr"/>
      <c r="B149" s="27" t="inlineStr"/>
      <c r="C149" s="27" t="inlineStr"/>
      <c r="D149" s="27" t="inlineStr"/>
      <c r="E149" s="36" t="inlineStr"/>
      <c r="F149" s="27" t="inlineStr"/>
      <c r="G149" s="27" t="inlineStr"/>
      <c r="H149" s="27" t="inlineStr"/>
      <c r="I149" s="36" t="inlineStr"/>
      <c r="J149" s="27" t="inlineStr"/>
      <c r="K149" s="27" t="inlineStr"/>
    </row>
    <row r="150">
      <c r="A150" s="27" t="inlineStr"/>
      <c r="B150" s="27" t="inlineStr"/>
      <c r="C150" s="27" t="inlineStr"/>
      <c r="D150" s="27" t="inlineStr"/>
      <c r="E150" s="36" t="inlineStr"/>
      <c r="F150" s="27" t="inlineStr"/>
      <c r="G150" s="27" t="inlineStr"/>
      <c r="H150" s="27" t="inlineStr"/>
      <c r="I150" s="36" t="inlineStr"/>
      <c r="J150" s="27" t="inlineStr"/>
      <c r="K150" s="27" t="inlineStr"/>
    </row>
    <row r="151">
      <c r="A151" s="27" t="inlineStr"/>
      <c r="B151" s="27" t="inlineStr"/>
      <c r="C151" s="27" t="inlineStr"/>
      <c r="D151" s="27" t="inlineStr"/>
      <c r="E151" s="36" t="inlineStr"/>
      <c r="F151" s="27" t="inlineStr"/>
      <c r="G151" s="27" t="inlineStr"/>
      <c r="H151" s="27" t="inlineStr"/>
      <c r="I151" s="36" t="inlineStr"/>
      <c r="J151" s="27" t="inlineStr"/>
      <c r="K151" s="27" t="inlineStr"/>
    </row>
    <row r="152">
      <c r="A152" s="27" t="inlineStr"/>
      <c r="B152" s="27" t="inlineStr"/>
      <c r="C152" s="27" t="inlineStr"/>
      <c r="D152" s="27" t="inlineStr"/>
      <c r="E152" s="36" t="inlineStr"/>
      <c r="F152" s="27" t="inlineStr"/>
      <c r="G152" s="27" t="inlineStr"/>
      <c r="H152" s="27" t="inlineStr"/>
      <c r="I152" s="36" t="inlineStr"/>
      <c r="J152" s="27" t="inlineStr"/>
      <c r="K152" s="27" t="inlineStr"/>
    </row>
    <row r="153">
      <c r="A153" s="27" t="inlineStr"/>
      <c r="B153" s="27" t="inlineStr"/>
      <c r="C153" s="27" t="inlineStr"/>
      <c r="D153" s="27" t="inlineStr"/>
      <c r="E153" s="36" t="inlineStr"/>
      <c r="F153" s="27" t="inlineStr"/>
      <c r="G153" s="27" t="inlineStr"/>
      <c r="H153" s="27" t="inlineStr"/>
      <c r="I153" s="36" t="inlineStr"/>
      <c r="J153" s="27" t="inlineStr"/>
      <c r="K153" s="27" t="inlineStr"/>
    </row>
  </sheetData>
  <autoFilter ref="A3:K153"/>
  <mergeCells count="1">
    <mergeCell ref="A1:H1"/>
  </mergeCells>
  <conditionalFormatting sqref="A4:K153">
    <cfRule type="expression" priority="1" dxfId="1">
      <formula>$J4="Completed"</formula>
    </cfRule>
    <cfRule type="expression" priority="2" dxfId="2">
      <formula>OR($J4="Delayed",$J4="Blocked",$J4="Open")</formula>
    </cfRule>
    <cfRule type="expression" priority="3" dxfId="3">
      <formula>OR($J4="At Risk",$J4="In Progress")</formula>
    </cfRule>
  </conditionalFormatting>
  <dataValidations count="8">
    <dataValidation sqref="B4:B15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D4:D153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  <dataValidation sqref="H4:H153" showDropDown="0" showInputMessage="0" showErrorMessage="1" allowBlank="1" errorTitle="Invalid selection" error="Select a value from the dropdown list." promptTitle="Dropdown" prompt="Choose from the list." type="list">
      <formula1>='Lists'!$Q$2:$Q$5</formula1>
    </dataValidation>
    <dataValidation sqref="J4:J153" showDropDown="0" showInputMessage="0" showErrorMessage="1" allowBlank="1" errorTitle="Invalid selection" error="Select a value from the dropdown list." promptTitle="Dropdown" prompt="Choose from the list." type="list">
      <formula1>='Lists'!$H$2:$H$7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='Lists'!$Z$2:$Z$10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='Lists'!$Q$2:$Q$5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='Lists'!$I$2:$I$8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25" t="inlineStr">
        <is>
          <t>UAT Testing Tracker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Module</t>
        </is>
      </c>
      <c r="E2" s="48" t="inlineStr"/>
      <c r="F2" s="49" t="inlineStr">
        <is>
          <t>Tester</t>
        </is>
      </c>
      <c r="G2" s="48" t="inlineStr"/>
      <c r="H2" s="49" t="inlineStr">
        <is>
          <t>Result</t>
        </is>
      </c>
      <c r="I2" s="48" t="inlineStr"/>
    </row>
    <row r="3">
      <c r="A3" s="26" t="inlineStr">
        <is>
          <t>Test Case ID</t>
        </is>
      </c>
      <c r="B3" s="47" t="inlineStr">
        <is>
          <t>Project ID</t>
        </is>
      </c>
      <c r="C3" s="47" t="inlineStr">
        <is>
          <t>Module</t>
        </is>
      </c>
      <c r="D3" s="26" t="inlineStr">
        <is>
          <t>Test Scenario</t>
        </is>
      </c>
      <c r="E3" s="47" t="inlineStr">
        <is>
          <t>Tester</t>
        </is>
      </c>
      <c r="F3" s="26" t="inlineStr">
        <is>
          <t>Test Date</t>
        </is>
      </c>
      <c r="G3" s="47" t="inlineStr">
        <is>
          <t>Result</t>
        </is>
      </c>
      <c r="H3" s="26" t="inlineStr">
        <is>
          <t>Defect ID</t>
        </is>
      </c>
      <c r="I3" s="47" t="inlineStr">
        <is>
          <t>Retest Status</t>
        </is>
      </c>
      <c r="J3" s="26" t="inlineStr">
        <is>
          <t>Remarks</t>
        </is>
      </c>
    </row>
    <row r="4">
      <c r="A4" s="27" t="inlineStr">
        <is>
          <t>TC-001</t>
        </is>
      </c>
      <c r="B4" s="27" t="inlineStr">
        <is>
          <t>PRJ-001</t>
        </is>
      </c>
      <c r="C4" s="27" t="inlineStr">
        <is>
          <t>Payments</t>
        </is>
      </c>
      <c r="D4" s="27" t="inlineStr">
        <is>
          <t>Verify successful UPI payment</t>
        </is>
      </c>
      <c r="E4" s="27" t="inlineStr">
        <is>
          <t>QA Analyst 1</t>
        </is>
      </c>
      <c r="F4" s="36" t="n">
        <v>46175</v>
      </c>
      <c r="G4" s="27" t="inlineStr">
        <is>
          <t>Fail</t>
        </is>
      </c>
      <c r="H4" s="27" t="inlineStr">
        <is>
          <t>ISS-001</t>
        </is>
      </c>
      <c r="I4" s="27" t="inlineStr">
        <is>
          <t>Pending</t>
        </is>
      </c>
      <c r="J4" s="27" t="inlineStr">
        <is>
          <t>Timeout observed</t>
        </is>
      </c>
    </row>
    <row r="5">
      <c r="A5" s="27" t="inlineStr">
        <is>
          <t>TC-002</t>
        </is>
      </c>
      <c r="B5" s="27" t="inlineStr">
        <is>
          <t>PRJ-003</t>
        </is>
      </c>
      <c r="C5" s="27" t="inlineStr">
        <is>
          <t>Reports</t>
        </is>
      </c>
      <c r="D5" s="27" t="inlineStr">
        <is>
          <t>Generate monthly compliance report</t>
        </is>
      </c>
      <c r="E5" s="27" t="inlineStr">
        <is>
          <t>QA Analyst 2</t>
        </is>
      </c>
      <c r="F5" s="36" t="n">
        <v>46130</v>
      </c>
      <c r="G5" s="27" t="inlineStr">
        <is>
          <t>Pass</t>
        </is>
      </c>
      <c r="H5" s="27" t="inlineStr"/>
      <c r="I5" s="27" t="inlineStr">
        <is>
          <t>Not Required</t>
        </is>
      </c>
      <c r="J5" s="27" t="inlineStr"/>
    </row>
    <row r="6">
      <c r="A6" s="27" t="inlineStr"/>
      <c r="B6" s="27" t="inlineStr"/>
      <c r="C6" s="27" t="inlineStr"/>
      <c r="D6" s="27" t="inlineStr"/>
      <c r="E6" s="27" t="inlineStr"/>
      <c r="F6" s="36" t="inlineStr"/>
      <c r="G6" s="27" t="inlineStr"/>
      <c r="H6" s="27" t="inlineStr"/>
      <c r="I6" s="27" t="inlineStr"/>
      <c r="J6" s="27" t="inlineStr"/>
    </row>
    <row r="7">
      <c r="A7" s="27" t="inlineStr"/>
      <c r="B7" s="27" t="inlineStr"/>
      <c r="C7" s="27" t="inlineStr"/>
      <c r="D7" s="27" t="inlineStr"/>
      <c r="E7" s="27" t="inlineStr"/>
      <c r="F7" s="36" t="inlineStr"/>
      <c r="G7" s="27" t="inlineStr"/>
      <c r="H7" s="27" t="inlineStr"/>
      <c r="I7" s="27" t="inlineStr"/>
      <c r="J7" s="27" t="inlineStr"/>
    </row>
    <row r="8">
      <c r="A8" s="27" t="inlineStr"/>
      <c r="B8" s="27" t="inlineStr"/>
      <c r="C8" s="27" t="inlineStr"/>
      <c r="D8" s="27" t="inlineStr"/>
      <c r="E8" s="27" t="inlineStr"/>
      <c r="F8" s="36" t="inlineStr"/>
      <c r="G8" s="27" t="inlineStr"/>
      <c r="H8" s="27" t="inlineStr"/>
      <c r="I8" s="27" t="inlineStr"/>
      <c r="J8" s="27" t="inlineStr"/>
    </row>
    <row r="9">
      <c r="A9" s="27" t="inlineStr"/>
      <c r="B9" s="27" t="inlineStr"/>
      <c r="C9" s="27" t="inlineStr"/>
      <c r="D9" s="27" t="inlineStr"/>
      <c r="E9" s="27" t="inlineStr"/>
      <c r="F9" s="36" t="inlineStr"/>
      <c r="G9" s="27" t="inlineStr"/>
      <c r="H9" s="27" t="inlineStr"/>
      <c r="I9" s="27" t="inlineStr"/>
      <c r="J9" s="27" t="inlineStr"/>
    </row>
    <row r="10">
      <c r="A10" s="27" t="inlineStr"/>
      <c r="B10" s="27" t="inlineStr"/>
      <c r="C10" s="27" t="inlineStr"/>
      <c r="D10" s="27" t="inlineStr"/>
      <c r="E10" s="27" t="inlineStr"/>
      <c r="F10" s="36" t="inlineStr"/>
      <c r="G10" s="27" t="inlineStr"/>
      <c r="H10" s="27" t="inlineStr"/>
      <c r="I10" s="27" t="inlineStr"/>
      <c r="J10" s="27" t="inlineStr"/>
    </row>
    <row r="11">
      <c r="A11" s="27" t="inlineStr"/>
      <c r="B11" s="27" t="inlineStr"/>
      <c r="C11" s="27" t="inlineStr"/>
      <c r="D11" s="27" t="inlineStr"/>
      <c r="E11" s="27" t="inlineStr"/>
      <c r="F11" s="36" t="inlineStr"/>
      <c r="G11" s="27" t="inlineStr"/>
      <c r="H11" s="27" t="inlineStr"/>
      <c r="I11" s="27" t="inlineStr"/>
      <c r="J11" s="27" t="inlineStr"/>
    </row>
    <row r="12">
      <c r="A12" s="27" t="inlineStr"/>
      <c r="B12" s="27" t="inlineStr"/>
      <c r="C12" s="27" t="inlineStr"/>
      <c r="D12" s="27" t="inlineStr"/>
      <c r="E12" s="27" t="inlineStr"/>
      <c r="F12" s="36" t="inlineStr"/>
      <c r="G12" s="27" t="inlineStr"/>
      <c r="H12" s="27" t="inlineStr"/>
      <c r="I12" s="27" t="inlineStr"/>
      <c r="J12" s="27" t="inlineStr"/>
    </row>
    <row r="13">
      <c r="A13" s="27" t="inlineStr"/>
      <c r="B13" s="27" t="inlineStr"/>
      <c r="C13" s="27" t="inlineStr"/>
      <c r="D13" s="27" t="inlineStr"/>
      <c r="E13" s="27" t="inlineStr"/>
      <c r="F13" s="36" t="inlineStr"/>
      <c r="G13" s="27" t="inlineStr"/>
      <c r="H13" s="27" t="inlineStr"/>
      <c r="I13" s="27" t="inlineStr"/>
      <c r="J13" s="27" t="inlineStr"/>
    </row>
    <row r="14">
      <c r="A14" s="27" t="inlineStr"/>
      <c r="B14" s="27" t="inlineStr"/>
      <c r="C14" s="27" t="inlineStr"/>
      <c r="D14" s="27" t="inlineStr"/>
      <c r="E14" s="27" t="inlineStr"/>
      <c r="F14" s="36" t="inlineStr"/>
      <c r="G14" s="27" t="inlineStr"/>
      <c r="H14" s="27" t="inlineStr"/>
      <c r="I14" s="27" t="inlineStr"/>
      <c r="J14" s="27" t="inlineStr"/>
    </row>
    <row r="15">
      <c r="A15" s="27" t="inlineStr"/>
      <c r="B15" s="27" t="inlineStr"/>
      <c r="C15" s="27" t="inlineStr"/>
      <c r="D15" s="27" t="inlineStr"/>
      <c r="E15" s="27" t="inlineStr"/>
      <c r="F15" s="36" t="inlineStr"/>
      <c r="G15" s="27" t="inlineStr"/>
      <c r="H15" s="27" t="inlineStr"/>
      <c r="I15" s="27" t="inlineStr"/>
      <c r="J15" s="27" t="inlineStr"/>
    </row>
    <row r="16">
      <c r="A16" s="27" t="inlineStr"/>
      <c r="B16" s="27" t="inlineStr"/>
      <c r="C16" s="27" t="inlineStr"/>
      <c r="D16" s="27" t="inlineStr"/>
      <c r="E16" s="27" t="inlineStr"/>
      <c r="F16" s="36" t="inlineStr"/>
      <c r="G16" s="27" t="inlineStr"/>
      <c r="H16" s="27" t="inlineStr"/>
      <c r="I16" s="27" t="inlineStr"/>
      <c r="J16" s="27" t="inlineStr"/>
    </row>
    <row r="17">
      <c r="A17" s="27" t="inlineStr"/>
      <c r="B17" s="27" t="inlineStr"/>
      <c r="C17" s="27" t="inlineStr"/>
      <c r="D17" s="27" t="inlineStr"/>
      <c r="E17" s="27" t="inlineStr"/>
      <c r="F17" s="36" t="inlineStr"/>
      <c r="G17" s="27" t="inlineStr"/>
      <c r="H17" s="27" t="inlineStr"/>
      <c r="I17" s="27" t="inlineStr"/>
      <c r="J17" s="27" t="inlineStr"/>
    </row>
    <row r="18">
      <c r="A18" s="27" t="inlineStr"/>
      <c r="B18" s="27" t="inlineStr"/>
      <c r="C18" s="27" t="inlineStr"/>
      <c r="D18" s="27" t="inlineStr"/>
      <c r="E18" s="27" t="inlineStr"/>
      <c r="F18" s="36" t="inlineStr"/>
      <c r="G18" s="27" t="inlineStr"/>
      <c r="H18" s="27" t="inlineStr"/>
      <c r="I18" s="27" t="inlineStr"/>
      <c r="J18" s="27" t="inlineStr"/>
    </row>
    <row r="19">
      <c r="A19" s="27" t="inlineStr"/>
      <c r="B19" s="27" t="inlineStr"/>
      <c r="C19" s="27" t="inlineStr"/>
      <c r="D19" s="27" t="inlineStr"/>
      <c r="E19" s="27" t="inlineStr"/>
      <c r="F19" s="36" t="inlineStr"/>
      <c r="G19" s="27" t="inlineStr"/>
      <c r="H19" s="27" t="inlineStr"/>
      <c r="I19" s="27" t="inlineStr"/>
      <c r="J19" s="27" t="inlineStr"/>
    </row>
    <row r="20">
      <c r="A20" s="27" t="inlineStr"/>
      <c r="B20" s="27" t="inlineStr"/>
      <c r="C20" s="27" t="inlineStr"/>
      <c r="D20" s="27" t="inlineStr"/>
      <c r="E20" s="27" t="inlineStr"/>
      <c r="F20" s="36" t="inlineStr"/>
      <c r="G20" s="27" t="inlineStr"/>
      <c r="H20" s="27" t="inlineStr"/>
      <c r="I20" s="27" t="inlineStr"/>
      <c r="J20" s="27" t="inlineStr"/>
    </row>
    <row r="21">
      <c r="A21" s="27" t="inlineStr"/>
      <c r="B21" s="27" t="inlineStr"/>
      <c r="C21" s="27" t="inlineStr"/>
      <c r="D21" s="27" t="inlineStr"/>
      <c r="E21" s="27" t="inlineStr"/>
      <c r="F21" s="36" t="inlineStr"/>
      <c r="G21" s="27" t="inlineStr"/>
      <c r="H21" s="27" t="inlineStr"/>
      <c r="I21" s="27" t="inlineStr"/>
      <c r="J21" s="27" t="inlineStr"/>
    </row>
    <row r="22">
      <c r="A22" s="27" t="inlineStr"/>
      <c r="B22" s="27" t="inlineStr"/>
      <c r="C22" s="27" t="inlineStr"/>
      <c r="D22" s="27" t="inlineStr"/>
      <c r="E22" s="27" t="inlineStr"/>
      <c r="F22" s="36" t="inlineStr"/>
      <c r="G22" s="27" t="inlineStr"/>
      <c r="H22" s="27" t="inlineStr"/>
      <c r="I22" s="27" t="inlineStr"/>
      <c r="J22" s="27" t="inlineStr"/>
    </row>
    <row r="23">
      <c r="A23" s="27" t="inlineStr"/>
      <c r="B23" s="27" t="inlineStr"/>
      <c r="C23" s="27" t="inlineStr"/>
      <c r="D23" s="27" t="inlineStr"/>
      <c r="E23" s="27" t="inlineStr"/>
      <c r="F23" s="36" t="inlineStr"/>
      <c r="G23" s="27" t="inlineStr"/>
      <c r="H23" s="27" t="inlineStr"/>
      <c r="I23" s="27" t="inlineStr"/>
      <c r="J23" s="27" t="inlineStr"/>
    </row>
    <row r="24">
      <c r="A24" s="27" t="inlineStr"/>
      <c r="B24" s="27" t="inlineStr"/>
      <c r="C24" s="27" t="inlineStr"/>
      <c r="D24" s="27" t="inlineStr"/>
      <c r="E24" s="27" t="inlineStr"/>
      <c r="F24" s="36" t="inlineStr"/>
      <c r="G24" s="27" t="inlineStr"/>
      <c r="H24" s="27" t="inlineStr"/>
      <c r="I24" s="27" t="inlineStr"/>
      <c r="J24" s="27" t="inlineStr"/>
    </row>
    <row r="25">
      <c r="A25" s="27" t="inlineStr"/>
      <c r="B25" s="27" t="inlineStr"/>
      <c r="C25" s="27" t="inlineStr"/>
      <c r="D25" s="27" t="inlineStr"/>
      <c r="E25" s="27" t="inlineStr"/>
      <c r="F25" s="36" t="inlineStr"/>
      <c r="G25" s="27" t="inlineStr"/>
      <c r="H25" s="27" t="inlineStr"/>
      <c r="I25" s="27" t="inlineStr"/>
      <c r="J25" s="27" t="inlineStr"/>
    </row>
    <row r="26">
      <c r="A26" s="27" t="inlineStr"/>
      <c r="B26" s="27" t="inlineStr"/>
      <c r="C26" s="27" t="inlineStr"/>
      <c r="D26" s="27" t="inlineStr"/>
      <c r="E26" s="27" t="inlineStr"/>
      <c r="F26" s="36" t="inlineStr"/>
      <c r="G26" s="27" t="inlineStr"/>
      <c r="H26" s="27" t="inlineStr"/>
      <c r="I26" s="27" t="inlineStr"/>
      <c r="J26" s="27" t="inlineStr"/>
    </row>
    <row r="27">
      <c r="A27" s="27" t="inlineStr"/>
      <c r="B27" s="27" t="inlineStr"/>
      <c r="C27" s="27" t="inlineStr"/>
      <c r="D27" s="27" t="inlineStr"/>
      <c r="E27" s="27" t="inlineStr"/>
      <c r="F27" s="36" t="inlineStr"/>
      <c r="G27" s="27" t="inlineStr"/>
      <c r="H27" s="27" t="inlineStr"/>
      <c r="I27" s="27" t="inlineStr"/>
      <c r="J27" s="27" t="inlineStr"/>
    </row>
    <row r="28">
      <c r="A28" s="27" t="inlineStr"/>
      <c r="B28" s="27" t="inlineStr"/>
      <c r="C28" s="27" t="inlineStr"/>
      <c r="D28" s="27" t="inlineStr"/>
      <c r="E28" s="27" t="inlineStr"/>
      <c r="F28" s="36" t="inlineStr"/>
      <c r="G28" s="27" t="inlineStr"/>
      <c r="H28" s="27" t="inlineStr"/>
      <c r="I28" s="27" t="inlineStr"/>
      <c r="J28" s="27" t="inlineStr"/>
    </row>
    <row r="29">
      <c r="A29" s="27" t="inlineStr"/>
      <c r="B29" s="27" t="inlineStr"/>
      <c r="C29" s="27" t="inlineStr"/>
      <c r="D29" s="27" t="inlineStr"/>
      <c r="E29" s="27" t="inlineStr"/>
      <c r="F29" s="36" t="inlineStr"/>
      <c r="G29" s="27" t="inlineStr"/>
      <c r="H29" s="27" t="inlineStr"/>
      <c r="I29" s="27" t="inlineStr"/>
      <c r="J29" s="27" t="inlineStr"/>
    </row>
    <row r="30">
      <c r="A30" s="27" t="inlineStr"/>
      <c r="B30" s="27" t="inlineStr"/>
      <c r="C30" s="27" t="inlineStr"/>
      <c r="D30" s="27" t="inlineStr"/>
      <c r="E30" s="27" t="inlineStr"/>
      <c r="F30" s="36" t="inlineStr"/>
      <c r="G30" s="27" t="inlineStr"/>
      <c r="H30" s="27" t="inlineStr"/>
      <c r="I30" s="27" t="inlineStr"/>
      <c r="J30" s="27" t="inlineStr"/>
    </row>
    <row r="31">
      <c r="A31" s="27" t="inlineStr"/>
      <c r="B31" s="27" t="inlineStr"/>
      <c r="C31" s="27" t="inlineStr"/>
      <c r="D31" s="27" t="inlineStr"/>
      <c r="E31" s="27" t="inlineStr"/>
      <c r="F31" s="36" t="inlineStr"/>
      <c r="G31" s="27" t="inlineStr"/>
      <c r="H31" s="27" t="inlineStr"/>
      <c r="I31" s="27" t="inlineStr"/>
      <c r="J31" s="27" t="inlineStr"/>
    </row>
    <row r="32">
      <c r="A32" s="27" t="inlineStr"/>
      <c r="B32" s="27" t="inlineStr"/>
      <c r="C32" s="27" t="inlineStr"/>
      <c r="D32" s="27" t="inlineStr"/>
      <c r="E32" s="27" t="inlineStr"/>
      <c r="F32" s="36" t="inlineStr"/>
      <c r="G32" s="27" t="inlineStr"/>
      <c r="H32" s="27" t="inlineStr"/>
      <c r="I32" s="27" t="inlineStr"/>
      <c r="J32" s="27" t="inlineStr"/>
    </row>
    <row r="33">
      <c r="A33" s="27" t="inlineStr"/>
      <c r="B33" s="27" t="inlineStr"/>
      <c r="C33" s="27" t="inlineStr"/>
      <c r="D33" s="27" t="inlineStr"/>
      <c r="E33" s="27" t="inlineStr"/>
      <c r="F33" s="36" t="inlineStr"/>
      <c r="G33" s="27" t="inlineStr"/>
      <c r="H33" s="27" t="inlineStr"/>
      <c r="I33" s="27" t="inlineStr"/>
      <c r="J33" s="27" t="inlineStr"/>
    </row>
    <row r="34">
      <c r="A34" s="27" t="inlineStr"/>
      <c r="B34" s="27" t="inlineStr"/>
      <c r="C34" s="27" t="inlineStr"/>
      <c r="D34" s="27" t="inlineStr"/>
      <c r="E34" s="27" t="inlineStr"/>
      <c r="F34" s="36" t="inlineStr"/>
      <c r="G34" s="27" t="inlineStr"/>
      <c r="H34" s="27" t="inlineStr"/>
      <c r="I34" s="27" t="inlineStr"/>
      <c r="J34" s="27" t="inlineStr"/>
    </row>
    <row r="35">
      <c r="A35" s="27" t="inlineStr"/>
      <c r="B35" s="27" t="inlineStr"/>
      <c r="C35" s="27" t="inlineStr"/>
      <c r="D35" s="27" t="inlineStr"/>
      <c r="E35" s="27" t="inlineStr"/>
      <c r="F35" s="36" t="inlineStr"/>
      <c r="G35" s="27" t="inlineStr"/>
      <c r="H35" s="27" t="inlineStr"/>
      <c r="I35" s="27" t="inlineStr"/>
      <c r="J35" s="27" t="inlineStr"/>
    </row>
    <row r="36">
      <c r="A36" s="27" t="inlineStr"/>
      <c r="B36" s="27" t="inlineStr"/>
      <c r="C36" s="27" t="inlineStr"/>
      <c r="D36" s="27" t="inlineStr"/>
      <c r="E36" s="27" t="inlineStr"/>
      <c r="F36" s="36" t="inlineStr"/>
      <c r="G36" s="27" t="inlineStr"/>
      <c r="H36" s="27" t="inlineStr"/>
      <c r="I36" s="27" t="inlineStr"/>
      <c r="J36" s="27" t="inlineStr"/>
    </row>
    <row r="37">
      <c r="A37" s="27" t="inlineStr"/>
      <c r="B37" s="27" t="inlineStr"/>
      <c r="C37" s="27" t="inlineStr"/>
      <c r="D37" s="27" t="inlineStr"/>
      <c r="E37" s="27" t="inlineStr"/>
      <c r="F37" s="36" t="inlineStr"/>
      <c r="G37" s="27" t="inlineStr"/>
      <c r="H37" s="27" t="inlineStr"/>
      <c r="I37" s="27" t="inlineStr"/>
      <c r="J37" s="27" t="inlineStr"/>
    </row>
    <row r="38">
      <c r="A38" s="27" t="inlineStr"/>
      <c r="B38" s="27" t="inlineStr"/>
      <c r="C38" s="27" t="inlineStr"/>
      <c r="D38" s="27" t="inlineStr"/>
      <c r="E38" s="27" t="inlineStr"/>
      <c r="F38" s="36" t="inlineStr"/>
      <c r="G38" s="27" t="inlineStr"/>
      <c r="H38" s="27" t="inlineStr"/>
      <c r="I38" s="27" t="inlineStr"/>
      <c r="J38" s="27" t="inlineStr"/>
    </row>
    <row r="39">
      <c r="A39" s="27" t="inlineStr"/>
      <c r="B39" s="27" t="inlineStr"/>
      <c r="C39" s="27" t="inlineStr"/>
      <c r="D39" s="27" t="inlineStr"/>
      <c r="E39" s="27" t="inlineStr"/>
      <c r="F39" s="36" t="inlineStr"/>
      <c r="G39" s="27" t="inlineStr"/>
      <c r="H39" s="27" t="inlineStr"/>
      <c r="I39" s="27" t="inlineStr"/>
      <c r="J39" s="27" t="inlineStr"/>
    </row>
    <row r="40">
      <c r="A40" s="27" t="inlineStr"/>
      <c r="B40" s="27" t="inlineStr"/>
      <c r="C40" s="27" t="inlineStr"/>
      <c r="D40" s="27" t="inlineStr"/>
      <c r="E40" s="27" t="inlineStr"/>
      <c r="F40" s="36" t="inlineStr"/>
      <c r="G40" s="27" t="inlineStr"/>
      <c r="H40" s="27" t="inlineStr"/>
      <c r="I40" s="27" t="inlineStr"/>
      <c r="J40" s="27" t="inlineStr"/>
    </row>
    <row r="41">
      <c r="A41" s="27" t="inlineStr"/>
      <c r="B41" s="27" t="inlineStr"/>
      <c r="C41" s="27" t="inlineStr"/>
      <c r="D41" s="27" t="inlineStr"/>
      <c r="E41" s="27" t="inlineStr"/>
      <c r="F41" s="36" t="inlineStr"/>
      <c r="G41" s="27" t="inlineStr"/>
      <c r="H41" s="27" t="inlineStr"/>
      <c r="I41" s="27" t="inlineStr"/>
      <c r="J41" s="27" t="inlineStr"/>
    </row>
    <row r="42">
      <c r="A42" s="27" t="inlineStr"/>
      <c r="B42" s="27" t="inlineStr"/>
      <c r="C42" s="27" t="inlineStr"/>
      <c r="D42" s="27" t="inlineStr"/>
      <c r="E42" s="27" t="inlineStr"/>
      <c r="F42" s="36" t="inlineStr"/>
      <c r="G42" s="27" t="inlineStr"/>
      <c r="H42" s="27" t="inlineStr"/>
      <c r="I42" s="27" t="inlineStr"/>
      <c r="J42" s="27" t="inlineStr"/>
    </row>
    <row r="43">
      <c r="A43" s="27" t="inlineStr"/>
      <c r="B43" s="27" t="inlineStr"/>
      <c r="C43" s="27" t="inlineStr"/>
      <c r="D43" s="27" t="inlineStr"/>
      <c r="E43" s="27" t="inlineStr"/>
      <c r="F43" s="36" t="inlineStr"/>
      <c r="G43" s="27" t="inlineStr"/>
      <c r="H43" s="27" t="inlineStr"/>
      <c r="I43" s="27" t="inlineStr"/>
      <c r="J43" s="27" t="inlineStr"/>
    </row>
    <row r="44">
      <c r="A44" s="27" t="inlineStr"/>
      <c r="B44" s="27" t="inlineStr"/>
      <c r="C44" s="27" t="inlineStr"/>
      <c r="D44" s="27" t="inlineStr"/>
      <c r="E44" s="27" t="inlineStr"/>
      <c r="F44" s="36" t="inlineStr"/>
      <c r="G44" s="27" t="inlineStr"/>
      <c r="H44" s="27" t="inlineStr"/>
      <c r="I44" s="27" t="inlineStr"/>
      <c r="J44" s="27" t="inlineStr"/>
    </row>
    <row r="45">
      <c r="A45" s="27" t="inlineStr"/>
      <c r="B45" s="27" t="inlineStr"/>
      <c r="C45" s="27" t="inlineStr"/>
      <c r="D45" s="27" t="inlineStr"/>
      <c r="E45" s="27" t="inlineStr"/>
      <c r="F45" s="36" t="inlineStr"/>
      <c r="G45" s="27" t="inlineStr"/>
      <c r="H45" s="27" t="inlineStr"/>
      <c r="I45" s="27" t="inlineStr"/>
      <c r="J45" s="27" t="inlineStr"/>
    </row>
    <row r="46">
      <c r="A46" s="27" t="inlineStr"/>
      <c r="B46" s="27" t="inlineStr"/>
      <c r="C46" s="27" t="inlineStr"/>
      <c r="D46" s="27" t="inlineStr"/>
      <c r="E46" s="27" t="inlineStr"/>
      <c r="F46" s="36" t="inlineStr"/>
      <c r="G46" s="27" t="inlineStr"/>
      <c r="H46" s="27" t="inlineStr"/>
      <c r="I46" s="27" t="inlineStr"/>
      <c r="J46" s="27" t="inlineStr"/>
    </row>
    <row r="47">
      <c r="A47" s="27" t="inlineStr"/>
      <c r="B47" s="27" t="inlineStr"/>
      <c r="C47" s="27" t="inlineStr"/>
      <c r="D47" s="27" t="inlineStr"/>
      <c r="E47" s="27" t="inlineStr"/>
      <c r="F47" s="36" t="inlineStr"/>
      <c r="G47" s="27" t="inlineStr"/>
      <c r="H47" s="27" t="inlineStr"/>
      <c r="I47" s="27" t="inlineStr"/>
      <c r="J47" s="27" t="inlineStr"/>
    </row>
    <row r="48">
      <c r="A48" s="27" t="inlineStr"/>
      <c r="B48" s="27" t="inlineStr"/>
      <c r="C48" s="27" t="inlineStr"/>
      <c r="D48" s="27" t="inlineStr"/>
      <c r="E48" s="27" t="inlineStr"/>
      <c r="F48" s="36" t="inlineStr"/>
      <c r="G48" s="27" t="inlineStr"/>
      <c r="H48" s="27" t="inlineStr"/>
      <c r="I48" s="27" t="inlineStr"/>
      <c r="J48" s="27" t="inlineStr"/>
    </row>
    <row r="49">
      <c r="A49" s="27" t="inlineStr"/>
      <c r="B49" s="27" t="inlineStr"/>
      <c r="C49" s="27" t="inlineStr"/>
      <c r="D49" s="27" t="inlineStr"/>
      <c r="E49" s="27" t="inlineStr"/>
      <c r="F49" s="36" t="inlineStr"/>
      <c r="G49" s="27" t="inlineStr"/>
      <c r="H49" s="27" t="inlineStr"/>
      <c r="I49" s="27" t="inlineStr"/>
      <c r="J49" s="27" t="inlineStr"/>
    </row>
    <row r="50">
      <c r="A50" s="27" t="inlineStr"/>
      <c r="B50" s="27" t="inlineStr"/>
      <c r="C50" s="27" t="inlineStr"/>
      <c r="D50" s="27" t="inlineStr"/>
      <c r="E50" s="27" t="inlineStr"/>
      <c r="F50" s="36" t="inlineStr"/>
      <c r="G50" s="27" t="inlineStr"/>
      <c r="H50" s="27" t="inlineStr"/>
      <c r="I50" s="27" t="inlineStr"/>
      <c r="J50" s="27" t="inlineStr"/>
    </row>
    <row r="51">
      <c r="A51" s="27" t="inlineStr"/>
      <c r="B51" s="27" t="inlineStr"/>
      <c r="C51" s="27" t="inlineStr"/>
      <c r="D51" s="27" t="inlineStr"/>
      <c r="E51" s="27" t="inlineStr"/>
      <c r="F51" s="36" t="inlineStr"/>
      <c r="G51" s="27" t="inlineStr"/>
      <c r="H51" s="27" t="inlineStr"/>
      <c r="I51" s="27" t="inlineStr"/>
      <c r="J51" s="27" t="inlineStr"/>
    </row>
    <row r="52">
      <c r="A52" s="27" t="inlineStr"/>
      <c r="B52" s="27" t="inlineStr"/>
      <c r="C52" s="27" t="inlineStr"/>
      <c r="D52" s="27" t="inlineStr"/>
      <c r="E52" s="27" t="inlineStr"/>
      <c r="F52" s="36" t="inlineStr"/>
      <c r="G52" s="27" t="inlineStr"/>
      <c r="H52" s="27" t="inlineStr"/>
      <c r="I52" s="27" t="inlineStr"/>
      <c r="J52" s="27" t="inlineStr"/>
    </row>
    <row r="53">
      <c r="A53" s="27" t="inlineStr"/>
      <c r="B53" s="27" t="inlineStr"/>
      <c r="C53" s="27" t="inlineStr"/>
      <c r="D53" s="27" t="inlineStr"/>
      <c r="E53" s="27" t="inlineStr"/>
      <c r="F53" s="36" t="inlineStr"/>
      <c r="G53" s="27" t="inlineStr"/>
      <c r="H53" s="27" t="inlineStr"/>
      <c r="I53" s="27" t="inlineStr"/>
      <c r="J53" s="27" t="inlineStr"/>
    </row>
    <row r="54">
      <c r="A54" s="27" t="inlineStr"/>
      <c r="B54" s="27" t="inlineStr"/>
      <c r="C54" s="27" t="inlineStr"/>
      <c r="D54" s="27" t="inlineStr"/>
      <c r="E54" s="27" t="inlineStr"/>
      <c r="F54" s="36" t="inlineStr"/>
      <c r="G54" s="27" t="inlineStr"/>
      <c r="H54" s="27" t="inlineStr"/>
      <c r="I54" s="27" t="inlineStr"/>
      <c r="J54" s="27" t="inlineStr"/>
    </row>
    <row r="55">
      <c r="A55" s="27" t="inlineStr"/>
      <c r="B55" s="27" t="inlineStr"/>
      <c r="C55" s="27" t="inlineStr"/>
      <c r="D55" s="27" t="inlineStr"/>
      <c r="E55" s="27" t="inlineStr"/>
      <c r="F55" s="36" t="inlineStr"/>
      <c r="G55" s="27" t="inlineStr"/>
      <c r="H55" s="27" t="inlineStr"/>
      <c r="I55" s="27" t="inlineStr"/>
      <c r="J55" s="27" t="inlineStr"/>
    </row>
    <row r="56">
      <c r="A56" s="27" t="inlineStr"/>
      <c r="B56" s="27" t="inlineStr"/>
      <c r="C56" s="27" t="inlineStr"/>
      <c r="D56" s="27" t="inlineStr"/>
      <c r="E56" s="27" t="inlineStr"/>
      <c r="F56" s="36" t="inlineStr"/>
      <c r="G56" s="27" t="inlineStr"/>
      <c r="H56" s="27" t="inlineStr"/>
      <c r="I56" s="27" t="inlineStr"/>
      <c r="J56" s="27" t="inlineStr"/>
    </row>
    <row r="57">
      <c r="A57" s="27" t="inlineStr"/>
      <c r="B57" s="27" t="inlineStr"/>
      <c r="C57" s="27" t="inlineStr"/>
      <c r="D57" s="27" t="inlineStr"/>
      <c r="E57" s="27" t="inlineStr"/>
      <c r="F57" s="36" t="inlineStr"/>
      <c r="G57" s="27" t="inlineStr"/>
      <c r="H57" s="27" t="inlineStr"/>
      <c r="I57" s="27" t="inlineStr"/>
      <c r="J57" s="27" t="inlineStr"/>
    </row>
    <row r="58">
      <c r="A58" s="27" t="inlineStr"/>
      <c r="B58" s="27" t="inlineStr"/>
      <c r="C58" s="27" t="inlineStr"/>
      <c r="D58" s="27" t="inlineStr"/>
      <c r="E58" s="27" t="inlineStr"/>
      <c r="F58" s="36" t="inlineStr"/>
      <c r="G58" s="27" t="inlineStr"/>
      <c r="H58" s="27" t="inlineStr"/>
      <c r="I58" s="27" t="inlineStr"/>
      <c r="J58" s="27" t="inlineStr"/>
    </row>
    <row r="59">
      <c r="A59" s="27" t="inlineStr"/>
      <c r="B59" s="27" t="inlineStr"/>
      <c r="C59" s="27" t="inlineStr"/>
      <c r="D59" s="27" t="inlineStr"/>
      <c r="E59" s="27" t="inlineStr"/>
      <c r="F59" s="36" t="inlineStr"/>
      <c r="G59" s="27" t="inlineStr"/>
      <c r="H59" s="27" t="inlineStr"/>
      <c r="I59" s="27" t="inlineStr"/>
      <c r="J59" s="27" t="inlineStr"/>
    </row>
    <row r="60">
      <c r="A60" s="27" t="inlineStr"/>
      <c r="B60" s="27" t="inlineStr"/>
      <c r="C60" s="27" t="inlineStr"/>
      <c r="D60" s="27" t="inlineStr"/>
      <c r="E60" s="27" t="inlineStr"/>
      <c r="F60" s="36" t="inlineStr"/>
      <c r="G60" s="27" t="inlineStr"/>
      <c r="H60" s="27" t="inlineStr"/>
      <c r="I60" s="27" t="inlineStr"/>
      <c r="J60" s="27" t="inlineStr"/>
    </row>
    <row r="61">
      <c r="A61" s="27" t="inlineStr"/>
      <c r="B61" s="27" t="inlineStr"/>
      <c r="C61" s="27" t="inlineStr"/>
      <c r="D61" s="27" t="inlineStr"/>
      <c r="E61" s="27" t="inlineStr"/>
      <c r="F61" s="36" t="inlineStr"/>
      <c r="G61" s="27" t="inlineStr"/>
      <c r="H61" s="27" t="inlineStr"/>
      <c r="I61" s="27" t="inlineStr"/>
      <c r="J61" s="27" t="inlineStr"/>
    </row>
    <row r="62">
      <c r="A62" s="27" t="inlineStr"/>
      <c r="B62" s="27" t="inlineStr"/>
      <c r="C62" s="27" t="inlineStr"/>
      <c r="D62" s="27" t="inlineStr"/>
      <c r="E62" s="27" t="inlineStr"/>
      <c r="F62" s="36" t="inlineStr"/>
      <c r="G62" s="27" t="inlineStr"/>
      <c r="H62" s="27" t="inlineStr"/>
      <c r="I62" s="27" t="inlineStr"/>
      <c r="J62" s="27" t="inlineStr"/>
    </row>
    <row r="63">
      <c r="A63" s="27" t="inlineStr"/>
      <c r="B63" s="27" t="inlineStr"/>
      <c r="C63" s="27" t="inlineStr"/>
      <c r="D63" s="27" t="inlineStr"/>
      <c r="E63" s="27" t="inlineStr"/>
      <c r="F63" s="36" t="inlineStr"/>
      <c r="G63" s="27" t="inlineStr"/>
      <c r="H63" s="27" t="inlineStr"/>
      <c r="I63" s="27" t="inlineStr"/>
      <c r="J63" s="27" t="inlineStr"/>
    </row>
    <row r="64">
      <c r="A64" s="27" t="inlineStr"/>
      <c r="B64" s="27" t="inlineStr"/>
      <c r="C64" s="27" t="inlineStr"/>
      <c r="D64" s="27" t="inlineStr"/>
      <c r="E64" s="27" t="inlineStr"/>
      <c r="F64" s="36" t="inlineStr"/>
      <c r="G64" s="27" t="inlineStr"/>
      <c r="H64" s="27" t="inlineStr"/>
      <c r="I64" s="27" t="inlineStr"/>
      <c r="J64" s="27" t="inlineStr"/>
    </row>
    <row r="65">
      <c r="A65" s="27" t="inlineStr"/>
      <c r="B65" s="27" t="inlineStr"/>
      <c r="C65" s="27" t="inlineStr"/>
      <c r="D65" s="27" t="inlineStr"/>
      <c r="E65" s="27" t="inlineStr"/>
      <c r="F65" s="36" t="inlineStr"/>
      <c r="G65" s="27" t="inlineStr"/>
      <c r="H65" s="27" t="inlineStr"/>
      <c r="I65" s="27" t="inlineStr"/>
      <c r="J65" s="27" t="inlineStr"/>
    </row>
    <row r="66">
      <c r="A66" s="27" t="inlineStr"/>
      <c r="B66" s="27" t="inlineStr"/>
      <c r="C66" s="27" t="inlineStr"/>
      <c r="D66" s="27" t="inlineStr"/>
      <c r="E66" s="27" t="inlineStr"/>
      <c r="F66" s="36" t="inlineStr"/>
      <c r="G66" s="27" t="inlineStr"/>
      <c r="H66" s="27" t="inlineStr"/>
      <c r="I66" s="27" t="inlineStr"/>
      <c r="J66" s="27" t="inlineStr"/>
    </row>
    <row r="67">
      <c r="A67" s="27" t="inlineStr"/>
      <c r="B67" s="27" t="inlineStr"/>
      <c r="C67" s="27" t="inlineStr"/>
      <c r="D67" s="27" t="inlineStr"/>
      <c r="E67" s="27" t="inlineStr"/>
      <c r="F67" s="36" t="inlineStr"/>
      <c r="G67" s="27" t="inlineStr"/>
      <c r="H67" s="27" t="inlineStr"/>
      <c r="I67" s="27" t="inlineStr"/>
      <c r="J67" s="27" t="inlineStr"/>
    </row>
    <row r="68">
      <c r="A68" s="27" t="inlineStr"/>
      <c r="B68" s="27" t="inlineStr"/>
      <c r="C68" s="27" t="inlineStr"/>
      <c r="D68" s="27" t="inlineStr"/>
      <c r="E68" s="27" t="inlineStr"/>
      <c r="F68" s="36" t="inlineStr"/>
      <c r="G68" s="27" t="inlineStr"/>
      <c r="H68" s="27" t="inlineStr"/>
      <c r="I68" s="27" t="inlineStr"/>
      <c r="J68" s="27" t="inlineStr"/>
    </row>
    <row r="69">
      <c r="A69" s="27" t="inlineStr"/>
      <c r="B69" s="27" t="inlineStr"/>
      <c r="C69" s="27" t="inlineStr"/>
      <c r="D69" s="27" t="inlineStr"/>
      <c r="E69" s="27" t="inlineStr"/>
      <c r="F69" s="36" t="inlineStr"/>
      <c r="G69" s="27" t="inlineStr"/>
      <c r="H69" s="27" t="inlineStr"/>
      <c r="I69" s="27" t="inlineStr"/>
      <c r="J69" s="27" t="inlineStr"/>
    </row>
    <row r="70">
      <c r="A70" s="27" t="inlineStr"/>
      <c r="B70" s="27" t="inlineStr"/>
      <c r="C70" s="27" t="inlineStr"/>
      <c r="D70" s="27" t="inlineStr"/>
      <c r="E70" s="27" t="inlineStr"/>
      <c r="F70" s="36" t="inlineStr"/>
      <c r="G70" s="27" t="inlineStr"/>
      <c r="H70" s="27" t="inlineStr"/>
      <c r="I70" s="27" t="inlineStr"/>
      <c r="J70" s="27" t="inlineStr"/>
    </row>
    <row r="71">
      <c r="A71" s="27" t="inlineStr"/>
      <c r="B71" s="27" t="inlineStr"/>
      <c r="C71" s="27" t="inlineStr"/>
      <c r="D71" s="27" t="inlineStr"/>
      <c r="E71" s="27" t="inlineStr"/>
      <c r="F71" s="36" t="inlineStr"/>
      <c r="G71" s="27" t="inlineStr"/>
      <c r="H71" s="27" t="inlineStr"/>
      <c r="I71" s="27" t="inlineStr"/>
      <c r="J71" s="27" t="inlineStr"/>
    </row>
    <row r="72">
      <c r="A72" s="27" t="inlineStr"/>
      <c r="B72" s="27" t="inlineStr"/>
      <c r="C72" s="27" t="inlineStr"/>
      <c r="D72" s="27" t="inlineStr"/>
      <c r="E72" s="27" t="inlineStr"/>
      <c r="F72" s="36" t="inlineStr"/>
      <c r="G72" s="27" t="inlineStr"/>
      <c r="H72" s="27" t="inlineStr"/>
      <c r="I72" s="27" t="inlineStr"/>
      <c r="J72" s="27" t="inlineStr"/>
    </row>
    <row r="73">
      <c r="A73" s="27" t="inlineStr"/>
      <c r="B73" s="27" t="inlineStr"/>
      <c r="C73" s="27" t="inlineStr"/>
      <c r="D73" s="27" t="inlineStr"/>
      <c r="E73" s="27" t="inlineStr"/>
      <c r="F73" s="36" t="inlineStr"/>
      <c r="G73" s="27" t="inlineStr"/>
      <c r="H73" s="27" t="inlineStr"/>
      <c r="I73" s="27" t="inlineStr"/>
      <c r="J73" s="27" t="inlineStr"/>
    </row>
    <row r="74">
      <c r="A74" s="27" t="inlineStr"/>
      <c r="B74" s="27" t="inlineStr"/>
      <c r="C74" s="27" t="inlineStr"/>
      <c r="D74" s="27" t="inlineStr"/>
      <c r="E74" s="27" t="inlineStr"/>
      <c r="F74" s="36" t="inlineStr"/>
      <c r="G74" s="27" t="inlineStr"/>
      <c r="H74" s="27" t="inlineStr"/>
      <c r="I74" s="27" t="inlineStr"/>
      <c r="J74" s="27" t="inlineStr"/>
    </row>
    <row r="75">
      <c r="A75" s="27" t="inlineStr"/>
      <c r="B75" s="27" t="inlineStr"/>
      <c r="C75" s="27" t="inlineStr"/>
      <c r="D75" s="27" t="inlineStr"/>
      <c r="E75" s="27" t="inlineStr"/>
      <c r="F75" s="36" t="inlineStr"/>
      <c r="G75" s="27" t="inlineStr"/>
      <c r="H75" s="27" t="inlineStr"/>
      <c r="I75" s="27" t="inlineStr"/>
      <c r="J75" s="27" t="inlineStr"/>
    </row>
    <row r="76">
      <c r="A76" s="27" t="inlineStr"/>
      <c r="B76" s="27" t="inlineStr"/>
      <c r="C76" s="27" t="inlineStr"/>
      <c r="D76" s="27" t="inlineStr"/>
      <c r="E76" s="27" t="inlineStr"/>
      <c r="F76" s="36" t="inlineStr"/>
      <c r="G76" s="27" t="inlineStr"/>
      <c r="H76" s="27" t="inlineStr"/>
      <c r="I76" s="27" t="inlineStr"/>
      <c r="J76" s="27" t="inlineStr"/>
    </row>
    <row r="77">
      <c r="A77" s="27" t="inlineStr"/>
      <c r="B77" s="27" t="inlineStr"/>
      <c r="C77" s="27" t="inlineStr"/>
      <c r="D77" s="27" t="inlineStr"/>
      <c r="E77" s="27" t="inlineStr"/>
      <c r="F77" s="36" t="inlineStr"/>
      <c r="G77" s="27" t="inlineStr"/>
      <c r="H77" s="27" t="inlineStr"/>
      <c r="I77" s="27" t="inlineStr"/>
      <c r="J77" s="27" t="inlineStr"/>
    </row>
    <row r="78">
      <c r="A78" s="27" t="inlineStr"/>
      <c r="B78" s="27" t="inlineStr"/>
      <c r="C78" s="27" t="inlineStr"/>
      <c r="D78" s="27" t="inlineStr"/>
      <c r="E78" s="27" t="inlineStr"/>
      <c r="F78" s="36" t="inlineStr"/>
      <c r="G78" s="27" t="inlineStr"/>
      <c r="H78" s="27" t="inlineStr"/>
      <c r="I78" s="27" t="inlineStr"/>
      <c r="J78" s="27" t="inlineStr"/>
    </row>
    <row r="79">
      <c r="A79" s="27" t="inlineStr"/>
      <c r="B79" s="27" t="inlineStr"/>
      <c r="C79" s="27" t="inlineStr"/>
      <c r="D79" s="27" t="inlineStr"/>
      <c r="E79" s="27" t="inlineStr"/>
      <c r="F79" s="36" t="inlineStr"/>
      <c r="G79" s="27" t="inlineStr"/>
      <c r="H79" s="27" t="inlineStr"/>
      <c r="I79" s="27" t="inlineStr"/>
      <c r="J79" s="27" t="inlineStr"/>
    </row>
    <row r="80">
      <c r="A80" s="27" t="inlineStr"/>
      <c r="B80" s="27" t="inlineStr"/>
      <c r="C80" s="27" t="inlineStr"/>
      <c r="D80" s="27" t="inlineStr"/>
      <c r="E80" s="27" t="inlineStr"/>
      <c r="F80" s="36" t="inlineStr"/>
      <c r="G80" s="27" t="inlineStr"/>
      <c r="H80" s="27" t="inlineStr"/>
      <c r="I80" s="27" t="inlineStr"/>
      <c r="J80" s="27" t="inlineStr"/>
    </row>
    <row r="81">
      <c r="A81" s="27" t="inlineStr"/>
      <c r="B81" s="27" t="inlineStr"/>
      <c r="C81" s="27" t="inlineStr"/>
      <c r="D81" s="27" t="inlineStr"/>
      <c r="E81" s="27" t="inlineStr"/>
      <c r="F81" s="36" t="inlineStr"/>
      <c r="G81" s="27" t="inlineStr"/>
      <c r="H81" s="27" t="inlineStr"/>
      <c r="I81" s="27" t="inlineStr"/>
      <c r="J81" s="27" t="inlineStr"/>
    </row>
    <row r="82">
      <c r="A82" s="27" t="inlineStr"/>
      <c r="B82" s="27" t="inlineStr"/>
      <c r="C82" s="27" t="inlineStr"/>
      <c r="D82" s="27" t="inlineStr"/>
      <c r="E82" s="27" t="inlineStr"/>
      <c r="F82" s="36" t="inlineStr"/>
      <c r="G82" s="27" t="inlineStr"/>
      <c r="H82" s="27" t="inlineStr"/>
      <c r="I82" s="27" t="inlineStr"/>
      <c r="J82" s="27" t="inlineStr"/>
    </row>
    <row r="83">
      <c r="A83" s="27" t="inlineStr"/>
      <c r="B83" s="27" t="inlineStr"/>
      <c r="C83" s="27" t="inlineStr"/>
      <c r="D83" s="27" t="inlineStr"/>
      <c r="E83" s="27" t="inlineStr"/>
      <c r="F83" s="36" t="inlineStr"/>
      <c r="G83" s="27" t="inlineStr"/>
      <c r="H83" s="27" t="inlineStr"/>
      <c r="I83" s="27" t="inlineStr"/>
      <c r="J83" s="27" t="inlineStr"/>
    </row>
    <row r="84">
      <c r="A84" s="27" t="inlineStr"/>
      <c r="B84" s="27" t="inlineStr"/>
      <c r="C84" s="27" t="inlineStr"/>
      <c r="D84" s="27" t="inlineStr"/>
      <c r="E84" s="27" t="inlineStr"/>
      <c r="F84" s="36" t="inlineStr"/>
      <c r="G84" s="27" t="inlineStr"/>
      <c r="H84" s="27" t="inlineStr"/>
      <c r="I84" s="27" t="inlineStr"/>
      <c r="J84" s="27" t="inlineStr"/>
    </row>
    <row r="85">
      <c r="A85" s="27" t="inlineStr"/>
      <c r="B85" s="27" t="inlineStr"/>
      <c r="C85" s="27" t="inlineStr"/>
      <c r="D85" s="27" t="inlineStr"/>
      <c r="E85" s="27" t="inlineStr"/>
      <c r="F85" s="36" t="inlineStr"/>
      <c r="G85" s="27" t="inlineStr"/>
      <c r="H85" s="27" t="inlineStr"/>
      <c r="I85" s="27" t="inlineStr"/>
      <c r="J85" s="27" t="inlineStr"/>
    </row>
    <row r="86">
      <c r="A86" s="27" t="inlineStr"/>
      <c r="B86" s="27" t="inlineStr"/>
      <c r="C86" s="27" t="inlineStr"/>
      <c r="D86" s="27" t="inlineStr"/>
      <c r="E86" s="27" t="inlineStr"/>
      <c r="F86" s="36" t="inlineStr"/>
      <c r="G86" s="27" t="inlineStr"/>
      <c r="H86" s="27" t="inlineStr"/>
      <c r="I86" s="27" t="inlineStr"/>
      <c r="J86" s="27" t="inlineStr"/>
    </row>
    <row r="87">
      <c r="A87" s="27" t="inlineStr"/>
      <c r="B87" s="27" t="inlineStr"/>
      <c r="C87" s="27" t="inlineStr"/>
      <c r="D87" s="27" t="inlineStr"/>
      <c r="E87" s="27" t="inlineStr"/>
      <c r="F87" s="36" t="inlineStr"/>
      <c r="G87" s="27" t="inlineStr"/>
      <c r="H87" s="27" t="inlineStr"/>
      <c r="I87" s="27" t="inlineStr"/>
      <c r="J87" s="27" t="inlineStr"/>
    </row>
    <row r="88">
      <c r="A88" s="27" t="inlineStr"/>
      <c r="B88" s="27" t="inlineStr"/>
      <c r="C88" s="27" t="inlineStr"/>
      <c r="D88" s="27" t="inlineStr"/>
      <c r="E88" s="27" t="inlineStr"/>
      <c r="F88" s="36" t="inlineStr"/>
      <c r="G88" s="27" t="inlineStr"/>
      <c r="H88" s="27" t="inlineStr"/>
      <c r="I88" s="27" t="inlineStr"/>
      <c r="J88" s="27" t="inlineStr"/>
    </row>
    <row r="89">
      <c r="A89" s="27" t="inlineStr"/>
      <c r="B89" s="27" t="inlineStr"/>
      <c r="C89" s="27" t="inlineStr"/>
      <c r="D89" s="27" t="inlineStr"/>
      <c r="E89" s="27" t="inlineStr"/>
      <c r="F89" s="36" t="inlineStr"/>
      <c r="G89" s="27" t="inlineStr"/>
      <c r="H89" s="27" t="inlineStr"/>
      <c r="I89" s="27" t="inlineStr"/>
      <c r="J89" s="27" t="inlineStr"/>
    </row>
    <row r="90">
      <c r="A90" s="27" t="inlineStr"/>
      <c r="B90" s="27" t="inlineStr"/>
      <c r="C90" s="27" t="inlineStr"/>
      <c r="D90" s="27" t="inlineStr"/>
      <c r="E90" s="27" t="inlineStr"/>
      <c r="F90" s="36" t="inlineStr"/>
      <c r="G90" s="27" t="inlineStr"/>
      <c r="H90" s="27" t="inlineStr"/>
      <c r="I90" s="27" t="inlineStr"/>
      <c r="J90" s="27" t="inlineStr"/>
    </row>
    <row r="91">
      <c r="A91" s="27" t="inlineStr"/>
      <c r="B91" s="27" t="inlineStr"/>
      <c r="C91" s="27" t="inlineStr"/>
      <c r="D91" s="27" t="inlineStr"/>
      <c r="E91" s="27" t="inlineStr"/>
      <c r="F91" s="36" t="inlineStr"/>
      <c r="G91" s="27" t="inlineStr"/>
      <c r="H91" s="27" t="inlineStr"/>
      <c r="I91" s="27" t="inlineStr"/>
      <c r="J91" s="27" t="inlineStr"/>
    </row>
    <row r="92">
      <c r="A92" s="27" t="inlineStr"/>
      <c r="B92" s="27" t="inlineStr"/>
      <c r="C92" s="27" t="inlineStr"/>
      <c r="D92" s="27" t="inlineStr"/>
      <c r="E92" s="27" t="inlineStr"/>
      <c r="F92" s="36" t="inlineStr"/>
      <c r="G92" s="27" t="inlineStr"/>
      <c r="H92" s="27" t="inlineStr"/>
      <c r="I92" s="27" t="inlineStr"/>
      <c r="J92" s="27" t="inlineStr"/>
    </row>
    <row r="93">
      <c r="A93" s="27" t="inlineStr"/>
      <c r="B93" s="27" t="inlineStr"/>
      <c r="C93" s="27" t="inlineStr"/>
      <c r="D93" s="27" t="inlineStr"/>
      <c r="E93" s="27" t="inlineStr"/>
      <c r="F93" s="36" t="inlineStr"/>
      <c r="G93" s="27" t="inlineStr"/>
      <c r="H93" s="27" t="inlineStr"/>
      <c r="I93" s="27" t="inlineStr"/>
      <c r="J93" s="27" t="inlineStr"/>
    </row>
    <row r="94">
      <c r="A94" s="27" t="inlineStr"/>
      <c r="B94" s="27" t="inlineStr"/>
      <c r="C94" s="27" t="inlineStr"/>
      <c r="D94" s="27" t="inlineStr"/>
      <c r="E94" s="27" t="inlineStr"/>
      <c r="F94" s="36" t="inlineStr"/>
      <c r="G94" s="27" t="inlineStr"/>
      <c r="H94" s="27" t="inlineStr"/>
      <c r="I94" s="27" t="inlineStr"/>
      <c r="J94" s="27" t="inlineStr"/>
    </row>
    <row r="95">
      <c r="A95" s="27" t="inlineStr"/>
      <c r="B95" s="27" t="inlineStr"/>
      <c r="C95" s="27" t="inlineStr"/>
      <c r="D95" s="27" t="inlineStr"/>
      <c r="E95" s="27" t="inlineStr"/>
      <c r="F95" s="36" t="inlineStr"/>
      <c r="G95" s="27" t="inlineStr"/>
      <c r="H95" s="27" t="inlineStr"/>
      <c r="I95" s="27" t="inlineStr"/>
      <c r="J95" s="27" t="inlineStr"/>
    </row>
    <row r="96">
      <c r="A96" s="27" t="inlineStr"/>
      <c r="B96" s="27" t="inlineStr"/>
      <c r="C96" s="27" t="inlineStr"/>
      <c r="D96" s="27" t="inlineStr"/>
      <c r="E96" s="27" t="inlineStr"/>
      <c r="F96" s="36" t="inlineStr"/>
      <c r="G96" s="27" t="inlineStr"/>
      <c r="H96" s="27" t="inlineStr"/>
      <c r="I96" s="27" t="inlineStr"/>
      <c r="J96" s="27" t="inlineStr"/>
    </row>
    <row r="97">
      <c r="A97" s="27" t="inlineStr"/>
      <c r="B97" s="27" t="inlineStr"/>
      <c r="C97" s="27" t="inlineStr"/>
      <c r="D97" s="27" t="inlineStr"/>
      <c r="E97" s="27" t="inlineStr"/>
      <c r="F97" s="36" t="inlineStr"/>
      <c r="G97" s="27" t="inlineStr"/>
      <c r="H97" s="27" t="inlineStr"/>
      <c r="I97" s="27" t="inlineStr"/>
      <c r="J97" s="27" t="inlineStr"/>
    </row>
    <row r="98">
      <c r="A98" s="27" t="inlineStr"/>
      <c r="B98" s="27" t="inlineStr"/>
      <c r="C98" s="27" t="inlineStr"/>
      <c r="D98" s="27" t="inlineStr"/>
      <c r="E98" s="27" t="inlineStr"/>
      <c r="F98" s="36" t="inlineStr"/>
      <c r="G98" s="27" t="inlineStr"/>
      <c r="H98" s="27" t="inlineStr"/>
      <c r="I98" s="27" t="inlineStr"/>
      <c r="J98" s="27" t="inlineStr"/>
    </row>
    <row r="99">
      <c r="A99" s="27" t="inlineStr"/>
      <c r="B99" s="27" t="inlineStr"/>
      <c r="C99" s="27" t="inlineStr"/>
      <c r="D99" s="27" t="inlineStr"/>
      <c r="E99" s="27" t="inlineStr"/>
      <c r="F99" s="36" t="inlineStr"/>
      <c r="G99" s="27" t="inlineStr"/>
      <c r="H99" s="27" t="inlineStr"/>
      <c r="I99" s="27" t="inlineStr"/>
      <c r="J99" s="27" t="inlineStr"/>
    </row>
    <row r="100">
      <c r="A100" s="27" t="inlineStr"/>
      <c r="B100" s="27" t="inlineStr"/>
      <c r="C100" s="27" t="inlineStr"/>
      <c r="D100" s="27" t="inlineStr"/>
      <c r="E100" s="27" t="inlineStr"/>
      <c r="F100" s="36" t="inlineStr"/>
      <c r="G100" s="27" t="inlineStr"/>
      <c r="H100" s="27" t="inlineStr"/>
      <c r="I100" s="27" t="inlineStr"/>
      <c r="J100" s="27" t="inlineStr"/>
    </row>
    <row r="101">
      <c r="A101" s="27" t="inlineStr"/>
      <c r="B101" s="27" t="inlineStr"/>
      <c r="C101" s="27" t="inlineStr"/>
      <c r="D101" s="27" t="inlineStr"/>
      <c r="E101" s="27" t="inlineStr"/>
      <c r="F101" s="36" t="inlineStr"/>
      <c r="G101" s="27" t="inlineStr"/>
      <c r="H101" s="27" t="inlineStr"/>
      <c r="I101" s="27" t="inlineStr"/>
      <c r="J101" s="27" t="inlineStr"/>
    </row>
    <row r="102">
      <c r="A102" s="27" t="inlineStr"/>
      <c r="B102" s="27" t="inlineStr"/>
      <c r="C102" s="27" t="inlineStr"/>
      <c r="D102" s="27" t="inlineStr"/>
      <c r="E102" s="27" t="inlineStr"/>
      <c r="F102" s="36" t="inlineStr"/>
      <c r="G102" s="27" t="inlineStr"/>
      <c r="H102" s="27" t="inlineStr"/>
      <c r="I102" s="27" t="inlineStr"/>
      <c r="J102" s="27" t="inlineStr"/>
    </row>
    <row r="103">
      <c r="A103" s="27" t="inlineStr"/>
      <c r="B103" s="27" t="inlineStr"/>
      <c r="C103" s="27" t="inlineStr"/>
      <c r="D103" s="27" t="inlineStr"/>
      <c r="E103" s="27" t="inlineStr"/>
      <c r="F103" s="36" t="inlineStr"/>
      <c r="G103" s="27" t="inlineStr"/>
      <c r="H103" s="27" t="inlineStr"/>
      <c r="I103" s="27" t="inlineStr"/>
      <c r="J103" s="27" t="inlineStr"/>
    </row>
    <row r="104">
      <c r="A104" s="27" t="inlineStr"/>
      <c r="B104" s="27" t="inlineStr"/>
      <c r="C104" s="27" t="inlineStr"/>
      <c r="D104" s="27" t="inlineStr"/>
      <c r="E104" s="27" t="inlineStr"/>
      <c r="F104" s="36" t="inlineStr"/>
      <c r="G104" s="27" t="inlineStr"/>
      <c r="H104" s="27" t="inlineStr"/>
      <c r="I104" s="27" t="inlineStr"/>
      <c r="J104" s="27" t="inlineStr"/>
    </row>
    <row r="105">
      <c r="A105" s="27" t="inlineStr"/>
      <c r="B105" s="27" t="inlineStr"/>
      <c r="C105" s="27" t="inlineStr"/>
      <c r="D105" s="27" t="inlineStr"/>
      <c r="E105" s="27" t="inlineStr"/>
      <c r="F105" s="36" t="inlineStr"/>
      <c r="G105" s="27" t="inlineStr"/>
      <c r="H105" s="27" t="inlineStr"/>
      <c r="I105" s="27" t="inlineStr"/>
      <c r="J105" s="27" t="inlineStr"/>
    </row>
    <row r="106">
      <c r="A106" s="27" t="inlineStr"/>
      <c r="B106" s="27" t="inlineStr"/>
      <c r="C106" s="27" t="inlineStr"/>
      <c r="D106" s="27" t="inlineStr"/>
      <c r="E106" s="27" t="inlineStr"/>
      <c r="F106" s="36" t="inlineStr"/>
      <c r="G106" s="27" t="inlineStr"/>
      <c r="H106" s="27" t="inlineStr"/>
      <c r="I106" s="27" t="inlineStr"/>
      <c r="J106" s="27" t="inlineStr"/>
    </row>
    <row r="107">
      <c r="A107" s="27" t="inlineStr"/>
      <c r="B107" s="27" t="inlineStr"/>
      <c r="C107" s="27" t="inlineStr"/>
      <c r="D107" s="27" t="inlineStr"/>
      <c r="E107" s="27" t="inlineStr"/>
      <c r="F107" s="36" t="inlineStr"/>
      <c r="G107" s="27" t="inlineStr"/>
      <c r="H107" s="27" t="inlineStr"/>
      <c r="I107" s="27" t="inlineStr"/>
      <c r="J107" s="27" t="inlineStr"/>
    </row>
    <row r="108">
      <c r="A108" s="27" t="inlineStr"/>
      <c r="B108" s="27" t="inlineStr"/>
      <c r="C108" s="27" t="inlineStr"/>
      <c r="D108" s="27" t="inlineStr"/>
      <c r="E108" s="27" t="inlineStr"/>
      <c r="F108" s="36" t="inlineStr"/>
      <c r="G108" s="27" t="inlineStr"/>
      <c r="H108" s="27" t="inlineStr"/>
      <c r="I108" s="27" t="inlineStr"/>
      <c r="J108" s="27" t="inlineStr"/>
    </row>
    <row r="109">
      <c r="A109" s="27" t="inlineStr"/>
      <c r="B109" s="27" t="inlineStr"/>
      <c r="C109" s="27" t="inlineStr"/>
      <c r="D109" s="27" t="inlineStr"/>
      <c r="E109" s="27" t="inlineStr"/>
      <c r="F109" s="36" t="inlineStr"/>
      <c r="G109" s="27" t="inlineStr"/>
      <c r="H109" s="27" t="inlineStr"/>
      <c r="I109" s="27" t="inlineStr"/>
      <c r="J109" s="27" t="inlineStr"/>
    </row>
    <row r="110">
      <c r="A110" s="27" t="inlineStr"/>
      <c r="B110" s="27" t="inlineStr"/>
      <c r="C110" s="27" t="inlineStr"/>
      <c r="D110" s="27" t="inlineStr"/>
      <c r="E110" s="27" t="inlineStr"/>
      <c r="F110" s="36" t="inlineStr"/>
      <c r="G110" s="27" t="inlineStr"/>
      <c r="H110" s="27" t="inlineStr"/>
      <c r="I110" s="27" t="inlineStr"/>
      <c r="J110" s="27" t="inlineStr"/>
    </row>
    <row r="111">
      <c r="A111" s="27" t="inlineStr"/>
      <c r="B111" s="27" t="inlineStr"/>
      <c r="C111" s="27" t="inlineStr"/>
      <c r="D111" s="27" t="inlineStr"/>
      <c r="E111" s="27" t="inlineStr"/>
      <c r="F111" s="36" t="inlineStr"/>
      <c r="G111" s="27" t="inlineStr"/>
      <c r="H111" s="27" t="inlineStr"/>
      <c r="I111" s="27" t="inlineStr"/>
      <c r="J111" s="27" t="inlineStr"/>
    </row>
    <row r="112">
      <c r="A112" s="27" t="inlineStr"/>
      <c r="B112" s="27" t="inlineStr"/>
      <c r="C112" s="27" t="inlineStr"/>
      <c r="D112" s="27" t="inlineStr"/>
      <c r="E112" s="27" t="inlineStr"/>
      <c r="F112" s="36" t="inlineStr"/>
      <c r="G112" s="27" t="inlineStr"/>
      <c r="H112" s="27" t="inlineStr"/>
      <c r="I112" s="27" t="inlineStr"/>
      <c r="J112" s="27" t="inlineStr"/>
    </row>
    <row r="113">
      <c r="A113" s="27" t="inlineStr"/>
      <c r="B113" s="27" t="inlineStr"/>
      <c r="C113" s="27" t="inlineStr"/>
      <c r="D113" s="27" t="inlineStr"/>
      <c r="E113" s="27" t="inlineStr"/>
      <c r="F113" s="36" t="inlineStr"/>
      <c r="G113" s="27" t="inlineStr"/>
      <c r="H113" s="27" t="inlineStr"/>
      <c r="I113" s="27" t="inlineStr"/>
      <c r="J113" s="27" t="inlineStr"/>
    </row>
    <row r="114">
      <c r="A114" s="27" t="inlineStr"/>
      <c r="B114" s="27" t="inlineStr"/>
      <c r="C114" s="27" t="inlineStr"/>
      <c r="D114" s="27" t="inlineStr"/>
      <c r="E114" s="27" t="inlineStr"/>
      <c r="F114" s="36" t="inlineStr"/>
      <c r="G114" s="27" t="inlineStr"/>
      <c r="H114" s="27" t="inlineStr"/>
      <c r="I114" s="27" t="inlineStr"/>
      <c r="J114" s="27" t="inlineStr"/>
    </row>
    <row r="115">
      <c r="A115" s="27" t="inlineStr"/>
      <c r="B115" s="27" t="inlineStr"/>
      <c r="C115" s="27" t="inlineStr"/>
      <c r="D115" s="27" t="inlineStr"/>
      <c r="E115" s="27" t="inlineStr"/>
      <c r="F115" s="36" t="inlineStr"/>
      <c r="G115" s="27" t="inlineStr"/>
      <c r="H115" s="27" t="inlineStr"/>
      <c r="I115" s="27" t="inlineStr"/>
      <c r="J115" s="27" t="inlineStr"/>
    </row>
    <row r="116">
      <c r="A116" s="27" t="inlineStr"/>
      <c r="B116" s="27" t="inlineStr"/>
      <c r="C116" s="27" t="inlineStr"/>
      <c r="D116" s="27" t="inlineStr"/>
      <c r="E116" s="27" t="inlineStr"/>
      <c r="F116" s="36" t="inlineStr"/>
      <c r="G116" s="27" t="inlineStr"/>
      <c r="H116" s="27" t="inlineStr"/>
      <c r="I116" s="27" t="inlineStr"/>
      <c r="J116" s="27" t="inlineStr"/>
    </row>
    <row r="117">
      <c r="A117" s="27" t="inlineStr"/>
      <c r="B117" s="27" t="inlineStr"/>
      <c r="C117" s="27" t="inlineStr"/>
      <c r="D117" s="27" t="inlineStr"/>
      <c r="E117" s="27" t="inlineStr"/>
      <c r="F117" s="36" t="inlineStr"/>
      <c r="G117" s="27" t="inlineStr"/>
      <c r="H117" s="27" t="inlineStr"/>
      <c r="I117" s="27" t="inlineStr"/>
      <c r="J117" s="27" t="inlineStr"/>
    </row>
    <row r="118">
      <c r="A118" s="27" t="inlineStr"/>
      <c r="B118" s="27" t="inlineStr"/>
      <c r="C118" s="27" t="inlineStr"/>
      <c r="D118" s="27" t="inlineStr"/>
      <c r="E118" s="27" t="inlineStr"/>
      <c r="F118" s="36" t="inlineStr"/>
      <c r="G118" s="27" t="inlineStr"/>
      <c r="H118" s="27" t="inlineStr"/>
      <c r="I118" s="27" t="inlineStr"/>
      <c r="J118" s="27" t="inlineStr"/>
    </row>
    <row r="119">
      <c r="A119" s="27" t="inlineStr"/>
      <c r="B119" s="27" t="inlineStr"/>
      <c r="C119" s="27" t="inlineStr"/>
      <c r="D119" s="27" t="inlineStr"/>
      <c r="E119" s="27" t="inlineStr"/>
      <c r="F119" s="36" t="inlineStr"/>
      <c r="G119" s="27" t="inlineStr"/>
      <c r="H119" s="27" t="inlineStr"/>
      <c r="I119" s="27" t="inlineStr"/>
      <c r="J119" s="27" t="inlineStr"/>
    </row>
    <row r="120">
      <c r="A120" s="27" t="inlineStr"/>
      <c r="B120" s="27" t="inlineStr"/>
      <c r="C120" s="27" t="inlineStr"/>
      <c r="D120" s="27" t="inlineStr"/>
      <c r="E120" s="27" t="inlineStr"/>
      <c r="F120" s="36" t="inlineStr"/>
      <c r="G120" s="27" t="inlineStr"/>
      <c r="H120" s="27" t="inlineStr"/>
      <c r="I120" s="27" t="inlineStr"/>
      <c r="J120" s="27" t="inlineStr"/>
    </row>
    <row r="121">
      <c r="A121" s="27" t="inlineStr"/>
      <c r="B121" s="27" t="inlineStr"/>
      <c r="C121" s="27" t="inlineStr"/>
      <c r="D121" s="27" t="inlineStr"/>
      <c r="E121" s="27" t="inlineStr"/>
      <c r="F121" s="36" t="inlineStr"/>
      <c r="G121" s="27" t="inlineStr"/>
      <c r="H121" s="27" t="inlineStr"/>
      <c r="I121" s="27" t="inlineStr"/>
      <c r="J121" s="27" t="inlineStr"/>
    </row>
    <row r="122">
      <c r="A122" s="27" t="inlineStr"/>
      <c r="B122" s="27" t="inlineStr"/>
      <c r="C122" s="27" t="inlineStr"/>
      <c r="D122" s="27" t="inlineStr"/>
      <c r="E122" s="27" t="inlineStr"/>
      <c r="F122" s="36" t="inlineStr"/>
      <c r="G122" s="27" t="inlineStr"/>
      <c r="H122" s="27" t="inlineStr"/>
      <c r="I122" s="27" t="inlineStr"/>
      <c r="J122" s="27" t="inlineStr"/>
    </row>
    <row r="123">
      <c r="A123" s="27" t="inlineStr"/>
      <c r="B123" s="27" t="inlineStr"/>
      <c r="C123" s="27" t="inlineStr"/>
      <c r="D123" s="27" t="inlineStr"/>
      <c r="E123" s="27" t="inlineStr"/>
      <c r="F123" s="36" t="inlineStr"/>
      <c r="G123" s="27" t="inlineStr"/>
      <c r="H123" s="27" t="inlineStr"/>
      <c r="I123" s="27" t="inlineStr"/>
      <c r="J123" s="27" t="inlineStr"/>
    </row>
    <row r="124">
      <c r="A124" s="27" t="inlineStr"/>
      <c r="B124" s="27" t="inlineStr"/>
      <c r="C124" s="27" t="inlineStr"/>
      <c r="D124" s="27" t="inlineStr"/>
      <c r="E124" s="27" t="inlineStr"/>
      <c r="F124" s="36" t="inlineStr"/>
      <c r="G124" s="27" t="inlineStr"/>
      <c r="H124" s="27" t="inlineStr"/>
      <c r="I124" s="27" t="inlineStr"/>
      <c r="J124" s="27" t="inlineStr"/>
    </row>
    <row r="125">
      <c r="A125" s="27" t="inlineStr"/>
      <c r="B125" s="27" t="inlineStr"/>
      <c r="C125" s="27" t="inlineStr"/>
      <c r="D125" s="27" t="inlineStr"/>
      <c r="E125" s="27" t="inlineStr"/>
      <c r="F125" s="36" t="inlineStr"/>
      <c r="G125" s="27" t="inlineStr"/>
      <c r="H125" s="27" t="inlineStr"/>
      <c r="I125" s="27" t="inlineStr"/>
      <c r="J125" s="27" t="inlineStr"/>
    </row>
    <row r="126">
      <c r="A126" s="27" t="inlineStr"/>
      <c r="B126" s="27" t="inlineStr"/>
      <c r="C126" s="27" t="inlineStr"/>
      <c r="D126" s="27" t="inlineStr"/>
      <c r="E126" s="27" t="inlineStr"/>
      <c r="F126" s="36" t="inlineStr"/>
      <c r="G126" s="27" t="inlineStr"/>
      <c r="H126" s="27" t="inlineStr"/>
      <c r="I126" s="27" t="inlineStr"/>
      <c r="J126" s="27" t="inlineStr"/>
    </row>
    <row r="127">
      <c r="A127" s="27" t="inlineStr"/>
      <c r="B127" s="27" t="inlineStr"/>
      <c r="C127" s="27" t="inlineStr"/>
      <c r="D127" s="27" t="inlineStr"/>
      <c r="E127" s="27" t="inlineStr"/>
      <c r="F127" s="36" t="inlineStr"/>
      <c r="G127" s="27" t="inlineStr"/>
      <c r="H127" s="27" t="inlineStr"/>
      <c r="I127" s="27" t="inlineStr"/>
      <c r="J127" s="27" t="inlineStr"/>
    </row>
    <row r="128">
      <c r="A128" s="27" t="inlineStr"/>
      <c r="B128" s="27" t="inlineStr"/>
      <c r="C128" s="27" t="inlineStr"/>
      <c r="D128" s="27" t="inlineStr"/>
      <c r="E128" s="27" t="inlineStr"/>
      <c r="F128" s="36" t="inlineStr"/>
      <c r="G128" s="27" t="inlineStr"/>
      <c r="H128" s="27" t="inlineStr"/>
      <c r="I128" s="27" t="inlineStr"/>
      <c r="J128" s="27" t="inlineStr"/>
    </row>
    <row r="129">
      <c r="A129" s="27" t="inlineStr"/>
      <c r="B129" s="27" t="inlineStr"/>
      <c r="C129" s="27" t="inlineStr"/>
      <c r="D129" s="27" t="inlineStr"/>
      <c r="E129" s="27" t="inlineStr"/>
      <c r="F129" s="36" t="inlineStr"/>
      <c r="G129" s="27" t="inlineStr"/>
      <c r="H129" s="27" t="inlineStr"/>
      <c r="I129" s="27" t="inlineStr"/>
      <c r="J129" s="27" t="inlineStr"/>
    </row>
    <row r="130">
      <c r="A130" s="27" t="inlineStr"/>
      <c r="B130" s="27" t="inlineStr"/>
      <c r="C130" s="27" t="inlineStr"/>
      <c r="D130" s="27" t="inlineStr"/>
      <c r="E130" s="27" t="inlineStr"/>
      <c r="F130" s="36" t="inlineStr"/>
      <c r="G130" s="27" t="inlineStr"/>
      <c r="H130" s="27" t="inlineStr"/>
      <c r="I130" s="27" t="inlineStr"/>
      <c r="J130" s="27" t="inlineStr"/>
    </row>
    <row r="131">
      <c r="A131" s="27" t="inlineStr"/>
      <c r="B131" s="27" t="inlineStr"/>
      <c r="C131" s="27" t="inlineStr"/>
      <c r="D131" s="27" t="inlineStr"/>
      <c r="E131" s="27" t="inlineStr"/>
      <c r="F131" s="36" t="inlineStr"/>
      <c r="G131" s="27" t="inlineStr"/>
      <c r="H131" s="27" t="inlineStr"/>
      <c r="I131" s="27" t="inlineStr"/>
      <c r="J131" s="27" t="inlineStr"/>
    </row>
    <row r="132">
      <c r="A132" s="27" t="inlineStr"/>
      <c r="B132" s="27" t="inlineStr"/>
      <c r="C132" s="27" t="inlineStr"/>
      <c r="D132" s="27" t="inlineStr"/>
      <c r="E132" s="27" t="inlineStr"/>
      <c r="F132" s="36" t="inlineStr"/>
      <c r="G132" s="27" t="inlineStr"/>
      <c r="H132" s="27" t="inlineStr"/>
      <c r="I132" s="27" t="inlineStr"/>
      <c r="J132" s="27" t="inlineStr"/>
    </row>
    <row r="133">
      <c r="A133" s="27" t="inlineStr"/>
      <c r="B133" s="27" t="inlineStr"/>
      <c r="C133" s="27" t="inlineStr"/>
      <c r="D133" s="27" t="inlineStr"/>
      <c r="E133" s="27" t="inlineStr"/>
      <c r="F133" s="36" t="inlineStr"/>
      <c r="G133" s="27" t="inlineStr"/>
      <c r="H133" s="27" t="inlineStr"/>
      <c r="I133" s="27" t="inlineStr"/>
      <c r="J133" s="27" t="inlineStr"/>
    </row>
    <row r="134">
      <c r="A134" s="27" t="inlineStr"/>
      <c r="B134" s="27" t="inlineStr"/>
      <c r="C134" s="27" t="inlineStr"/>
      <c r="D134" s="27" t="inlineStr"/>
      <c r="E134" s="27" t="inlineStr"/>
      <c r="F134" s="36" t="inlineStr"/>
      <c r="G134" s="27" t="inlineStr"/>
      <c r="H134" s="27" t="inlineStr"/>
      <c r="I134" s="27" t="inlineStr"/>
      <c r="J134" s="27" t="inlineStr"/>
    </row>
    <row r="135">
      <c r="A135" s="27" t="inlineStr"/>
      <c r="B135" s="27" t="inlineStr"/>
      <c r="C135" s="27" t="inlineStr"/>
      <c r="D135" s="27" t="inlineStr"/>
      <c r="E135" s="27" t="inlineStr"/>
      <c r="F135" s="36" t="inlineStr"/>
      <c r="G135" s="27" t="inlineStr"/>
      <c r="H135" s="27" t="inlineStr"/>
      <c r="I135" s="27" t="inlineStr"/>
      <c r="J135" s="27" t="inlineStr"/>
    </row>
    <row r="136">
      <c r="A136" s="27" t="inlineStr"/>
      <c r="B136" s="27" t="inlineStr"/>
      <c r="C136" s="27" t="inlineStr"/>
      <c r="D136" s="27" t="inlineStr"/>
      <c r="E136" s="27" t="inlineStr"/>
      <c r="F136" s="36" t="inlineStr"/>
      <c r="G136" s="27" t="inlineStr"/>
      <c r="H136" s="27" t="inlineStr"/>
      <c r="I136" s="27" t="inlineStr"/>
      <c r="J136" s="27" t="inlineStr"/>
    </row>
    <row r="137">
      <c r="A137" s="27" t="inlineStr"/>
      <c r="B137" s="27" t="inlineStr"/>
      <c r="C137" s="27" t="inlineStr"/>
      <c r="D137" s="27" t="inlineStr"/>
      <c r="E137" s="27" t="inlineStr"/>
      <c r="F137" s="36" t="inlineStr"/>
      <c r="G137" s="27" t="inlineStr"/>
      <c r="H137" s="27" t="inlineStr"/>
      <c r="I137" s="27" t="inlineStr"/>
      <c r="J137" s="27" t="inlineStr"/>
    </row>
    <row r="138">
      <c r="A138" s="27" t="inlineStr"/>
      <c r="B138" s="27" t="inlineStr"/>
      <c r="C138" s="27" t="inlineStr"/>
      <c r="D138" s="27" t="inlineStr"/>
      <c r="E138" s="27" t="inlineStr"/>
      <c r="F138" s="36" t="inlineStr"/>
      <c r="G138" s="27" t="inlineStr"/>
      <c r="H138" s="27" t="inlineStr"/>
      <c r="I138" s="27" t="inlineStr"/>
      <c r="J138" s="27" t="inlineStr"/>
    </row>
    <row r="139">
      <c r="A139" s="27" t="inlineStr"/>
      <c r="B139" s="27" t="inlineStr"/>
      <c r="C139" s="27" t="inlineStr"/>
      <c r="D139" s="27" t="inlineStr"/>
      <c r="E139" s="27" t="inlineStr"/>
      <c r="F139" s="36" t="inlineStr"/>
      <c r="G139" s="27" t="inlineStr"/>
      <c r="H139" s="27" t="inlineStr"/>
      <c r="I139" s="27" t="inlineStr"/>
      <c r="J139" s="27" t="inlineStr"/>
    </row>
    <row r="140">
      <c r="A140" s="27" t="inlineStr"/>
      <c r="B140" s="27" t="inlineStr"/>
      <c r="C140" s="27" t="inlineStr"/>
      <c r="D140" s="27" t="inlineStr"/>
      <c r="E140" s="27" t="inlineStr"/>
      <c r="F140" s="36" t="inlineStr"/>
      <c r="G140" s="27" t="inlineStr"/>
      <c r="H140" s="27" t="inlineStr"/>
      <c r="I140" s="27" t="inlineStr"/>
      <c r="J140" s="27" t="inlineStr"/>
    </row>
    <row r="141">
      <c r="A141" s="27" t="inlineStr"/>
      <c r="B141" s="27" t="inlineStr"/>
      <c r="C141" s="27" t="inlineStr"/>
      <c r="D141" s="27" t="inlineStr"/>
      <c r="E141" s="27" t="inlineStr"/>
      <c r="F141" s="36" t="inlineStr"/>
      <c r="G141" s="27" t="inlineStr"/>
      <c r="H141" s="27" t="inlineStr"/>
      <c r="I141" s="27" t="inlineStr"/>
      <c r="J141" s="27" t="inlineStr"/>
    </row>
    <row r="142">
      <c r="A142" s="27" t="inlineStr"/>
      <c r="B142" s="27" t="inlineStr"/>
      <c r="C142" s="27" t="inlineStr"/>
      <c r="D142" s="27" t="inlineStr"/>
      <c r="E142" s="27" t="inlineStr"/>
      <c r="F142" s="36" t="inlineStr"/>
      <c r="G142" s="27" t="inlineStr"/>
      <c r="H142" s="27" t="inlineStr"/>
      <c r="I142" s="27" t="inlineStr"/>
      <c r="J142" s="27" t="inlineStr"/>
    </row>
    <row r="143">
      <c r="A143" s="27" t="inlineStr"/>
      <c r="B143" s="27" t="inlineStr"/>
      <c r="C143" s="27" t="inlineStr"/>
      <c r="D143" s="27" t="inlineStr"/>
      <c r="E143" s="27" t="inlineStr"/>
      <c r="F143" s="36" t="inlineStr"/>
      <c r="G143" s="27" t="inlineStr"/>
      <c r="H143" s="27" t="inlineStr"/>
      <c r="I143" s="27" t="inlineStr"/>
      <c r="J143" s="27" t="inlineStr"/>
    </row>
    <row r="144">
      <c r="A144" s="27" t="inlineStr"/>
      <c r="B144" s="27" t="inlineStr"/>
      <c r="C144" s="27" t="inlineStr"/>
      <c r="D144" s="27" t="inlineStr"/>
      <c r="E144" s="27" t="inlineStr"/>
      <c r="F144" s="36" t="inlineStr"/>
      <c r="G144" s="27" t="inlineStr"/>
      <c r="H144" s="27" t="inlineStr"/>
      <c r="I144" s="27" t="inlineStr"/>
      <c r="J144" s="27" t="inlineStr"/>
    </row>
    <row r="145">
      <c r="A145" s="27" t="inlineStr"/>
      <c r="B145" s="27" t="inlineStr"/>
      <c r="C145" s="27" t="inlineStr"/>
      <c r="D145" s="27" t="inlineStr"/>
      <c r="E145" s="27" t="inlineStr"/>
      <c r="F145" s="36" t="inlineStr"/>
      <c r="G145" s="27" t="inlineStr"/>
      <c r="H145" s="27" t="inlineStr"/>
      <c r="I145" s="27" t="inlineStr"/>
      <c r="J145" s="27" t="inlineStr"/>
    </row>
    <row r="146">
      <c r="A146" s="27" t="inlineStr"/>
      <c r="B146" s="27" t="inlineStr"/>
      <c r="C146" s="27" t="inlineStr"/>
      <c r="D146" s="27" t="inlineStr"/>
      <c r="E146" s="27" t="inlineStr"/>
      <c r="F146" s="36" t="inlineStr"/>
      <c r="G146" s="27" t="inlineStr"/>
      <c r="H146" s="27" t="inlineStr"/>
      <c r="I146" s="27" t="inlineStr"/>
      <c r="J146" s="27" t="inlineStr"/>
    </row>
    <row r="147">
      <c r="A147" s="27" t="inlineStr"/>
      <c r="B147" s="27" t="inlineStr"/>
      <c r="C147" s="27" t="inlineStr"/>
      <c r="D147" s="27" t="inlineStr"/>
      <c r="E147" s="27" t="inlineStr"/>
      <c r="F147" s="36" t="inlineStr"/>
      <c r="G147" s="27" t="inlineStr"/>
      <c r="H147" s="27" t="inlineStr"/>
      <c r="I147" s="27" t="inlineStr"/>
      <c r="J147" s="27" t="inlineStr"/>
    </row>
    <row r="148">
      <c r="A148" s="27" t="inlineStr"/>
      <c r="B148" s="27" t="inlineStr"/>
      <c r="C148" s="27" t="inlineStr"/>
      <c r="D148" s="27" t="inlineStr"/>
      <c r="E148" s="27" t="inlineStr"/>
      <c r="F148" s="36" t="inlineStr"/>
      <c r="G148" s="27" t="inlineStr"/>
      <c r="H148" s="27" t="inlineStr"/>
      <c r="I148" s="27" t="inlineStr"/>
      <c r="J148" s="27" t="inlineStr"/>
    </row>
    <row r="149">
      <c r="A149" s="27" t="inlineStr"/>
      <c r="B149" s="27" t="inlineStr"/>
      <c r="C149" s="27" t="inlineStr"/>
      <c r="D149" s="27" t="inlineStr"/>
      <c r="E149" s="27" t="inlineStr"/>
      <c r="F149" s="36" t="inlineStr"/>
      <c r="G149" s="27" t="inlineStr"/>
      <c r="H149" s="27" t="inlineStr"/>
      <c r="I149" s="27" t="inlineStr"/>
      <c r="J149" s="27" t="inlineStr"/>
    </row>
    <row r="150">
      <c r="A150" s="27" t="inlineStr"/>
      <c r="B150" s="27" t="inlineStr"/>
      <c r="C150" s="27" t="inlineStr"/>
      <c r="D150" s="27" t="inlineStr"/>
      <c r="E150" s="27" t="inlineStr"/>
      <c r="F150" s="36" t="inlineStr"/>
      <c r="G150" s="27" t="inlineStr"/>
      <c r="H150" s="27" t="inlineStr"/>
      <c r="I150" s="27" t="inlineStr"/>
      <c r="J150" s="27" t="inlineStr"/>
    </row>
    <row r="151">
      <c r="A151" s="27" t="inlineStr"/>
      <c r="B151" s="27" t="inlineStr"/>
      <c r="C151" s="27" t="inlineStr"/>
      <c r="D151" s="27" t="inlineStr"/>
      <c r="E151" s="27" t="inlineStr"/>
      <c r="F151" s="36" t="inlineStr"/>
      <c r="G151" s="27" t="inlineStr"/>
      <c r="H151" s="27" t="inlineStr"/>
      <c r="I151" s="27" t="inlineStr"/>
      <c r="J151" s="27" t="inlineStr"/>
    </row>
    <row r="152">
      <c r="A152" s="27" t="inlineStr"/>
      <c r="B152" s="27" t="inlineStr"/>
      <c r="C152" s="27" t="inlineStr"/>
      <c r="D152" s="27" t="inlineStr"/>
      <c r="E152" s="27" t="inlineStr"/>
      <c r="F152" s="36" t="inlineStr"/>
      <c r="G152" s="27" t="inlineStr"/>
      <c r="H152" s="27" t="inlineStr"/>
      <c r="I152" s="27" t="inlineStr"/>
      <c r="J152" s="27" t="inlineStr"/>
    </row>
    <row r="153">
      <c r="A153" s="27" t="inlineStr"/>
      <c r="B153" s="27" t="inlineStr"/>
      <c r="C153" s="27" t="inlineStr"/>
      <c r="D153" s="27" t="inlineStr"/>
      <c r="E153" s="27" t="inlineStr"/>
      <c r="F153" s="36" t="inlineStr"/>
      <c r="G153" s="27" t="inlineStr"/>
      <c r="H153" s="27" t="inlineStr"/>
      <c r="I153" s="27" t="inlineStr"/>
      <c r="J153" s="27" t="inlineStr"/>
    </row>
    <row r="154">
      <c r="A154" s="27" t="inlineStr"/>
      <c r="B154" s="27" t="inlineStr"/>
      <c r="C154" s="27" t="inlineStr"/>
      <c r="D154" s="27" t="inlineStr"/>
      <c r="E154" s="27" t="inlineStr"/>
      <c r="F154" s="36" t="inlineStr"/>
      <c r="G154" s="27" t="inlineStr"/>
      <c r="H154" s="27" t="inlineStr"/>
      <c r="I154" s="27" t="inlineStr"/>
      <c r="J154" s="27" t="inlineStr"/>
    </row>
    <row r="155">
      <c r="A155" s="27" t="inlineStr"/>
      <c r="B155" s="27" t="inlineStr"/>
      <c r="C155" s="27" t="inlineStr"/>
      <c r="D155" s="27" t="inlineStr"/>
      <c r="E155" s="27" t="inlineStr"/>
      <c r="F155" s="36" t="inlineStr"/>
      <c r="G155" s="27" t="inlineStr"/>
      <c r="H155" s="27" t="inlineStr"/>
      <c r="I155" s="27" t="inlineStr"/>
      <c r="J155" s="27" t="inlineStr"/>
    </row>
    <row r="156">
      <c r="A156" s="27" t="inlineStr"/>
      <c r="B156" s="27" t="inlineStr"/>
      <c r="C156" s="27" t="inlineStr"/>
      <c r="D156" s="27" t="inlineStr"/>
      <c r="E156" s="27" t="inlineStr"/>
      <c r="F156" s="36" t="inlineStr"/>
      <c r="G156" s="27" t="inlineStr"/>
      <c r="H156" s="27" t="inlineStr"/>
      <c r="I156" s="27" t="inlineStr"/>
      <c r="J156" s="27" t="inlineStr"/>
    </row>
    <row r="157">
      <c r="A157" s="27" t="inlineStr"/>
      <c r="B157" s="27" t="inlineStr"/>
      <c r="C157" s="27" t="inlineStr"/>
      <c r="D157" s="27" t="inlineStr"/>
      <c r="E157" s="27" t="inlineStr"/>
      <c r="F157" s="36" t="inlineStr"/>
      <c r="G157" s="27" t="inlineStr"/>
      <c r="H157" s="27" t="inlineStr"/>
      <c r="I157" s="27" t="inlineStr"/>
      <c r="J157" s="27" t="inlineStr"/>
    </row>
    <row r="158">
      <c r="A158" s="27" t="inlineStr"/>
      <c r="B158" s="27" t="inlineStr"/>
      <c r="C158" s="27" t="inlineStr"/>
      <c r="D158" s="27" t="inlineStr"/>
      <c r="E158" s="27" t="inlineStr"/>
      <c r="F158" s="36" t="inlineStr"/>
      <c r="G158" s="27" t="inlineStr"/>
      <c r="H158" s="27" t="inlineStr"/>
      <c r="I158" s="27" t="inlineStr"/>
      <c r="J158" s="27" t="inlineStr"/>
    </row>
    <row r="159">
      <c r="A159" s="27" t="inlineStr"/>
      <c r="B159" s="27" t="inlineStr"/>
      <c r="C159" s="27" t="inlineStr"/>
      <c r="D159" s="27" t="inlineStr"/>
      <c r="E159" s="27" t="inlineStr"/>
      <c r="F159" s="36" t="inlineStr"/>
      <c r="G159" s="27" t="inlineStr"/>
      <c r="H159" s="27" t="inlineStr"/>
      <c r="I159" s="27" t="inlineStr"/>
      <c r="J159" s="27" t="inlineStr"/>
    </row>
    <row r="160">
      <c r="A160" s="27" t="inlineStr"/>
      <c r="B160" s="27" t="inlineStr"/>
      <c r="C160" s="27" t="inlineStr"/>
      <c r="D160" s="27" t="inlineStr"/>
      <c r="E160" s="27" t="inlineStr"/>
      <c r="F160" s="36" t="inlineStr"/>
      <c r="G160" s="27" t="inlineStr"/>
      <c r="H160" s="27" t="inlineStr"/>
      <c r="I160" s="27" t="inlineStr"/>
      <c r="J160" s="27" t="inlineStr"/>
    </row>
    <row r="161">
      <c r="A161" s="27" t="inlineStr"/>
      <c r="B161" s="27" t="inlineStr"/>
      <c r="C161" s="27" t="inlineStr"/>
      <c r="D161" s="27" t="inlineStr"/>
      <c r="E161" s="27" t="inlineStr"/>
      <c r="F161" s="36" t="inlineStr"/>
      <c r="G161" s="27" t="inlineStr"/>
      <c r="H161" s="27" t="inlineStr"/>
      <c r="I161" s="27" t="inlineStr"/>
      <c r="J161" s="27" t="inlineStr"/>
    </row>
    <row r="162">
      <c r="A162" s="27" t="inlineStr"/>
      <c r="B162" s="27" t="inlineStr"/>
      <c r="C162" s="27" t="inlineStr"/>
      <c r="D162" s="27" t="inlineStr"/>
      <c r="E162" s="27" t="inlineStr"/>
      <c r="F162" s="36" t="inlineStr"/>
      <c r="G162" s="27" t="inlineStr"/>
      <c r="H162" s="27" t="inlineStr"/>
      <c r="I162" s="27" t="inlineStr"/>
      <c r="J162" s="27" t="inlineStr"/>
    </row>
    <row r="163">
      <c r="A163" s="27" t="inlineStr"/>
      <c r="B163" s="27" t="inlineStr"/>
      <c r="C163" s="27" t="inlineStr"/>
      <c r="D163" s="27" t="inlineStr"/>
      <c r="E163" s="27" t="inlineStr"/>
      <c r="F163" s="36" t="inlineStr"/>
      <c r="G163" s="27" t="inlineStr"/>
      <c r="H163" s="27" t="inlineStr"/>
      <c r="I163" s="27" t="inlineStr"/>
      <c r="J163" s="27" t="inlineStr"/>
    </row>
    <row r="164">
      <c r="A164" s="27" t="inlineStr"/>
      <c r="B164" s="27" t="inlineStr"/>
      <c r="C164" s="27" t="inlineStr"/>
      <c r="D164" s="27" t="inlineStr"/>
      <c r="E164" s="27" t="inlineStr"/>
      <c r="F164" s="36" t="inlineStr"/>
      <c r="G164" s="27" t="inlineStr"/>
      <c r="H164" s="27" t="inlineStr"/>
      <c r="I164" s="27" t="inlineStr"/>
      <c r="J164" s="27" t="inlineStr"/>
    </row>
    <row r="165">
      <c r="A165" s="27" t="inlineStr"/>
      <c r="B165" s="27" t="inlineStr"/>
      <c r="C165" s="27" t="inlineStr"/>
      <c r="D165" s="27" t="inlineStr"/>
      <c r="E165" s="27" t="inlineStr"/>
      <c r="F165" s="36" t="inlineStr"/>
      <c r="G165" s="27" t="inlineStr"/>
      <c r="H165" s="27" t="inlineStr"/>
      <c r="I165" s="27" t="inlineStr"/>
      <c r="J165" s="27" t="inlineStr"/>
    </row>
    <row r="166">
      <c r="A166" s="27" t="inlineStr"/>
      <c r="B166" s="27" t="inlineStr"/>
      <c r="C166" s="27" t="inlineStr"/>
      <c r="D166" s="27" t="inlineStr"/>
      <c r="E166" s="27" t="inlineStr"/>
      <c r="F166" s="36" t="inlineStr"/>
      <c r="G166" s="27" t="inlineStr"/>
      <c r="H166" s="27" t="inlineStr"/>
      <c r="I166" s="27" t="inlineStr"/>
      <c r="J166" s="27" t="inlineStr"/>
    </row>
    <row r="167">
      <c r="A167" s="27" t="inlineStr"/>
      <c r="B167" s="27" t="inlineStr"/>
      <c r="C167" s="27" t="inlineStr"/>
      <c r="D167" s="27" t="inlineStr"/>
      <c r="E167" s="27" t="inlineStr"/>
      <c r="F167" s="36" t="inlineStr"/>
      <c r="G167" s="27" t="inlineStr"/>
      <c r="H167" s="27" t="inlineStr"/>
      <c r="I167" s="27" t="inlineStr"/>
      <c r="J167" s="27" t="inlineStr"/>
    </row>
    <row r="168">
      <c r="A168" s="27" t="inlineStr"/>
      <c r="B168" s="27" t="inlineStr"/>
      <c r="C168" s="27" t="inlineStr"/>
      <c r="D168" s="27" t="inlineStr"/>
      <c r="E168" s="27" t="inlineStr"/>
      <c r="F168" s="36" t="inlineStr"/>
      <c r="G168" s="27" t="inlineStr"/>
      <c r="H168" s="27" t="inlineStr"/>
      <c r="I168" s="27" t="inlineStr"/>
      <c r="J168" s="27" t="inlineStr"/>
    </row>
    <row r="169">
      <c r="A169" s="27" t="inlineStr"/>
      <c r="B169" s="27" t="inlineStr"/>
      <c r="C169" s="27" t="inlineStr"/>
      <c r="D169" s="27" t="inlineStr"/>
      <c r="E169" s="27" t="inlineStr"/>
      <c r="F169" s="36" t="inlineStr"/>
      <c r="G169" s="27" t="inlineStr"/>
      <c r="H169" s="27" t="inlineStr"/>
      <c r="I169" s="27" t="inlineStr"/>
      <c r="J169" s="27" t="inlineStr"/>
    </row>
    <row r="170">
      <c r="A170" s="27" t="inlineStr"/>
      <c r="B170" s="27" t="inlineStr"/>
      <c r="C170" s="27" t="inlineStr"/>
      <c r="D170" s="27" t="inlineStr"/>
      <c r="E170" s="27" t="inlineStr"/>
      <c r="F170" s="36" t="inlineStr"/>
      <c r="G170" s="27" t="inlineStr"/>
      <c r="H170" s="27" t="inlineStr"/>
      <c r="I170" s="27" t="inlineStr"/>
      <c r="J170" s="27" t="inlineStr"/>
    </row>
    <row r="171">
      <c r="A171" s="27" t="inlineStr"/>
      <c r="B171" s="27" t="inlineStr"/>
      <c r="C171" s="27" t="inlineStr"/>
      <c r="D171" s="27" t="inlineStr"/>
      <c r="E171" s="27" t="inlineStr"/>
      <c r="F171" s="36" t="inlineStr"/>
      <c r="G171" s="27" t="inlineStr"/>
      <c r="H171" s="27" t="inlineStr"/>
      <c r="I171" s="27" t="inlineStr"/>
      <c r="J171" s="27" t="inlineStr"/>
    </row>
    <row r="172">
      <c r="A172" s="27" t="inlineStr"/>
      <c r="B172" s="27" t="inlineStr"/>
      <c r="C172" s="27" t="inlineStr"/>
      <c r="D172" s="27" t="inlineStr"/>
      <c r="E172" s="27" t="inlineStr"/>
      <c r="F172" s="36" t="inlineStr"/>
      <c r="G172" s="27" t="inlineStr"/>
      <c r="H172" s="27" t="inlineStr"/>
      <c r="I172" s="27" t="inlineStr"/>
      <c r="J172" s="27" t="inlineStr"/>
    </row>
    <row r="173">
      <c r="A173" s="27" t="inlineStr"/>
      <c r="B173" s="27" t="inlineStr"/>
      <c r="C173" s="27" t="inlineStr"/>
      <c r="D173" s="27" t="inlineStr"/>
      <c r="E173" s="27" t="inlineStr"/>
      <c r="F173" s="36" t="inlineStr"/>
      <c r="G173" s="27" t="inlineStr"/>
      <c r="H173" s="27" t="inlineStr"/>
      <c r="I173" s="27" t="inlineStr"/>
      <c r="J173" s="27" t="inlineStr"/>
    </row>
    <row r="174">
      <c r="A174" s="27" t="inlineStr"/>
      <c r="B174" s="27" t="inlineStr"/>
      <c r="C174" s="27" t="inlineStr"/>
      <c r="D174" s="27" t="inlineStr"/>
      <c r="E174" s="27" t="inlineStr"/>
      <c r="F174" s="36" t="inlineStr"/>
      <c r="G174" s="27" t="inlineStr"/>
      <c r="H174" s="27" t="inlineStr"/>
      <c r="I174" s="27" t="inlineStr"/>
      <c r="J174" s="27" t="inlineStr"/>
    </row>
    <row r="175">
      <c r="A175" s="27" t="inlineStr"/>
      <c r="B175" s="27" t="inlineStr"/>
      <c r="C175" s="27" t="inlineStr"/>
      <c r="D175" s="27" t="inlineStr"/>
      <c r="E175" s="27" t="inlineStr"/>
      <c r="F175" s="36" t="inlineStr"/>
      <c r="G175" s="27" t="inlineStr"/>
      <c r="H175" s="27" t="inlineStr"/>
      <c r="I175" s="27" t="inlineStr"/>
      <c r="J175" s="27" t="inlineStr"/>
    </row>
    <row r="176">
      <c r="A176" s="27" t="inlineStr"/>
      <c r="B176" s="27" t="inlineStr"/>
      <c r="C176" s="27" t="inlineStr"/>
      <c r="D176" s="27" t="inlineStr"/>
      <c r="E176" s="27" t="inlineStr"/>
      <c r="F176" s="36" t="inlineStr"/>
      <c r="G176" s="27" t="inlineStr"/>
      <c r="H176" s="27" t="inlineStr"/>
      <c r="I176" s="27" t="inlineStr"/>
      <c r="J176" s="27" t="inlineStr"/>
    </row>
    <row r="177">
      <c r="A177" s="27" t="inlineStr"/>
      <c r="B177" s="27" t="inlineStr"/>
      <c r="C177" s="27" t="inlineStr"/>
      <c r="D177" s="27" t="inlineStr"/>
      <c r="E177" s="27" t="inlineStr"/>
      <c r="F177" s="36" t="inlineStr"/>
      <c r="G177" s="27" t="inlineStr"/>
      <c r="H177" s="27" t="inlineStr"/>
      <c r="I177" s="27" t="inlineStr"/>
      <c r="J177" s="27" t="inlineStr"/>
    </row>
    <row r="178">
      <c r="A178" s="27" t="inlineStr"/>
      <c r="B178" s="27" t="inlineStr"/>
      <c r="C178" s="27" t="inlineStr"/>
      <c r="D178" s="27" t="inlineStr"/>
      <c r="E178" s="27" t="inlineStr"/>
      <c r="F178" s="36" t="inlineStr"/>
      <c r="G178" s="27" t="inlineStr"/>
      <c r="H178" s="27" t="inlineStr"/>
      <c r="I178" s="27" t="inlineStr"/>
      <c r="J178" s="27" t="inlineStr"/>
    </row>
    <row r="179">
      <c r="A179" s="27" t="inlineStr"/>
      <c r="B179" s="27" t="inlineStr"/>
      <c r="C179" s="27" t="inlineStr"/>
      <c r="D179" s="27" t="inlineStr"/>
      <c r="E179" s="27" t="inlineStr"/>
      <c r="F179" s="36" t="inlineStr"/>
      <c r="G179" s="27" t="inlineStr"/>
      <c r="H179" s="27" t="inlineStr"/>
      <c r="I179" s="27" t="inlineStr"/>
      <c r="J179" s="27" t="inlineStr"/>
    </row>
    <row r="180">
      <c r="A180" s="27" t="inlineStr"/>
      <c r="B180" s="27" t="inlineStr"/>
      <c r="C180" s="27" t="inlineStr"/>
      <c r="D180" s="27" t="inlineStr"/>
      <c r="E180" s="27" t="inlineStr"/>
      <c r="F180" s="36" t="inlineStr"/>
      <c r="G180" s="27" t="inlineStr"/>
      <c r="H180" s="27" t="inlineStr"/>
      <c r="I180" s="27" t="inlineStr"/>
      <c r="J180" s="27" t="inlineStr"/>
    </row>
    <row r="181">
      <c r="A181" s="27" t="inlineStr"/>
      <c r="B181" s="27" t="inlineStr"/>
      <c r="C181" s="27" t="inlineStr"/>
      <c r="D181" s="27" t="inlineStr"/>
      <c r="E181" s="27" t="inlineStr"/>
      <c r="F181" s="36" t="inlineStr"/>
      <c r="G181" s="27" t="inlineStr"/>
      <c r="H181" s="27" t="inlineStr"/>
      <c r="I181" s="27" t="inlineStr"/>
      <c r="J181" s="27" t="inlineStr"/>
    </row>
    <row r="182">
      <c r="A182" s="27" t="inlineStr"/>
      <c r="B182" s="27" t="inlineStr"/>
      <c r="C182" s="27" t="inlineStr"/>
      <c r="D182" s="27" t="inlineStr"/>
      <c r="E182" s="27" t="inlineStr"/>
      <c r="F182" s="36" t="inlineStr"/>
      <c r="G182" s="27" t="inlineStr"/>
      <c r="H182" s="27" t="inlineStr"/>
      <c r="I182" s="27" t="inlineStr"/>
      <c r="J182" s="27" t="inlineStr"/>
    </row>
    <row r="183">
      <c r="A183" s="27" t="inlineStr"/>
      <c r="B183" s="27" t="inlineStr"/>
      <c r="C183" s="27" t="inlineStr"/>
      <c r="D183" s="27" t="inlineStr"/>
      <c r="E183" s="27" t="inlineStr"/>
      <c r="F183" s="36" t="inlineStr"/>
      <c r="G183" s="27" t="inlineStr"/>
      <c r="H183" s="27" t="inlineStr"/>
      <c r="I183" s="27" t="inlineStr"/>
      <c r="J183" s="27" t="inlineStr"/>
    </row>
    <row r="184">
      <c r="A184" s="27" t="inlineStr"/>
      <c r="B184" s="27" t="inlineStr"/>
      <c r="C184" s="27" t="inlineStr"/>
      <c r="D184" s="27" t="inlineStr"/>
      <c r="E184" s="27" t="inlineStr"/>
      <c r="F184" s="36" t="inlineStr"/>
      <c r="G184" s="27" t="inlineStr"/>
      <c r="H184" s="27" t="inlineStr"/>
      <c r="I184" s="27" t="inlineStr"/>
      <c r="J184" s="27" t="inlineStr"/>
    </row>
    <row r="185">
      <c r="A185" s="27" t="inlineStr"/>
      <c r="B185" s="27" t="inlineStr"/>
      <c r="C185" s="27" t="inlineStr"/>
      <c r="D185" s="27" t="inlineStr"/>
      <c r="E185" s="27" t="inlineStr"/>
      <c r="F185" s="36" t="inlineStr"/>
      <c r="G185" s="27" t="inlineStr"/>
      <c r="H185" s="27" t="inlineStr"/>
      <c r="I185" s="27" t="inlineStr"/>
      <c r="J185" s="27" t="inlineStr"/>
    </row>
    <row r="186">
      <c r="A186" s="27" t="inlineStr"/>
      <c r="B186" s="27" t="inlineStr"/>
      <c r="C186" s="27" t="inlineStr"/>
      <c r="D186" s="27" t="inlineStr"/>
      <c r="E186" s="27" t="inlineStr"/>
      <c r="F186" s="36" t="inlineStr"/>
      <c r="G186" s="27" t="inlineStr"/>
      <c r="H186" s="27" t="inlineStr"/>
      <c r="I186" s="27" t="inlineStr"/>
      <c r="J186" s="27" t="inlineStr"/>
    </row>
    <row r="187">
      <c r="A187" s="27" t="inlineStr"/>
      <c r="B187" s="27" t="inlineStr"/>
      <c r="C187" s="27" t="inlineStr"/>
      <c r="D187" s="27" t="inlineStr"/>
      <c r="E187" s="27" t="inlineStr"/>
      <c r="F187" s="36" t="inlineStr"/>
      <c r="G187" s="27" t="inlineStr"/>
      <c r="H187" s="27" t="inlineStr"/>
      <c r="I187" s="27" t="inlineStr"/>
      <c r="J187" s="27" t="inlineStr"/>
    </row>
    <row r="188">
      <c r="A188" s="27" t="inlineStr"/>
      <c r="B188" s="27" t="inlineStr"/>
      <c r="C188" s="27" t="inlineStr"/>
      <c r="D188" s="27" t="inlineStr"/>
      <c r="E188" s="27" t="inlineStr"/>
      <c r="F188" s="36" t="inlineStr"/>
      <c r="G188" s="27" t="inlineStr"/>
      <c r="H188" s="27" t="inlineStr"/>
      <c r="I188" s="27" t="inlineStr"/>
      <c r="J188" s="27" t="inlineStr"/>
    </row>
    <row r="189">
      <c r="A189" s="27" t="inlineStr"/>
      <c r="B189" s="27" t="inlineStr"/>
      <c r="C189" s="27" t="inlineStr"/>
      <c r="D189" s="27" t="inlineStr"/>
      <c r="E189" s="27" t="inlineStr"/>
      <c r="F189" s="36" t="inlineStr"/>
      <c r="G189" s="27" t="inlineStr"/>
      <c r="H189" s="27" t="inlineStr"/>
      <c r="I189" s="27" t="inlineStr"/>
      <c r="J189" s="27" t="inlineStr"/>
    </row>
    <row r="190">
      <c r="A190" s="27" t="inlineStr"/>
      <c r="B190" s="27" t="inlineStr"/>
      <c r="C190" s="27" t="inlineStr"/>
      <c r="D190" s="27" t="inlineStr"/>
      <c r="E190" s="27" t="inlineStr"/>
      <c r="F190" s="36" t="inlineStr"/>
      <c r="G190" s="27" t="inlineStr"/>
      <c r="H190" s="27" t="inlineStr"/>
      <c r="I190" s="27" t="inlineStr"/>
      <c r="J190" s="27" t="inlineStr"/>
    </row>
    <row r="191">
      <c r="A191" s="27" t="inlineStr"/>
      <c r="B191" s="27" t="inlineStr"/>
      <c r="C191" s="27" t="inlineStr"/>
      <c r="D191" s="27" t="inlineStr"/>
      <c r="E191" s="27" t="inlineStr"/>
      <c r="F191" s="36" t="inlineStr"/>
      <c r="G191" s="27" t="inlineStr"/>
      <c r="H191" s="27" t="inlineStr"/>
      <c r="I191" s="27" t="inlineStr"/>
      <c r="J191" s="27" t="inlineStr"/>
    </row>
    <row r="192">
      <c r="A192" s="27" t="inlineStr"/>
      <c r="B192" s="27" t="inlineStr"/>
      <c r="C192" s="27" t="inlineStr"/>
      <c r="D192" s="27" t="inlineStr"/>
      <c r="E192" s="27" t="inlineStr"/>
      <c r="F192" s="36" t="inlineStr"/>
      <c r="G192" s="27" t="inlineStr"/>
      <c r="H192" s="27" t="inlineStr"/>
      <c r="I192" s="27" t="inlineStr"/>
      <c r="J192" s="27" t="inlineStr"/>
    </row>
    <row r="193">
      <c r="A193" s="27" t="inlineStr"/>
      <c r="B193" s="27" t="inlineStr"/>
      <c r="C193" s="27" t="inlineStr"/>
      <c r="D193" s="27" t="inlineStr"/>
      <c r="E193" s="27" t="inlineStr"/>
      <c r="F193" s="36" t="inlineStr"/>
      <c r="G193" s="27" t="inlineStr"/>
      <c r="H193" s="27" t="inlineStr"/>
      <c r="I193" s="27" t="inlineStr"/>
      <c r="J193" s="27" t="inlineStr"/>
    </row>
    <row r="194">
      <c r="A194" s="27" t="inlineStr"/>
      <c r="B194" s="27" t="inlineStr"/>
      <c r="C194" s="27" t="inlineStr"/>
      <c r="D194" s="27" t="inlineStr"/>
      <c r="E194" s="27" t="inlineStr"/>
      <c r="F194" s="36" t="inlineStr"/>
      <c r="G194" s="27" t="inlineStr"/>
      <c r="H194" s="27" t="inlineStr"/>
      <c r="I194" s="27" t="inlineStr"/>
      <c r="J194" s="27" t="inlineStr"/>
    </row>
    <row r="195">
      <c r="A195" s="27" t="inlineStr"/>
      <c r="B195" s="27" t="inlineStr"/>
      <c r="C195" s="27" t="inlineStr"/>
      <c r="D195" s="27" t="inlineStr"/>
      <c r="E195" s="27" t="inlineStr"/>
      <c r="F195" s="36" t="inlineStr"/>
      <c r="G195" s="27" t="inlineStr"/>
      <c r="H195" s="27" t="inlineStr"/>
      <c r="I195" s="27" t="inlineStr"/>
      <c r="J195" s="27" t="inlineStr"/>
    </row>
    <row r="196">
      <c r="A196" s="27" t="inlineStr"/>
      <c r="B196" s="27" t="inlineStr"/>
      <c r="C196" s="27" t="inlineStr"/>
      <c r="D196" s="27" t="inlineStr"/>
      <c r="E196" s="27" t="inlineStr"/>
      <c r="F196" s="36" t="inlineStr"/>
      <c r="G196" s="27" t="inlineStr"/>
      <c r="H196" s="27" t="inlineStr"/>
      <c r="I196" s="27" t="inlineStr"/>
      <c r="J196" s="27" t="inlineStr"/>
    </row>
    <row r="197">
      <c r="A197" s="27" t="inlineStr"/>
      <c r="B197" s="27" t="inlineStr"/>
      <c r="C197" s="27" t="inlineStr"/>
      <c r="D197" s="27" t="inlineStr"/>
      <c r="E197" s="27" t="inlineStr"/>
      <c r="F197" s="36" t="inlineStr"/>
      <c r="G197" s="27" t="inlineStr"/>
      <c r="H197" s="27" t="inlineStr"/>
      <c r="I197" s="27" t="inlineStr"/>
      <c r="J197" s="27" t="inlineStr"/>
    </row>
    <row r="198">
      <c r="A198" s="27" t="inlineStr"/>
      <c r="B198" s="27" t="inlineStr"/>
      <c r="C198" s="27" t="inlineStr"/>
      <c r="D198" s="27" t="inlineStr"/>
      <c r="E198" s="27" t="inlineStr"/>
      <c r="F198" s="36" t="inlineStr"/>
      <c r="G198" s="27" t="inlineStr"/>
      <c r="H198" s="27" t="inlineStr"/>
      <c r="I198" s="27" t="inlineStr"/>
      <c r="J198" s="27" t="inlineStr"/>
    </row>
    <row r="199">
      <c r="A199" s="27" t="inlineStr"/>
      <c r="B199" s="27" t="inlineStr"/>
      <c r="C199" s="27" t="inlineStr"/>
      <c r="D199" s="27" t="inlineStr"/>
      <c r="E199" s="27" t="inlineStr"/>
      <c r="F199" s="36" t="inlineStr"/>
      <c r="G199" s="27" t="inlineStr"/>
      <c r="H199" s="27" t="inlineStr"/>
      <c r="I199" s="27" t="inlineStr"/>
      <c r="J199" s="27" t="inlineStr"/>
    </row>
    <row r="200">
      <c r="A200" s="27" t="inlineStr"/>
      <c r="B200" s="27" t="inlineStr"/>
      <c r="C200" s="27" t="inlineStr"/>
      <c r="D200" s="27" t="inlineStr"/>
      <c r="E200" s="27" t="inlineStr"/>
      <c r="F200" s="36" t="inlineStr"/>
      <c r="G200" s="27" t="inlineStr"/>
      <c r="H200" s="27" t="inlineStr"/>
      <c r="I200" s="27" t="inlineStr"/>
      <c r="J200" s="27" t="inlineStr"/>
    </row>
    <row r="201">
      <c r="A201" s="27" t="inlineStr"/>
      <c r="B201" s="27" t="inlineStr"/>
      <c r="C201" s="27" t="inlineStr"/>
      <c r="D201" s="27" t="inlineStr"/>
      <c r="E201" s="27" t="inlineStr"/>
      <c r="F201" s="36" t="inlineStr"/>
      <c r="G201" s="27" t="inlineStr"/>
      <c r="H201" s="27" t="inlineStr"/>
      <c r="I201" s="27" t="inlineStr"/>
      <c r="J201" s="27" t="inlineStr"/>
    </row>
    <row r="202">
      <c r="A202" s="27" t="inlineStr"/>
      <c r="B202" s="27" t="inlineStr"/>
      <c r="C202" s="27" t="inlineStr"/>
      <c r="D202" s="27" t="inlineStr"/>
      <c r="E202" s="27" t="inlineStr"/>
      <c r="F202" s="36" t="inlineStr"/>
      <c r="G202" s="27" t="inlineStr"/>
      <c r="H202" s="27" t="inlineStr"/>
      <c r="I202" s="27" t="inlineStr"/>
      <c r="J202" s="27" t="inlineStr"/>
    </row>
    <row r="203">
      <c r="A203" s="27" t="inlineStr"/>
      <c r="B203" s="27" t="inlineStr"/>
      <c r="C203" s="27" t="inlineStr"/>
      <c r="D203" s="27" t="inlineStr"/>
      <c r="E203" s="27" t="inlineStr"/>
      <c r="F203" s="36" t="inlineStr"/>
      <c r="G203" s="27" t="inlineStr"/>
      <c r="H203" s="27" t="inlineStr"/>
      <c r="I203" s="27" t="inlineStr"/>
      <c r="J203" s="27" t="inlineStr"/>
    </row>
    <row r="204">
      <c r="A204" s="27" t="inlineStr"/>
      <c r="B204" s="27" t="inlineStr"/>
      <c r="C204" s="27" t="inlineStr"/>
      <c r="D204" s="27" t="inlineStr"/>
      <c r="E204" s="27" t="inlineStr"/>
      <c r="F204" s="36" t="inlineStr"/>
      <c r="G204" s="27" t="inlineStr"/>
      <c r="H204" s="27" t="inlineStr"/>
      <c r="I204" s="27" t="inlineStr"/>
      <c r="J204" s="27" t="inlineStr"/>
    </row>
    <row r="205">
      <c r="A205" s="27" t="inlineStr"/>
      <c r="B205" s="27" t="inlineStr"/>
      <c r="C205" s="27" t="inlineStr"/>
      <c r="D205" s="27" t="inlineStr"/>
      <c r="E205" s="27" t="inlineStr"/>
      <c r="F205" s="36" t="inlineStr"/>
      <c r="G205" s="27" t="inlineStr"/>
      <c r="H205" s="27" t="inlineStr"/>
      <c r="I205" s="27" t="inlineStr"/>
      <c r="J205" s="27" t="inlineStr"/>
    </row>
    <row r="206">
      <c r="A206" s="27" t="inlineStr"/>
      <c r="B206" s="27" t="inlineStr"/>
      <c r="C206" s="27" t="inlineStr"/>
      <c r="D206" s="27" t="inlineStr"/>
      <c r="E206" s="27" t="inlineStr"/>
      <c r="F206" s="36" t="inlineStr"/>
      <c r="G206" s="27" t="inlineStr"/>
      <c r="H206" s="27" t="inlineStr"/>
      <c r="I206" s="27" t="inlineStr"/>
      <c r="J206" s="27" t="inlineStr"/>
    </row>
    <row r="207">
      <c r="A207" s="27" t="inlineStr"/>
      <c r="B207" s="27" t="inlineStr"/>
      <c r="C207" s="27" t="inlineStr"/>
      <c r="D207" s="27" t="inlineStr"/>
      <c r="E207" s="27" t="inlineStr"/>
      <c r="F207" s="36" t="inlineStr"/>
      <c r="G207" s="27" t="inlineStr"/>
      <c r="H207" s="27" t="inlineStr"/>
      <c r="I207" s="27" t="inlineStr"/>
      <c r="J207" s="27" t="inlineStr"/>
    </row>
    <row r="208">
      <c r="A208" s="27" t="inlineStr"/>
      <c r="B208" s="27" t="inlineStr"/>
      <c r="C208" s="27" t="inlineStr"/>
      <c r="D208" s="27" t="inlineStr"/>
      <c r="E208" s="27" t="inlineStr"/>
      <c r="F208" s="36" t="inlineStr"/>
      <c r="G208" s="27" t="inlineStr"/>
      <c r="H208" s="27" t="inlineStr"/>
      <c r="I208" s="27" t="inlineStr"/>
      <c r="J208" s="27" t="inlineStr"/>
    </row>
    <row r="209">
      <c r="A209" s="27" t="inlineStr"/>
      <c r="B209" s="27" t="inlineStr"/>
      <c r="C209" s="27" t="inlineStr"/>
      <c r="D209" s="27" t="inlineStr"/>
      <c r="E209" s="27" t="inlineStr"/>
      <c r="F209" s="36" t="inlineStr"/>
      <c r="G209" s="27" t="inlineStr"/>
      <c r="H209" s="27" t="inlineStr"/>
      <c r="I209" s="27" t="inlineStr"/>
      <c r="J209" s="27" t="inlineStr"/>
    </row>
    <row r="210">
      <c r="A210" s="27" t="inlineStr"/>
      <c r="B210" s="27" t="inlineStr"/>
      <c r="C210" s="27" t="inlineStr"/>
      <c r="D210" s="27" t="inlineStr"/>
      <c r="E210" s="27" t="inlineStr"/>
      <c r="F210" s="36" t="inlineStr"/>
      <c r="G210" s="27" t="inlineStr"/>
      <c r="H210" s="27" t="inlineStr"/>
      <c r="I210" s="27" t="inlineStr"/>
      <c r="J210" s="27" t="inlineStr"/>
    </row>
    <row r="211">
      <c r="A211" s="27" t="inlineStr"/>
      <c r="B211" s="27" t="inlineStr"/>
      <c r="C211" s="27" t="inlineStr"/>
      <c r="D211" s="27" t="inlineStr"/>
      <c r="E211" s="27" t="inlineStr"/>
      <c r="F211" s="36" t="inlineStr"/>
      <c r="G211" s="27" t="inlineStr"/>
      <c r="H211" s="27" t="inlineStr"/>
      <c r="I211" s="27" t="inlineStr"/>
      <c r="J211" s="27" t="inlineStr"/>
    </row>
    <row r="212">
      <c r="A212" s="27" t="inlineStr"/>
      <c r="B212" s="27" t="inlineStr"/>
      <c r="C212" s="27" t="inlineStr"/>
      <c r="D212" s="27" t="inlineStr"/>
      <c r="E212" s="27" t="inlineStr"/>
      <c r="F212" s="36" t="inlineStr"/>
      <c r="G212" s="27" t="inlineStr"/>
      <c r="H212" s="27" t="inlineStr"/>
      <c r="I212" s="27" t="inlineStr"/>
      <c r="J212" s="27" t="inlineStr"/>
    </row>
    <row r="213">
      <c r="A213" s="27" t="inlineStr"/>
      <c r="B213" s="27" t="inlineStr"/>
      <c r="C213" s="27" t="inlineStr"/>
      <c r="D213" s="27" t="inlineStr"/>
      <c r="E213" s="27" t="inlineStr"/>
      <c r="F213" s="36" t="inlineStr"/>
      <c r="G213" s="27" t="inlineStr"/>
      <c r="H213" s="27" t="inlineStr"/>
      <c r="I213" s="27" t="inlineStr"/>
      <c r="J213" s="27" t="inlineStr"/>
    </row>
    <row r="214">
      <c r="A214" s="27" t="inlineStr"/>
      <c r="B214" s="27" t="inlineStr"/>
      <c r="C214" s="27" t="inlineStr"/>
      <c r="D214" s="27" t="inlineStr"/>
      <c r="E214" s="27" t="inlineStr"/>
      <c r="F214" s="36" t="inlineStr"/>
      <c r="G214" s="27" t="inlineStr"/>
      <c r="H214" s="27" t="inlineStr"/>
      <c r="I214" s="27" t="inlineStr"/>
      <c r="J214" s="27" t="inlineStr"/>
    </row>
    <row r="215">
      <c r="A215" s="27" t="inlineStr"/>
      <c r="B215" s="27" t="inlineStr"/>
      <c r="C215" s="27" t="inlineStr"/>
      <c r="D215" s="27" t="inlineStr"/>
      <c r="E215" s="27" t="inlineStr"/>
      <c r="F215" s="36" t="inlineStr"/>
      <c r="G215" s="27" t="inlineStr"/>
      <c r="H215" s="27" t="inlineStr"/>
      <c r="I215" s="27" t="inlineStr"/>
      <c r="J215" s="27" t="inlineStr"/>
    </row>
    <row r="216">
      <c r="A216" s="27" t="inlineStr"/>
      <c r="B216" s="27" t="inlineStr"/>
      <c r="C216" s="27" t="inlineStr"/>
      <c r="D216" s="27" t="inlineStr"/>
      <c r="E216" s="27" t="inlineStr"/>
      <c r="F216" s="36" t="inlineStr"/>
      <c r="G216" s="27" t="inlineStr"/>
      <c r="H216" s="27" t="inlineStr"/>
      <c r="I216" s="27" t="inlineStr"/>
      <c r="J216" s="27" t="inlineStr"/>
    </row>
    <row r="217">
      <c r="A217" s="27" t="inlineStr"/>
      <c r="B217" s="27" t="inlineStr"/>
      <c r="C217" s="27" t="inlineStr"/>
      <c r="D217" s="27" t="inlineStr"/>
      <c r="E217" s="27" t="inlineStr"/>
      <c r="F217" s="36" t="inlineStr"/>
      <c r="G217" s="27" t="inlineStr"/>
      <c r="H217" s="27" t="inlineStr"/>
      <c r="I217" s="27" t="inlineStr"/>
      <c r="J217" s="27" t="inlineStr"/>
    </row>
    <row r="218">
      <c r="A218" s="27" t="inlineStr"/>
      <c r="B218" s="27" t="inlineStr"/>
      <c r="C218" s="27" t="inlineStr"/>
      <c r="D218" s="27" t="inlineStr"/>
      <c r="E218" s="27" t="inlineStr"/>
      <c r="F218" s="36" t="inlineStr"/>
      <c r="G218" s="27" t="inlineStr"/>
      <c r="H218" s="27" t="inlineStr"/>
      <c r="I218" s="27" t="inlineStr"/>
      <c r="J218" s="27" t="inlineStr"/>
    </row>
    <row r="219">
      <c r="A219" s="27" t="inlineStr"/>
      <c r="B219" s="27" t="inlineStr"/>
      <c r="C219" s="27" t="inlineStr"/>
      <c r="D219" s="27" t="inlineStr"/>
      <c r="E219" s="27" t="inlineStr"/>
      <c r="F219" s="36" t="inlineStr"/>
      <c r="G219" s="27" t="inlineStr"/>
      <c r="H219" s="27" t="inlineStr"/>
      <c r="I219" s="27" t="inlineStr"/>
      <c r="J219" s="27" t="inlineStr"/>
    </row>
    <row r="220">
      <c r="A220" s="27" t="inlineStr"/>
      <c r="B220" s="27" t="inlineStr"/>
      <c r="C220" s="27" t="inlineStr"/>
      <c r="D220" s="27" t="inlineStr"/>
      <c r="E220" s="27" t="inlineStr"/>
      <c r="F220" s="36" t="inlineStr"/>
      <c r="G220" s="27" t="inlineStr"/>
      <c r="H220" s="27" t="inlineStr"/>
      <c r="I220" s="27" t="inlineStr"/>
      <c r="J220" s="27" t="inlineStr"/>
    </row>
    <row r="221">
      <c r="A221" s="27" t="inlineStr"/>
      <c r="B221" s="27" t="inlineStr"/>
      <c r="C221" s="27" t="inlineStr"/>
      <c r="D221" s="27" t="inlineStr"/>
      <c r="E221" s="27" t="inlineStr"/>
      <c r="F221" s="36" t="inlineStr"/>
      <c r="G221" s="27" t="inlineStr"/>
      <c r="H221" s="27" t="inlineStr"/>
      <c r="I221" s="27" t="inlineStr"/>
      <c r="J221" s="27" t="inlineStr"/>
    </row>
    <row r="222">
      <c r="A222" s="27" t="inlineStr"/>
      <c r="B222" s="27" t="inlineStr"/>
      <c r="C222" s="27" t="inlineStr"/>
      <c r="D222" s="27" t="inlineStr"/>
      <c r="E222" s="27" t="inlineStr"/>
      <c r="F222" s="36" t="inlineStr"/>
      <c r="G222" s="27" t="inlineStr"/>
      <c r="H222" s="27" t="inlineStr"/>
      <c r="I222" s="27" t="inlineStr"/>
      <c r="J222" s="27" t="inlineStr"/>
    </row>
    <row r="223">
      <c r="A223" s="27" t="inlineStr"/>
      <c r="B223" s="27" t="inlineStr"/>
      <c r="C223" s="27" t="inlineStr"/>
      <c r="D223" s="27" t="inlineStr"/>
      <c r="E223" s="27" t="inlineStr"/>
      <c r="F223" s="36" t="inlineStr"/>
      <c r="G223" s="27" t="inlineStr"/>
      <c r="H223" s="27" t="inlineStr"/>
      <c r="I223" s="27" t="inlineStr"/>
      <c r="J223" s="27" t="inlineStr"/>
    </row>
    <row r="224">
      <c r="A224" s="27" t="inlineStr"/>
      <c r="B224" s="27" t="inlineStr"/>
      <c r="C224" s="27" t="inlineStr"/>
      <c r="D224" s="27" t="inlineStr"/>
      <c r="E224" s="27" t="inlineStr"/>
      <c r="F224" s="36" t="inlineStr"/>
      <c r="G224" s="27" t="inlineStr"/>
      <c r="H224" s="27" t="inlineStr"/>
      <c r="I224" s="27" t="inlineStr"/>
      <c r="J224" s="27" t="inlineStr"/>
    </row>
    <row r="225">
      <c r="A225" s="27" t="inlineStr"/>
      <c r="B225" s="27" t="inlineStr"/>
      <c r="C225" s="27" t="inlineStr"/>
      <c r="D225" s="27" t="inlineStr"/>
      <c r="E225" s="27" t="inlineStr"/>
      <c r="F225" s="36" t="inlineStr"/>
      <c r="G225" s="27" t="inlineStr"/>
      <c r="H225" s="27" t="inlineStr"/>
      <c r="I225" s="27" t="inlineStr"/>
      <c r="J225" s="27" t="inlineStr"/>
    </row>
    <row r="226">
      <c r="A226" s="27" t="inlineStr"/>
      <c r="B226" s="27" t="inlineStr"/>
      <c r="C226" s="27" t="inlineStr"/>
      <c r="D226" s="27" t="inlineStr"/>
      <c r="E226" s="27" t="inlineStr"/>
      <c r="F226" s="36" t="inlineStr"/>
      <c r="G226" s="27" t="inlineStr"/>
      <c r="H226" s="27" t="inlineStr"/>
      <c r="I226" s="27" t="inlineStr"/>
      <c r="J226" s="27" t="inlineStr"/>
    </row>
    <row r="227">
      <c r="A227" s="27" t="inlineStr"/>
      <c r="B227" s="27" t="inlineStr"/>
      <c r="C227" s="27" t="inlineStr"/>
      <c r="D227" s="27" t="inlineStr"/>
      <c r="E227" s="27" t="inlineStr"/>
      <c r="F227" s="36" t="inlineStr"/>
      <c r="G227" s="27" t="inlineStr"/>
      <c r="H227" s="27" t="inlineStr"/>
      <c r="I227" s="27" t="inlineStr"/>
      <c r="J227" s="27" t="inlineStr"/>
    </row>
    <row r="228">
      <c r="A228" s="27" t="inlineStr"/>
      <c r="B228" s="27" t="inlineStr"/>
      <c r="C228" s="27" t="inlineStr"/>
      <c r="D228" s="27" t="inlineStr"/>
      <c r="E228" s="27" t="inlineStr"/>
      <c r="F228" s="36" t="inlineStr"/>
      <c r="G228" s="27" t="inlineStr"/>
      <c r="H228" s="27" t="inlineStr"/>
      <c r="I228" s="27" t="inlineStr"/>
      <c r="J228" s="27" t="inlineStr"/>
    </row>
    <row r="229">
      <c r="A229" s="27" t="inlineStr"/>
      <c r="B229" s="27" t="inlineStr"/>
      <c r="C229" s="27" t="inlineStr"/>
      <c r="D229" s="27" t="inlineStr"/>
      <c r="E229" s="27" t="inlineStr"/>
      <c r="F229" s="36" t="inlineStr"/>
      <c r="G229" s="27" t="inlineStr"/>
      <c r="H229" s="27" t="inlineStr"/>
      <c r="I229" s="27" t="inlineStr"/>
      <c r="J229" s="27" t="inlineStr"/>
    </row>
    <row r="230">
      <c r="A230" s="27" t="inlineStr"/>
      <c r="B230" s="27" t="inlineStr"/>
      <c r="C230" s="27" t="inlineStr"/>
      <c r="D230" s="27" t="inlineStr"/>
      <c r="E230" s="27" t="inlineStr"/>
      <c r="F230" s="36" t="inlineStr"/>
      <c r="G230" s="27" t="inlineStr"/>
      <c r="H230" s="27" t="inlineStr"/>
      <c r="I230" s="27" t="inlineStr"/>
      <c r="J230" s="27" t="inlineStr"/>
    </row>
    <row r="231">
      <c r="A231" s="27" t="inlineStr"/>
      <c r="B231" s="27" t="inlineStr"/>
      <c r="C231" s="27" t="inlineStr"/>
      <c r="D231" s="27" t="inlineStr"/>
      <c r="E231" s="27" t="inlineStr"/>
      <c r="F231" s="36" t="inlineStr"/>
      <c r="G231" s="27" t="inlineStr"/>
      <c r="H231" s="27" t="inlineStr"/>
      <c r="I231" s="27" t="inlineStr"/>
      <c r="J231" s="27" t="inlineStr"/>
    </row>
    <row r="232">
      <c r="A232" s="27" t="inlineStr"/>
      <c r="B232" s="27" t="inlineStr"/>
      <c r="C232" s="27" t="inlineStr"/>
      <c r="D232" s="27" t="inlineStr"/>
      <c r="E232" s="27" t="inlineStr"/>
      <c r="F232" s="36" t="inlineStr"/>
      <c r="G232" s="27" t="inlineStr"/>
      <c r="H232" s="27" t="inlineStr"/>
      <c r="I232" s="27" t="inlineStr"/>
      <c r="J232" s="27" t="inlineStr"/>
    </row>
    <row r="233">
      <c r="A233" s="27" t="inlineStr"/>
      <c r="B233" s="27" t="inlineStr"/>
      <c r="C233" s="27" t="inlineStr"/>
      <c r="D233" s="27" t="inlineStr"/>
      <c r="E233" s="27" t="inlineStr"/>
      <c r="F233" s="36" t="inlineStr"/>
      <c r="G233" s="27" t="inlineStr"/>
      <c r="H233" s="27" t="inlineStr"/>
      <c r="I233" s="27" t="inlineStr"/>
      <c r="J233" s="27" t="inlineStr"/>
    </row>
    <row r="234">
      <c r="A234" s="27" t="inlineStr"/>
      <c r="B234" s="27" t="inlineStr"/>
      <c r="C234" s="27" t="inlineStr"/>
      <c r="D234" s="27" t="inlineStr"/>
      <c r="E234" s="27" t="inlineStr"/>
      <c r="F234" s="36" t="inlineStr"/>
      <c r="G234" s="27" t="inlineStr"/>
      <c r="H234" s="27" t="inlineStr"/>
      <c r="I234" s="27" t="inlineStr"/>
      <c r="J234" s="27" t="inlineStr"/>
    </row>
    <row r="235">
      <c r="A235" s="27" t="inlineStr"/>
      <c r="B235" s="27" t="inlineStr"/>
      <c r="C235" s="27" t="inlineStr"/>
      <c r="D235" s="27" t="inlineStr"/>
      <c r="E235" s="27" t="inlineStr"/>
      <c r="F235" s="36" t="inlineStr"/>
      <c r="G235" s="27" t="inlineStr"/>
      <c r="H235" s="27" t="inlineStr"/>
      <c r="I235" s="27" t="inlineStr"/>
      <c r="J235" s="27" t="inlineStr"/>
    </row>
    <row r="236">
      <c r="A236" s="27" t="inlineStr"/>
      <c r="B236" s="27" t="inlineStr"/>
      <c r="C236" s="27" t="inlineStr"/>
      <c r="D236" s="27" t="inlineStr"/>
      <c r="E236" s="27" t="inlineStr"/>
      <c r="F236" s="36" t="inlineStr"/>
      <c r="G236" s="27" t="inlineStr"/>
      <c r="H236" s="27" t="inlineStr"/>
      <c r="I236" s="27" t="inlineStr"/>
      <c r="J236" s="27" t="inlineStr"/>
    </row>
    <row r="237">
      <c r="A237" s="27" t="inlineStr"/>
      <c r="B237" s="27" t="inlineStr"/>
      <c r="C237" s="27" t="inlineStr"/>
      <c r="D237" s="27" t="inlineStr"/>
      <c r="E237" s="27" t="inlineStr"/>
      <c r="F237" s="36" t="inlineStr"/>
      <c r="G237" s="27" t="inlineStr"/>
      <c r="H237" s="27" t="inlineStr"/>
      <c r="I237" s="27" t="inlineStr"/>
      <c r="J237" s="27" t="inlineStr"/>
    </row>
    <row r="238">
      <c r="A238" s="27" t="inlineStr"/>
      <c r="B238" s="27" t="inlineStr"/>
      <c r="C238" s="27" t="inlineStr"/>
      <c r="D238" s="27" t="inlineStr"/>
      <c r="E238" s="27" t="inlineStr"/>
      <c r="F238" s="36" t="inlineStr"/>
      <c r="G238" s="27" t="inlineStr"/>
      <c r="H238" s="27" t="inlineStr"/>
      <c r="I238" s="27" t="inlineStr"/>
      <c r="J238" s="27" t="inlineStr"/>
    </row>
    <row r="239">
      <c r="A239" s="27" t="inlineStr"/>
      <c r="B239" s="27" t="inlineStr"/>
      <c r="C239" s="27" t="inlineStr"/>
      <c r="D239" s="27" t="inlineStr"/>
      <c r="E239" s="27" t="inlineStr"/>
      <c r="F239" s="36" t="inlineStr"/>
      <c r="G239" s="27" t="inlineStr"/>
      <c r="H239" s="27" t="inlineStr"/>
      <c r="I239" s="27" t="inlineStr"/>
      <c r="J239" s="27" t="inlineStr"/>
    </row>
    <row r="240">
      <c r="A240" s="27" t="inlineStr"/>
      <c r="B240" s="27" t="inlineStr"/>
      <c r="C240" s="27" t="inlineStr"/>
      <c r="D240" s="27" t="inlineStr"/>
      <c r="E240" s="27" t="inlineStr"/>
      <c r="F240" s="36" t="inlineStr"/>
      <c r="G240" s="27" t="inlineStr"/>
      <c r="H240" s="27" t="inlineStr"/>
      <c r="I240" s="27" t="inlineStr"/>
      <c r="J240" s="27" t="inlineStr"/>
    </row>
    <row r="241">
      <c r="A241" s="27" t="inlineStr"/>
      <c r="B241" s="27" t="inlineStr"/>
      <c r="C241" s="27" t="inlineStr"/>
      <c r="D241" s="27" t="inlineStr"/>
      <c r="E241" s="27" t="inlineStr"/>
      <c r="F241" s="36" t="inlineStr"/>
      <c r="G241" s="27" t="inlineStr"/>
      <c r="H241" s="27" t="inlineStr"/>
      <c r="I241" s="27" t="inlineStr"/>
      <c r="J241" s="27" t="inlineStr"/>
    </row>
    <row r="242">
      <c r="A242" s="27" t="inlineStr"/>
      <c r="B242" s="27" t="inlineStr"/>
      <c r="C242" s="27" t="inlineStr"/>
      <c r="D242" s="27" t="inlineStr"/>
      <c r="E242" s="27" t="inlineStr"/>
      <c r="F242" s="36" t="inlineStr"/>
      <c r="G242" s="27" t="inlineStr"/>
      <c r="H242" s="27" t="inlineStr"/>
      <c r="I242" s="27" t="inlineStr"/>
      <c r="J242" s="27" t="inlineStr"/>
    </row>
    <row r="243">
      <c r="A243" s="27" t="inlineStr"/>
      <c r="B243" s="27" t="inlineStr"/>
      <c r="C243" s="27" t="inlineStr"/>
      <c r="D243" s="27" t="inlineStr"/>
      <c r="E243" s="27" t="inlineStr"/>
      <c r="F243" s="36" t="inlineStr"/>
      <c r="G243" s="27" t="inlineStr"/>
      <c r="H243" s="27" t="inlineStr"/>
      <c r="I243" s="27" t="inlineStr"/>
      <c r="J243" s="27" t="inlineStr"/>
    </row>
    <row r="244">
      <c r="A244" s="27" t="inlineStr"/>
      <c r="B244" s="27" t="inlineStr"/>
      <c r="C244" s="27" t="inlineStr"/>
      <c r="D244" s="27" t="inlineStr"/>
      <c r="E244" s="27" t="inlineStr"/>
      <c r="F244" s="36" t="inlineStr"/>
      <c r="G244" s="27" t="inlineStr"/>
      <c r="H244" s="27" t="inlineStr"/>
      <c r="I244" s="27" t="inlineStr"/>
      <c r="J244" s="27" t="inlineStr"/>
    </row>
    <row r="245">
      <c r="A245" s="27" t="inlineStr"/>
      <c r="B245" s="27" t="inlineStr"/>
      <c r="C245" s="27" t="inlineStr"/>
      <c r="D245" s="27" t="inlineStr"/>
      <c r="E245" s="27" t="inlineStr"/>
      <c r="F245" s="36" t="inlineStr"/>
      <c r="G245" s="27" t="inlineStr"/>
      <c r="H245" s="27" t="inlineStr"/>
      <c r="I245" s="27" t="inlineStr"/>
      <c r="J245" s="27" t="inlineStr"/>
    </row>
    <row r="246">
      <c r="A246" s="27" t="inlineStr"/>
      <c r="B246" s="27" t="inlineStr"/>
      <c r="C246" s="27" t="inlineStr"/>
      <c r="D246" s="27" t="inlineStr"/>
      <c r="E246" s="27" t="inlineStr"/>
      <c r="F246" s="36" t="inlineStr"/>
      <c r="G246" s="27" t="inlineStr"/>
      <c r="H246" s="27" t="inlineStr"/>
      <c r="I246" s="27" t="inlineStr"/>
      <c r="J246" s="27" t="inlineStr"/>
    </row>
    <row r="247">
      <c r="A247" s="27" t="inlineStr"/>
      <c r="B247" s="27" t="inlineStr"/>
      <c r="C247" s="27" t="inlineStr"/>
      <c r="D247" s="27" t="inlineStr"/>
      <c r="E247" s="27" t="inlineStr"/>
      <c r="F247" s="36" t="inlineStr"/>
      <c r="G247" s="27" t="inlineStr"/>
      <c r="H247" s="27" t="inlineStr"/>
      <c r="I247" s="27" t="inlineStr"/>
      <c r="J247" s="27" t="inlineStr"/>
    </row>
    <row r="248">
      <c r="A248" s="27" t="inlineStr"/>
      <c r="B248" s="27" t="inlineStr"/>
      <c r="C248" s="27" t="inlineStr"/>
      <c r="D248" s="27" t="inlineStr"/>
      <c r="E248" s="27" t="inlineStr"/>
      <c r="F248" s="36" t="inlineStr"/>
      <c r="G248" s="27" t="inlineStr"/>
      <c r="H248" s="27" t="inlineStr"/>
      <c r="I248" s="27" t="inlineStr"/>
      <c r="J248" s="27" t="inlineStr"/>
    </row>
    <row r="249">
      <c r="A249" s="27" t="inlineStr"/>
      <c r="B249" s="27" t="inlineStr"/>
      <c r="C249" s="27" t="inlineStr"/>
      <c r="D249" s="27" t="inlineStr"/>
      <c r="E249" s="27" t="inlineStr"/>
      <c r="F249" s="36" t="inlineStr"/>
      <c r="G249" s="27" t="inlineStr"/>
      <c r="H249" s="27" t="inlineStr"/>
      <c r="I249" s="27" t="inlineStr"/>
      <c r="J249" s="27" t="inlineStr"/>
    </row>
    <row r="250">
      <c r="A250" s="27" t="inlineStr"/>
      <c r="B250" s="27" t="inlineStr"/>
      <c r="C250" s="27" t="inlineStr"/>
      <c r="D250" s="27" t="inlineStr"/>
      <c r="E250" s="27" t="inlineStr"/>
      <c r="F250" s="36" t="inlineStr"/>
      <c r="G250" s="27" t="inlineStr"/>
      <c r="H250" s="27" t="inlineStr"/>
      <c r="I250" s="27" t="inlineStr"/>
      <c r="J250" s="27" t="inlineStr"/>
    </row>
    <row r="251">
      <c r="A251" s="27" t="inlineStr"/>
      <c r="B251" s="27" t="inlineStr"/>
      <c r="C251" s="27" t="inlineStr"/>
      <c r="D251" s="27" t="inlineStr"/>
      <c r="E251" s="27" t="inlineStr"/>
      <c r="F251" s="36" t="inlineStr"/>
      <c r="G251" s="27" t="inlineStr"/>
      <c r="H251" s="27" t="inlineStr"/>
      <c r="I251" s="27" t="inlineStr"/>
      <c r="J251" s="27" t="inlineStr"/>
    </row>
    <row r="252">
      <c r="A252" s="27" t="inlineStr"/>
      <c r="B252" s="27" t="inlineStr"/>
      <c r="C252" s="27" t="inlineStr"/>
      <c r="D252" s="27" t="inlineStr"/>
      <c r="E252" s="27" t="inlineStr"/>
      <c r="F252" s="36" t="inlineStr"/>
      <c r="G252" s="27" t="inlineStr"/>
      <c r="H252" s="27" t="inlineStr"/>
      <c r="I252" s="27" t="inlineStr"/>
      <c r="J252" s="27" t="inlineStr"/>
    </row>
    <row r="253">
      <c r="A253" s="27" t="inlineStr"/>
      <c r="B253" s="27" t="inlineStr"/>
      <c r="C253" s="27" t="inlineStr"/>
      <c r="D253" s="27" t="inlineStr"/>
      <c r="E253" s="27" t="inlineStr"/>
      <c r="F253" s="36" t="inlineStr"/>
      <c r="G253" s="27" t="inlineStr"/>
      <c r="H253" s="27" t="inlineStr"/>
      <c r="I253" s="27" t="inlineStr"/>
      <c r="J253" s="27" t="inlineStr"/>
    </row>
  </sheetData>
  <autoFilter ref="A3:J253"/>
  <mergeCells count="1">
    <mergeCell ref="A1:H1"/>
  </mergeCells>
  <dataValidations count="9">
    <dataValidation sqref="B4:B25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C4:C253" showDropDown="0" showInputMessage="0" showErrorMessage="1" allowBlank="1" errorTitle="Invalid selection" error="Select a value from the dropdown list." promptTitle="Dropdown" prompt="Choose from the list." type="list">
      <formula1>='Lists'!$AC$2:$AC$8</formula1>
    </dataValidation>
    <dataValidation sqref="E4:E253" showDropDown="0" showInputMessage="0" showErrorMessage="1" allowBlank="1" errorTitle="Invalid selection" error="Select a value from the dropdown list." promptTitle="Dropdown" prompt="Choose from the list." type="list">
      <formula1>='Lists'!$AA$2:$AA$8</formula1>
    </dataValidation>
    <dataValidation sqref="G4:G253" showDropDown="0" showInputMessage="0" showErrorMessage="1" allowBlank="1" errorTitle="Invalid selection" error="Select a value from the dropdown list." promptTitle="Dropdown" prompt="Choose from the list." type="list">
      <formula1>='Lists'!$R$2:$R$5</formula1>
    </dataValidation>
    <dataValidation sqref="I4:I253" showDropDown="0" showInputMessage="0" showErrorMessage="1" allowBlank="1" errorTitle="Invalid selection" error="Select a value from the dropdown list." promptTitle="Dropdown" prompt="Choose from the list." type="list">
      <formula1>='Lists'!$S$2:$S$5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='Lists'!$AC$2:$AC$8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='Lists'!$AA$2:$AA$8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='Lists'!$R$2:$R$5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25" t="inlineStr">
        <is>
          <t>Deployment Tracker</t>
        </is>
      </c>
    </row>
    <row r="2">
      <c r="A2" s="32" t="inlineStr">
        <is>
          <t>Quick Filters:</t>
        </is>
      </c>
      <c r="B2" s="49" t="inlineStr">
        <is>
          <t>Project ID</t>
        </is>
      </c>
      <c r="C2" s="48" t="inlineStr"/>
      <c r="D2" s="49" t="inlineStr">
        <is>
          <t>Environment</t>
        </is>
      </c>
      <c r="E2" s="48" t="inlineStr"/>
      <c r="F2" s="49" t="inlineStr">
        <is>
          <t>Deployed By</t>
        </is>
      </c>
      <c r="G2" s="48" t="inlineStr"/>
      <c r="H2" s="49" t="inlineStr">
        <is>
          <t>Deployment Status</t>
        </is>
      </c>
      <c r="I2" s="48" t="inlineStr"/>
    </row>
    <row r="3">
      <c r="A3" s="26" t="inlineStr">
        <is>
          <t>Deployment ID</t>
        </is>
      </c>
      <c r="B3" s="47" t="inlineStr">
        <is>
          <t>Project ID</t>
        </is>
      </c>
      <c r="C3" s="47" t="inlineStr">
        <is>
          <t>Environment</t>
        </is>
      </c>
      <c r="D3" s="26" t="inlineStr">
        <is>
          <t>Deployment Date</t>
        </is>
      </c>
      <c r="E3" s="26" t="inlineStr">
        <is>
          <t>Version</t>
        </is>
      </c>
      <c r="F3" s="47" t="inlineStr">
        <is>
          <t>Deployed By</t>
        </is>
      </c>
      <c r="G3" s="47" t="inlineStr">
        <is>
          <t>Deployment Status</t>
        </is>
      </c>
      <c r="H3" s="47" t="inlineStr">
        <is>
          <t>Rollback Required</t>
        </is>
      </c>
      <c r="I3" s="26" t="inlineStr">
        <is>
          <t>Remarks</t>
        </is>
      </c>
    </row>
    <row r="4">
      <c r="A4" s="27" t="inlineStr">
        <is>
          <t>DEP-001</t>
        </is>
      </c>
      <c r="B4" s="27" t="inlineStr">
        <is>
          <t>PRJ-003</t>
        </is>
      </c>
      <c r="C4" s="27" t="inlineStr">
        <is>
          <t>Production</t>
        </is>
      </c>
      <c r="D4" s="36" t="n">
        <v>46148</v>
      </c>
      <c r="E4" s="27" t="inlineStr">
        <is>
          <t>v1.0.0</t>
        </is>
      </c>
      <c r="F4" s="27" t="inlineStr">
        <is>
          <t>Release Manager</t>
        </is>
      </c>
      <c r="G4" s="27" t="inlineStr">
        <is>
          <t>Completed</t>
        </is>
      </c>
      <c r="H4" s="27" t="inlineStr">
        <is>
          <t>No</t>
        </is>
      </c>
      <c r="I4" s="27" t="inlineStr">
        <is>
          <t>Successful release</t>
        </is>
      </c>
    </row>
    <row r="5">
      <c r="A5" s="27" t="inlineStr">
        <is>
          <t>DEP-002</t>
        </is>
      </c>
      <c r="B5" s="27" t="inlineStr">
        <is>
          <t>PRJ-001</t>
        </is>
      </c>
      <c r="C5" s="27" t="inlineStr">
        <is>
          <t>UAT</t>
        </is>
      </c>
      <c r="D5" s="36" t="n">
        <v>46174</v>
      </c>
      <c r="E5" s="27" t="inlineStr">
        <is>
          <t>v0.9.2</t>
        </is>
      </c>
      <c r="F5" s="27" t="inlineStr">
        <is>
          <t>Release Manager</t>
        </is>
      </c>
      <c r="G5" s="27" t="inlineStr">
        <is>
          <t>Successful</t>
        </is>
      </c>
      <c r="H5" s="27" t="inlineStr">
        <is>
          <t>No</t>
        </is>
      </c>
      <c r="I5" s="27" t="inlineStr">
        <is>
          <t>UAT build</t>
        </is>
      </c>
    </row>
    <row r="6">
      <c r="A6" s="27" t="inlineStr"/>
      <c r="B6" s="27" t="inlineStr"/>
      <c r="C6" s="27" t="inlineStr"/>
      <c r="D6" s="36" t="inlineStr"/>
      <c r="E6" s="27" t="inlineStr"/>
      <c r="F6" s="27" t="inlineStr"/>
      <c r="G6" s="27" t="inlineStr"/>
      <c r="H6" s="27" t="inlineStr"/>
      <c r="I6" s="27" t="inlineStr"/>
    </row>
    <row r="7">
      <c r="A7" s="27" t="inlineStr"/>
      <c r="B7" s="27" t="inlineStr"/>
      <c r="C7" s="27" t="inlineStr"/>
      <c r="D7" s="36" t="inlineStr"/>
      <c r="E7" s="27" t="inlineStr"/>
      <c r="F7" s="27" t="inlineStr"/>
      <c r="G7" s="27" t="inlineStr"/>
      <c r="H7" s="27" t="inlineStr"/>
      <c r="I7" s="27" t="inlineStr"/>
    </row>
    <row r="8">
      <c r="A8" s="27" t="inlineStr"/>
      <c r="B8" s="27" t="inlineStr"/>
      <c r="C8" s="27" t="inlineStr"/>
      <c r="D8" s="36" t="inlineStr"/>
      <c r="E8" s="27" t="inlineStr"/>
      <c r="F8" s="27" t="inlineStr"/>
      <c r="G8" s="27" t="inlineStr"/>
      <c r="H8" s="27" t="inlineStr"/>
      <c r="I8" s="27" t="inlineStr"/>
    </row>
    <row r="9">
      <c r="A9" s="27" t="inlineStr"/>
      <c r="B9" s="27" t="inlineStr"/>
      <c r="C9" s="27" t="inlineStr"/>
      <c r="D9" s="36" t="inlineStr"/>
      <c r="E9" s="27" t="inlineStr"/>
      <c r="F9" s="27" t="inlineStr"/>
      <c r="G9" s="27" t="inlineStr"/>
      <c r="H9" s="27" t="inlineStr"/>
      <c r="I9" s="27" t="inlineStr"/>
    </row>
    <row r="10">
      <c r="A10" s="27" t="inlineStr"/>
      <c r="B10" s="27" t="inlineStr"/>
      <c r="C10" s="27" t="inlineStr"/>
      <c r="D10" s="36" t="inlineStr"/>
      <c r="E10" s="27" t="inlineStr"/>
      <c r="F10" s="27" t="inlineStr"/>
      <c r="G10" s="27" t="inlineStr"/>
      <c r="H10" s="27" t="inlineStr"/>
      <c r="I10" s="27" t="inlineStr"/>
    </row>
    <row r="11">
      <c r="A11" s="27" t="inlineStr"/>
      <c r="B11" s="27" t="inlineStr"/>
      <c r="C11" s="27" t="inlineStr"/>
      <c r="D11" s="36" t="inlineStr"/>
      <c r="E11" s="27" t="inlineStr"/>
      <c r="F11" s="27" t="inlineStr"/>
      <c r="G11" s="27" t="inlineStr"/>
      <c r="H11" s="27" t="inlineStr"/>
      <c r="I11" s="27" t="inlineStr"/>
    </row>
    <row r="12">
      <c r="A12" s="27" t="inlineStr"/>
      <c r="B12" s="27" t="inlineStr"/>
      <c r="C12" s="27" t="inlineStr"/>
      <c r="D12" s="36" t="inlineStr"/>
      <c r="E12" s="27" t="inlineStr"/>
      <c r="F12" s="27" t="inlineStr"/>
      <c r="G12" s="27" t="inlineStr"/>
      <c r="H12" s="27" t="inlineStr"/>
      <c r="I12" s="27" t="inlineStr"/>
    </row>
    <row r="13">
      <c r="A13" s="27" t="inlineStr"/>
      <c r="B13" s="27" t="inlineStr"/>
      <c r="C13" s="27" t="inlineStr"/>
      <c r="D13" s="36" t="inlineStr"/>
      <c r="E13" s="27" t="inlineStr"/>
      <c r="F13" s="27" t="inlineStr"/>
      <c r="G13" s="27" t="inlineStr"/>
      <c r="H13" s="27" t="inlineStr"/>
      <c r="I13" s="27" t="inlineStr"/>
    </row>
    <row r="14">
      <c r="A14" s="27" t="inlineStr"/>
      <c r="B14" s="27" t="inlineStr"/>
      <c r="C14" s="27" t="inlineStr"/>
      <c r="D14" s="36" t="inlineStr"/>
      <c r="E14" s="27" t="inlineStr"/>
      <c r="F14" s="27" t="inlineStr"/>
      <c r="G14" s="27" t="inlineStr"/>
      <c r="H14" s="27" t="inlineStr"/>
      <c r="I14" s="27" t="inlineStr"/>
    </row>
    <row r="15">
      <c r="A15" s="27" t="inlineStr"/>
      <c r="B15" s="27" t="inlineStr"/>
      <c r="C15" s="27" t="inlineStr"/>
      <c r="D15" s="36" t="inlineStr"/>
      <c r="E15" s="27" t="inlineStr"/>
      <c r="F15" s="27" t="inlineStr"/>
      <c r="G15" s="27" t="inlineStr"/>
      <c r="H15" s="27" t="inlineStr"/>
      <c r="I15" s="27" t="inlineStr"/>
    </row>
    <row r="16">
      <c r="A16" s="27" t="inlineStr"/>
      <c r="B16" s="27" t="inlineStr"/>
      <c r="C16" s="27" t="inlineStr"/>
      <c r="D16" s="36" t="inlineStr"/>
      <c r="E16" s="27" t="inlineStr"/>
      <c r="F16" s="27" t="inlineStr"/>
      <c r="G16" s="27" t="inlineStr"/>
      <c r="H16" s="27" t="inlineStr"/>
      <c r="I16" s="27" t="inlineStr"/>
    </row>
    <row r="17">
      <c r="A17" s="27" t="inlineStr"/>
      <c r="B17" s="27" t="inlineStr"/>
      <c r="C17" s="27" t="inlineStr"/>
      <c r="D17" s="36" t="inlineStr"/>
      <c r="E17" s="27" t="inlineStr"/>
      <c r="F17" s="27" t="inlineStr"/>
      <c r="G17" s="27" t="inlineStr"/>
      <c r="H17" s="27" t="inlineStr"/>
      <c r="I17" s="27" t="inlineStr"/>
    </row>
    <row r="18">
      <c r="A18" s="27" t="inlineStr"/>
      <c r="B18" s="27" t="inlineStr"/>
      <c r="C18" s="27" t="inlineStr"/>
      <c r="D18" s="36" t="inlineStr"/>
      <c r="E18" s="27" t="inlineStr"/>
      <c r="F18" s="27" t="inlineStr"/>
      <c r="G18" s="27" t="inlineStr"/>
      <c r="H18" s="27" t="inlineStr"/>
      <c r="I18" s="27" t="inlineStr"/>
    </row>
    <row r="19">
      <c r="A19" s="27" t="inlineStr"/>
      <c r="B19" s="27" t="inlineStr"/>
      <c r="C19" s="27" t="inlineStr"/>
      <c r="D19" s="36" t="inlineStr"/>
      <c r="E19" s="27" t="inlineStr"/>
      <c r="F19" s="27" t="inlineStr"/>
      <c r="G19" s="27" t="inlineStr"/>
      <c r="H19" s="27" t="inlineStr"/>
      <c r="I19" s="27" t="inlineStr"/>
    </row>
    <row r="20">
      <c r="A20" s="27" t="inlineStr"/>
      <c r="B20" s="27" t="inlineStr"/>
      <c r="C20" s="27" t="inlineStr"/>
      <c r="D20" s="36" t="inlineStr"/>
      <c r="E20" s="27" t="inlineStr"/>
      <c r="F20" s="27" t="inlineStr"/>
      <c r="G20" s="27" t="inlineStr"/>
      <c r="H20" s="27" t="inlineStr"/>
      <c r="I20" s="27" t="inlineStr"/>
    </row>
    <row r="21">
      <c r="A21" s="27" t="inlineStr"/>
      <c r="B21" s="27" t="inlineStr"/>
      <c r="C21" s="27" t="inlineStr"/>
      <c r="D21" s="36" t="inlineStr"/>
      <c r="E21" s="27" t="inlineStr"/>
      <c r="F21" s="27" t="inlineStr"/>
      <c r="G21" s="27" t="inlineStr"/>
      <c r="H21" s="27" t="inlineStr"/>
      <c r="I21" s="27" t="inlineStr"/>
    </row>
    <row r="22">
      <c r="A22" s="27" t="inlineStr"/>
      <c r="B22" s="27" t="inlineStr"/>
      <c r="C22" s="27" t="inlineStr"/>
      <c r="D22" s="36" t="inlineStr"/>
      <c r="E22" s="27" t="inlineStr"/>
      <c r="F22" s="27" t="inlineStr"/>
      <c r="G22" s="27" t="inlineStr"/>
      <c r="H22" s="27" t="inlineStr"/>
      <c r="I22" s="27" t="inlineStr"/>
    </row>
    <row r="23">
      <c r="A23" s="27" t="inlineStr"/>
      <c r="B23" s="27" t="inlineStr"/>
      <c r="C23" s="27" t="inlineStr"/>
      <c r="D23" s="36" t="inlineStr"/>
      <c r="E23" s="27" t="inlineStr"/>
      <c r="F23" s="27" t="inlineStr"/>
      <c r="G23" s="27" t="inlineStr"/>
      <c r="H23" s="27" t="inlineStr"/>
      <c r="I23" s="27" t="inlineStr"/>
    </row>
    <row r="24">
      <c r="A24" s="27" t="inlineStr"/>
      <c r="B24" s="27" t="inlineStr"/>
      <c r="C24" s="27" t="inlineStr"/>
      <c r="D24" s="36" t="inlineStr"/>
      <c r="E24" s="27" t="inlineStr"/>
      <c r="F24" s="27" t="inlineStr"/>
      <c r="G24" s="27" t="inlineStr"/>
      <c r="H24" s="27" t="inlineStr"/>
      <c r="I24" s="27" t="inlineStr"/>
    </row>
    <row r="25">
      <c r="A25" s="27" t="inlineStr"/>
      <c r="B25" s="27" t="inlineStr"/>
      <c r="C25" s="27" t="inlineStr"/>
      <c r="D25" s="36" t="inlineStr"/>
      <c r="E25" s="27" t="inlineStr"/>
      <c r="F25" s="27" t="inlineStr"/>
      <c r="G25" s="27" t="inlineStr"/>
      <c r="H25" s="27" t="inlineStr"/>
      <c r="I25" s="27" t="inlineStr"/>
    </row>
    <row r="26">
      <c r="A26" s="27" t="inlineStr"/>
      <c r="B26" s="27" t="inlineStr"/>
      <c r="C26" s="27" t="inlineStr"/>
      <c r="D26" s="36" t="inlineStr"/>
      <c r="E26" s="27" t="inlineStr"/>
      <c r="F26" s="27" t="inlineStr"/>
      <c r="G26" s="27" t="inlineStr"/>
      <c r="H26" s="27" t="inlineStr"/>
      <c r="I26" s="27" t="inlineStr"/>
    </row>
    <row r="27">
      <c r="A27" s="27" t="inlineStr"/>
      <c r="B27" s="27" t="inlineStr"/>
      <c r="C27" s="27" t="inlineStr"/>
      <c r="D27" s="36" t="inlineStr"/>
      <c r="E27" s="27" t="inlineStr"/>
      <c r="F27" s="27" t="inlineStr"/>
      <c r="G27" s="27" t="inlineStr"/>
      <c r="H27" s="27" t="inlineStr"/>
      <c r="I27" s="27" t="inlineStr"/>
    </row>
    <row r="28">
      <c r="A28" s="27" t="inlineStr"/>
      <c r="B28" s="27" t="inlineStr"/>
      <c r="C28" s="27" t="inlineStr"/>
      <c r="D28" s="36" t="inlineStr"/>
      <c r="E28" s="27" t="inlineStr"/>
      <c r="F28" s="27" t="inlineStr"/>
      <c r="G28" s="27" t="inlineStr"/>
      <c r="H28" s="27" t="inlineStr"/>
      <c r="I28" s="27" t="inlineStr"/>
    </row>
    <row r="29">
      <c r="A29" s="27" t="inlineStr"/>
      <c r="B29" s="27" t="inlineStr"/>
      <c r="C29" s="27" t="inlineStr"/>
      <c r="D29" s="36" t="inlineStr"/>
      <c r="E29" s="27" t="inlineStr"/>
      <c r="F29" s="27" t="inlineStr"/>
      <c r="G29" s="27" t="inlineStr"/>
      <c r="H29" s="27" t="inlineStr"/>
      <c r="I29" s="27" t="inlineStr"/>
    </row>
    <row r="30">
      <c r="A30" s="27" t="inlineStr"/>
      <c r="B30" s="27" t="inlineStr"/>
      <c r="C30" s="27" t="inlineStr"/>
      <c r="D30" s="36" t="inlineStr"/>
      <c r="E30" s="27" t="inlineStr"/>
      <c r="F30" s="27" t="inlineStr"/>
      <c r="G30" s="27" t="inlineStr"/>
      <c r="H30" s="27" t="inlineStr"/>
      <c r="I30" s="27" t="inlineStr"/>
    </row>
    <row r="31">
      <c r="A31" s="27" t="inlineStr"/>
      <c r="B31" s="27" t="inlineStr"/>
      <c r="C31" s="27" t="inlineStr"/>
      <c r="D31" s="36" t="inlineStr"/>
      <c r="E31" s="27" t="inlineStr"/>
      <c r="F31" s="27" t="inlineStr"/>
      <c r="G31" s="27" t="inlineStr"/>
      <c r="H31" s="27" t="inlineStr"/>
      <c r="I31" s="27" t="inlineStr"/>
    </row>
    <row r="32">
      <c r="A32" s="27" t="inlineStr"/>
      <c r="B32" s="27" t="inlineStr"/>
      <c r="C32" s="27" t="inlineStr"/>
      <c r="D32" s="36" t="inlineStr"/>
      <c r="E32" s="27" t="inlineStr"/>
      <c r="F32" s="27" t="inlineStr"/>
      <c r="G32" s="27" t="inlineStr"/>
      <c r="H32" s="27" t="inlineStr"/>
      <c r="I32" s="27" t="inlineStr"/>
    </row>
    <row r="33">
      <c r="A33" s="27" t="inlineStr"/>
      <c r="B33" s="27" t="inlineStr"/>
      <c r="C33" s="27" t="inlineStr"/>
      <c r="D33" s="36" t="inlineStr"/>
      <c r="E33" s="27" t="inlineStr"/>
      <c r="F33" s="27" t="inlineStr"/>
      <c r="G33" s="27" t="inlineStr"/>
      <c r="H33" s="27" t="inlineStr"/>
      <c r="I33" s="27" t="inlineStr"/>
    </row>
    <row r="34">
      <c r="A34" s="27" t="inlineStr"/>
      <c r="B34" s="27" t="inlineStr"/>
      <c r="C34" s="27" t="inlineStr"/>
      <c r="D34" s="36" t="inlineStr"/>
      <c r="E34" s="27" t="inlineStr"/>
      <c r="F34" s="27" t="inlineStr"/>
      <c r="G34" s="27" t="inlineStr"/>
      <c r="H34" s="27" t="inlineStr"/>
      <c r="I34" s="27" t="inlineStr"/>
    </row>
    <row r="35">
      <c r="A35" s="27" t="inlineStr"/>
      <c r="B35" s="27" t="inlineStr"/>
      <c r="C35" s="27" t="inlineStr"/>
      <c r="D35" s="36" t="inlineStr"/>
      <c r="E35" s="27" t="inlineStr"/>
      <c r="F35" s="27" t="inlineStr"/>
      <c r="G35" s="27" t="inlineStr"/>
      <c r="H35" s="27" t="inlineStr"/>
      <c r="I35" s="27" t="inlineStr"/>
    </row>
    <row r="36">
      <c r="A36" s="27" t="inlineStr"/>
      <c r="B36" s="27" t="inlineStr"/>
      <c r="C36" s="27" t="inlineStr"/>
      <c r="D36" s="36" t="inlineStr"/>
      <c r="E36" s="27" t="inlineStr"/>
      <c r="F36" s="27" t="inlineStr"/>
      <c r="G36" s="27" t="inlineStr"/>
      <c r="H36" s="27" t="inlineStr"/>
      <c r="I36" s="27" t="inlineStr"/>
    </row>
    <row r="37">
      <c r="A37" s="27" t="inlineStr"/>
      <c r="B37" s="27" t="inlineStr"/>
      <c r="C37" s="27" t="inlineStr"/>
      <c r="D37" s="36" t="inlineStr"/>
      <c r="E37" s="27" t="inlineStr"/>
      <c r="F37" s="27" t="inlineStr"/>
      <c r="G37" s="27" t="inlineStr"/>
      <c r="H37" s="27" t="inlineStr"/>
      <c r="I37" s="27" t="inlineStr"/>
    </row>
    <row r="38">
      <c r="A38" s="27" t="inlineStr"/>
      <c r="B38" s="27" t="inlineStr"/>
      <c r="C38" s="27" t="inlineStr"/>
      <c r="D38" s="36" t="inlineStr"/>
      <c r="E38" s="27" t="inlineStr"/>
      <c r="F38" s="27" t="inlineStr"/>
      <c r="G38" s="27" t="inlineStr"/>
      <c r="H38" s="27" t="inlineStr"/>
      <c r="I38" s="27" t="inlineStr"/>
    </row>
    <row r="39">
      <c r="A39" s="27" t="inlineStr"/>
      <c r="B39" s="27" t="inlineStr"/>
      <c r="C39" s="27" t="inlineStr"/>
      <c r="D39" s="36" t="inlineStr"/>
      <c r="E39" s="27" t="inlineStr"/>
      <c r="F39" s="27" t="inlineStr"/>
      <c r="G39" s="27" t="inlineStr"/>
      <c r="H39" s="27" t="inlineStr"/>
      <c r="I39" s="27" t="inlineStr"/>
    </row>
    <row r="40">
      <c r="A40" s="27" t="inlineStr"/>
      <c r="B40" s="27" t="inlineStr"/>
      <c r="C40" s="27" t="inlineStr"/>
      <c r="D40" s="36" t="inlineStr"/>
      <c r="E40" s="27" t="inlineStr"/>
      <c r="F40" s="27" t="inlineStr"/>
      <c r="G40" s="27" t="inlineStr"/>
      <c r="H40" s="27" t="inlineStr"/>
      <c r="I40" s="27" t="inlineStr"/>
    </row>
    <row r="41">
      <c r="A41" s="27" t="inlineStr"/>
      <c r="B41" s="27" t="inlineStr"/>
      <c r="C41" s="27" t="inlineStr"/>
      <c r="D41" s="36" t="inlineStr"/>
      <c r="E41" s="27" t="inlineStr"/>
      <c r="F41" s="27" t="inlineStr"/>
      <c r="G41" s="27" t="inlineStr"/>
      <c r="H41" s="27" t="inlineStr"/>
      <c r="I41" s="27" t="inlineStr"/>
    </row>
    <row r="42">
      <c r="A42" s="27" t="inlineStr"/>
      <c r="B42" s="27" t="inlineStr"/>
      <c r="C42" s="27" t="inlineStr"/>
      <c r="D42" s="36" t="inlineStr"/>
      <c r="E42" s="27" t="inlineStr"/>
      <c r="F42" s="27" t="inlineStr"/>
      <c r="G42" s="27" t="inlineStr"/>
      <c r="H42" s="27" t="inlineStr"/>
      <c r="I42" s="27" t="inlineStr"/>
    </row>
    <row r="43">
      <c r="A43" s="27" t="inlineStr"/>
      <c r="B43" s="27" t="inlineStr"/>
      <c r="C43" s="27" t="inlineStr"/>
      <c r="D43" s="36" t="inlineStr"/>
      <c r="E43" s="27" t="inlineStr"/>
      <c r="F43" s="27" t="inlineStr"/>
      <c r="G43" s="27" t="inlineStr"/>
      <c r="H43" s="27" t="inlineStr"/>
      <c r="I43" s="27" t="inlineStr"/>
    </row>
    <row r="44">
      <c r="A44" s="27" t="inlineStr"/>
      <c r="B44" s="27" t="inlineStr"/>
      <c r="C44" s="27" t="inlineStr"/>
      <c r="D44" s="36" t="inlineStr"/>
      <c r="E44" s="27" t="inlineStr"/>
      <c r="F44" s="27" t="inlineStr"/>
      <c r="G44" s="27" t="inlineStr"/>
      <c r="H44" s="27" t="inlineStr"/>
      <c r="I44" s="27" t="inlineStr"/>
    </row>
    <row r="45">
      <c r="A45" s="27" t="inlineStr"/>
      <c r="B45" s="27" t="inlineStr"/>
      <c r="C45" s="27" t="inlineStr"/>
      <c r="D45" s="36" t="inlineStr"/>
      <c r="E45" s="27" t="inlineStr"/>
      <c r="F45" s="27" t="inlineStr"/>
      <c r="G45" s="27" t="inlineStr"/>
      <c r="H45" s="27" t="inlineStr"/>
      <c r="I45" s="27" t="inlineStr"/>
    </row>
    <row r="46">
      <c r="A46" s="27" t="inlineStr"/>
      <c r="B46" s="27" t="inlineStr"/>
      <c r="C46" s="27" t="inlineStr"/>
      <c r="D46" s="36" t="inlineStr"/>
      <c r="E46" s="27" t="inlineStr"/>
      <c r="F46" s="27" t="inlineStr"/>
      <c r="G46" s="27" t="inlineStr"/>
      <c r="H46" s="27" t="inlineStr"/>
      <c r="I46" s="27" t="inlineStr"/>
    </row>
    <row r="47">
      <c r="A47" s="27" t="inlineStr"/>
      <c r="B47" s="27" t="inlineStr"/>
      <c r="C47" s="27" t="inlineStr"/>
      <c r="D47" s="36" t="inlineStr"/>
      <c r="E47" s="27" t="inlineStr"/>
      <c r="F47" s="27" t="inlineStr"/>
      <c r="G47" s="27" t="inlineStr"/>
      <c r="H47" s="27" t="inlineStr"/>
      <c r="I47" s="27" t="inlineStr"/>
    </row>
    <row r="48">
      <c r="A48" s="27" t="inlineStr"/>
      <c r="B48" s="27" t="inlineStr"/>
      <c r="C48" s="27" t="inlineStr"/>
      <c r="D48" s="36" t="inlineStr"/>
      <c r="E48" s="27" t="inlineStr"/>
      <c r="F48" s="27" t="inlineStr"/>
      <c r="G48" s="27" t="inlineStr"/>
      <c r="H48" s="27" t="inlineStr"/>
      <c r="I48" s="27" t="inlineStr"/>
    </row>
    <row r="49">
      <c r="A49" s="27" t="inlineStr"/>
      <c r="B49" s="27" t="inlineStr"/>
      <c r="C49" s="27" t="inlineStr"/>
      <c r="D49" s="36" t="inlineStr"/>
      <c r="E49" s="27" t="inlineStr"/>
      <c r="F49" s="27" t="inlineStr"/>
      <c r="G49" s="27" t="inlineStr"/>
      <c r="H49" s="27" t="inlineStr"/>
      <c r="I49" s="27" t="inlineStr"/>
    </row>
    <row r="50">
      <c r="A50" s="27" t="inlineStr"/>
      <c r="B50" s="27" t="inlineStr"/>
      <c r="C50" s="27" t="inlineStr"/>
      <c r="D50" s="36" t="inlineStr"/>
      <c r="E50" s="27" t="inlineStr"/>
      <c r="F50" s="27" t="inlineStr"/>
      <c r="G50" s="27" t="inlineStr"/>
      <c r="H50" s="27" t="inlineStr"/>
      <c r="I50" s="27" t="inlineStr"/>
    </row>
    <row r="51">
      <c r="A51" s="27" t="inlineStr"/>
      <c r="B51" s="27" t="inlineStr"/>
      <c r="C51" s="27" t="inlineStr"/>
      <c r="D51" s="36" t="inlineStr"/>
      <c r="E51" s="27" t="inlineStr"/>
      <c r="F51" s="27" t="inlineStr"/>
      <c r="G51" s="27" t="inlineStr"/>
      <c r="H51" s="27" t="inlineStr"/>
      <c r="I51" s="27" t="inlineStr"/>
    </row>
    <row r="52">
      <c r="A52" s="27" t="inlineStr"/>
      <c r="B52" s="27" t="inlineStr"/>
      <c r="C52" s="27" t="inlineStr"/>
      <c r="D52" s="36" t="inlineStr"/>
      <c r="E52" s="27" t="inlineStr"/>
      <c r="F52" s="27" t="inlineStr"/>
      <c r="G52" s="27" t="inlineStr"/>
      <c r="H52" s="27" t="inlineStr"/>
      <c r="I52" s="27" t="inlineStr"/>
    </row>
    <row r="53">
      <c r="A53" s="27" t="inlineStr"/>
      <c r="B53" s="27" t="inlineStr"/>
      <c r="C53" s="27" t="inlineStr"/>
      <c r="D53" s="36" t="inlineStr"/>
      <c r="E53" s="27" t="inlineStr"/>
      <c r="F53" s="27" t="inlineStr"/>
      <c r="G53" s="27" t="inlineStr"/>
      <c r="H53" s="27" t="inlineStr"/>
      <c r="I53" s="27" t="inlineStr"/>
    </row>
    <row r="54">
      <c r="A54" s="27" t="inlineStr"/>
      <c r="B54" s="27" t="inlineStr"/>
      <c r="C54" s="27" t="inlineStr"/>
      <c r="D54" s="36" t="inlineStr"/>
      <c r="E54" s="27" t="inlineStr"/>
      <c r="F54" s="27" t="inlineStr"/>
      <c r="G54" s="27" t="inlineStr"/>
      <c r="H54" s="27" t="inlineStr"/>
      <c r="I54" s="27" t="inlineStr"/>
    </row>
    <row r="55">
      <c r="A55" s="27" t="inlineStr"/>
      <c r="B55" s="27" t="inlineStr"/>
      <c r="C55" s="27" t="inlineStr"/>
      <c r="D55" s="36" t="inlineStr"/>
      <c r="E55" s="27" t="inlineStr"/>
      <c r="F55" s="27" t="inlineStr"/>
      <c r="G55" s="27" t="inlineStr"/>
      <c r="H55" s="27" t="inlineStr"/>
      <c r="I55" s="27" t="inlineStr"/>
    </row>
    <row r="56">
      <c r="A56" s="27" t="inlineStr"/>
      <c r="B56" s="27" t="inlineStr"/>
      <c r="C56" s="27" t="inlineStr"/>
      <c r="D56" s="36" t="inlineStr"/>
      <c r="E56" s="27" t="inlineStr"/>
      <c r="F56" s="27" t="inlineStr"/>
      <c r="G56" s="27" t="inlineStr"/>
      <c r="H56" s="27" t="inlineStr"/>
      <c r="I56" s="27" t="inlineStr"/>
    </row>
    <row r="57">
      <c r="A57" s="27" t="inlineStr"/>
      <c r="B57" s="27" t="inlineStr"/>
      <c r="C57" s="27" t="inlineStr"/>
      <c r="D57" s="36" t="inlineStr"/>
      <c r="E57" s="27" t="inlineStr"/>
      <c r="F57" s="27" t="inlineStr"/>
      <c r="G57" s="27" t="inlineStr"/>
      <c r="H57" s="27" t="inlineStr"/>
      <c r="I57" s="27" t="inlineStr"/>
    </row>
    <row r="58">
      <c r="A58" s="27" t="inlineStr"/>
      <c r="B58" s="27" t="inlineStr"/>
      <c r="C58" s="27" t="inlineStr"/>
      <c r="D58" s="36" t="inlineStr"/>
      <c r="E58" s="27" t="inlineStr"/>
      <c r="F58" s="27" t="inlineStr"/>
      <c r="G58" s="27" t="inlineStr"/>
      <c r="H58" s="27" t="inlineStr"/>
      <c r="I58" s="27" t="inlineStr"/>
    </row>
    <row r="59">
      <c r="A59" s="27" t="inlineStr"/>
      <c r="B59" s="27" t="inlineStr"/>
      <c r="C59" s="27" t="inlineStr"/>
      <c r="D59" s="36" t="inlineStr"/>
      <c r="E59" s="27" t="inlineStr"/>
      <c r="F59" s="27" t="inlineStr"/>
      <c r="G59" s="27" t="inlineStr"/>
      <c r="H59" s="27" t="inlineStr"/>
      <c r="I59" s="27" t="inlineStr"/>
    </row>
    <row r="60">
      <c r="A60" s="27" t="inlineStr"/>
      <c r="B60" s="27" t="inlineStr"/>
      <c r="C60" s="27" t="inlineStr"/>
      <c r="D60" s="36" t="inlineStr"/>
      <c r="E60" s="27" t="inlineStr"/>
      <c r="F60" s="27" t="inlineStr"/>
      <c r="G60" s="27" t="inlineStr"/>
      <c r="H60" s="27" t="inlineStr"/>
      <c r="I60" s="27" t="inlineStr"/>
    </row>
    <row r="61">
      <c r="A61" s="27" t="inlineStr"/>
      <c r="B61" s="27" t="inlineStr"/>
      <c r="C61" s="27" t="inlineStr"/>
      <c r="D61" s="36" t="inlineStr"/>
      <c r="E61" s="27" t="inlineStr"/>
      <c r="F61" s="27" t="inlineStr"/>
      <c r="G61" s="27" t="inlineStr"/>
      <c r="H61" s="27" t="inlineStr"/>
      <c r="I61" s="27" t="inlineStr"/>
    </row>
    <row r="62">
      <c r="A62" s="27" t="inlineStr"/>
      <c r="B62" s="27" t="inlineStr"/>
      <c r="C62" s="27" t="inlineStr"/>
      <c r="D62" s="36" t="inlineStr"/>
      <c r="E62" s="27" t="inlineStr"/>
      <c r="F62" s="27" t="inlineStr"/>
      <c r="G62" s="27" t="inlineStr"/>
      <c r="H62" s="27" t="inlineStr"/>
      <c r="I62" s="27" t="inlineStr"/>
    </row>
    <row r="63">
      <c r="A63" s="27" t="inlineStr"/>
      <c r="B63" s="27" t="inlineStr"/>
      <c r="C63" s="27" t="inlineStr"/>
      <c r="D63" s="36" t="inlineStr"/>
      <c r="E63" s="27" t="inlineStr"/>
      <c r="F63" s="27" t="inlineStr"/>
      <c r="G63" s="27" t="inlineStr"/>
      <c r="H63" s="27" t="inlineStr"/>
      <c r="I63" s="27" t="inlineStr"/>
    </row>
    <row r="64">
      <c r="A64" s="27" t="inlineStr"/>
      <c r="B64" s="27" t="inlineStr"/>
      <c r="C64" s="27" t="inlineStr"/>
      <c r="D64" s="36" t="inlineStr"/>
      <c r="E64" s="27" t="inlineStr"/>
      <c r="F64" s="27" t="inlineStr"/>
      <c r="G64" s="27" t="inlineStr"/>
      <c r="H64" s="27" t="inlineStr"/>
      <c r="I64" s="27" t="inlineStr"/>
    </row>
    <row r="65">
      <c r="A65" s="27" t="inlineStr"/>
      <c r="B65" s="27" t="inlineStr"/>
      <c r="C65" s="27" t="inlineStr"/>
      <c r="D65" s="36" t="inlineStr"/>
      <c r="E65" s="27" t="inlineStr"/>
      <c r="F65" s="27" t="inlineStr"/>
      <c r="G65" s="27" t="inlineStr"/>
      <c r="H65" s="27" t="inlineStr"/>
      <c r="I65" s="27" t="inlineStr"/>
    </row>
    <row r="66">
      <c r="A66" s="27" t="inlineStr"/>
      <c r="B66" s="27" t="inlineStr"/>
      <c r="C66" s="27" t="inlineStr"/>
      <c r="D66" s="36" t="inlineStr"/>
      <c r="E66" s="27" t="inlineStr"/>
      <c r="F66" s="27" t="inlineStr"/>
      <c r="G66" s="27" t="inlineStr"/>
      <c r="H66" s="27" t="inlineStr"/>
      <c r="I66" s="27" t="inlineStr"/>
    </row>
    <row r="67">
      <c r="A67" s="27" t="inlineStr"/>
      <c r="B67" s="27" t="inlineStr"/>
      <c r="C67" s="27" t="inlineStr"/>
      <c r="D67" s="36" t="inlineStr"/>
      <c r="E67" s="27" t="inlineStr"/>
      <c r="F67" s="27" t="inlineStr"/>
      <c r="G67" s="27" t="inlineStr"/>
      <c r="H67" s="27" t="inlineStr"/>
      <c r="I67" s="27" t="inlineStr"/>
    </row>
    <row r="68">
      <c r="A68" s="27" t="inlineStr"/>
      <c r="B68" s="27" t="inlineStr"/>
      <c r="C68" s="27" t="inlineStr"/>
      <c r="D68" s="36" t="inlineStr"/>
      <c r="E68" s="27" t="inlineStr"/>
      <c r="F68" s="27" t="inlineStr"/>
      <c r="G68" s="27" t="inlineStr"/>
      <c r="H68" s="27" t="inlineStr"/>
      <c r="I68" s="27" t="inlineStr"/>
    </row>
    <row r="69">
      <c r="A69" s="27" t="inlineStr"/>
      <c r="B69" s="27" t="inlineStr"/>
      <c r="C69" s="27" t="inlineStr"/>
      <c r="D69" s="36" t="inlineStr"/>
      <c r="E69" s="27" t="inlineStr"/>
      <c r="F69" s="27" t="inlineStr"/>
      <c r="G69" s="27" t="inlineStr"/>
      <c r="H69" s="27" t="inlineStr"/>
      <c r="I69" s="27" t="inlineStr"/>
    </row>
    <row r="70">
      <c r="A70" s="27" t="inlineStr"/>
      <c r="B70" s="27" t="inlineStr"/>
      <c r="C70" s="27" t="inlineStr"/>
      <c r="D70" s="36" t="inlineStr"/>
      <c r="E70" s="27" t="inlineStr"/>
      <c r="F70" s="27" t="inlineStr"/>
      <c r="G70" s="27" t="inlineStr"/>
      <c r="H70" s="27" t="inlineStr"/>
      <c r="I70" s="27" t="inlineStr"/>
    </row>
    <row r="71">
      <c r="A71" s="27" t="inlineStr"/>
      <c r="B71" s="27" t="inlineStr"/>
      <c r="C71" s="27" t="inlineStr"/>
      <c r="D71" s="36" t="inlineStr"/>
      <c r="E71" s="27" t="inlineStr"/>
      <c r="F71" s="27" t="inlineStr"/>
      <c r="G71" s="27" t="inlineStr"/>
      <c r="H71" s="27" t="inlineStr"/>
      <c r="I71" s="27" t="inlineStr"/>
    </row>
    <row r="72">
      <c r="A72" s="27" t="inlineStr"/>
      <c r="B72" s="27" t="inlineStr"/>
      <c r="C72" s="27" t="inlineStr"/>
      <c r="D72" s="36" t="inlineStr"/>
      <c r="E72" s="27" t="inlineStr"/>
      <c r="F72" s="27" t="inlineStr"/>
      <c r="G72" s="27" t="inlineStr"/>
      <c r="H72" s="27" t="inlineStr"/>
      <c r="I72" s="27" t="inlineStr"/>
    </row>
    <row r="73">
      <c r="A73" s="27" t="inlineStr"/>
      <c r="B73" s="27" t="inlineStr"/>
      <c r="C73" s="27" t="inlineStr"/>
      <c r="D73" s="36" t="inlineStr"/>
      <c r="E73" s="27" t="inlineStr"/>
      <c r="F73" s="27" t="inlineStr"/>
      <c r="G73" s="27" t="inlineStr"/>
      <c r="H73" s="27" t="inlineStr"/>
      <c r="I73" s="27" t="inlineStr"/>
    </row>
    <row r="74">
      <c r="A74" s="27" t="inlineStr"/>
      <c r="B74" s="27" t="inlineStr"/>
      <c r="C74" s="27" t="inlineStr"/>
      <c r="D74" s="36" t="inlineStr"/>
      <c r="E74" s="27" t="inlineStr"/>
      <c r="F74" s="27" t="inlineStr"/>
      <c r="G74" s="27" t="inlineStr"/>
      <c r="H74" s="27" t="inlineStr"/>
      <c r="I74" s="27" t="inlineStr"/>
    </row>
    <row r="75">
      <c r="A75" s="27" t="inlineStr"/>
      <c r="B75" s="27" t="inlineStr"/>
      <c r="C75" s="27" t="inlineStr"/>
      <c r="D75" s="36" t="inlineStr"/>
      <c r="E75" s="27" t="inlineStr"/>
      <c r="F75" s="27" t="inlineStr"/>
      <c r="G75" s="27" t="inlineStr"/>
      <c r="H75" s="27" t="inlineStr"/>
      <c r="I75" s="27" t="inlineStr"/>
    </row>
    <row r="76">
      <c r="A76" s="27" t="inlineStr"/>
      <c r="B76" s="27" t="inlineStr"/>
      <c r="C76" s="27" t="inlineStr"/>
      <c r="D76" s="36" t="inlineStr"/>
      <c r="E76" s="27" t="inlineStr"/>
      <c r="F76" s="27" t="inlineStr"/>
      <c r="G76" s="27" t="inlineStr"/>
      <c r="H76" s="27" t="inlineStr"/>
      <c r="I76" s="27" t="inlineStr"/>
    </row>
    <row r="77">
      <c r="A77" s="27" t="inlineStr"/>
      <c r="B77" s="27" t="inlineStr"/>
      <c r="C77" s="27" t="inlineStr"/>
      <c r="D77" s="36" t="inlineStr"/>
      <c r="E77" s="27" t="inlineStr"/>
      <c r="F77" s="27" t="inlineStr"/>
      <c r="G77" s="27" t="inlineStr"/>
      <c r="H77" s="27" t="inlineStr"/>
      <c r="I77" s="27" t="inlineStr"/>
    </row>
    <row r="78">
      <c r="A78" s="27" t="inlineStr"/>
      <c r="B78" s="27" t="inlineStr"/>
      <c r="C78" s="27" t="inlineStr"/>
      <c r="D78" s="36" t="inlineStr"/>
      <c r="E78" s="27" t="inlineStr"/>
      <c r="F78" s="27" t="inlineStr"/>
      <c r="G78" s="27" t="inlineStr"/>
      <c r="H78" s="27" t="inlineStr"/>
      <c r="I78" s="27" t="inlineStr"/>
    </row>
    <row r="79">
      <c r="A79" s="27" t="inlineStr"/>
      <c r="B79" s="27" t="inlineStr"/>
      <c r="C79" s="27" t="inlineStr"/>
      <c r="D79" s="36" t="inlineStr"/>
      <c r="E79" s="27" t="inlineStr"/>
      <c r="F79" s="27" t="inlineStr"/>
      <c r="G79" s="27" t="inlineStr"/>
      <c r="H79" s="27" t="inlineStr"/>
      <c r="I79" s="27" t="inlineStr"/>
    </row>
    <row r="80">
      <c r="A80" s="27" t="inlineStr"/>
      <c r="B80" s="27" t="inlineStr"/>
      <c r="C80" s="27" t="inlineStr"/>
      <c r="D80" s="36" t="inlineStr"/>
      <c r="E80" s="27" t="inlineStr"/>
      <c r="F80" s="27" t="inlineStr"/>
      <c r="G80" s="27" t="inlineStr"/>
      <c r="H80" s="27" t="inlineStr"/>
      <c r="I80" s="27" t="inlineStr"/>
    </row>
    <row r="81">
      <c r="A81" s="27" t="inlineStr"/>
      <c r="B81" s="27" t="inlineStr"/>
      <c r="C81" s="27" t="inlineStr"/>
      <c r="D81" s="36" t="inlineStr"/>
      <c r="E81" s="27" t="inlineStr"/>
      <c r="F81" s="27" t="inlineStr"/>
      <c r="G81" s="27" t="inlineStr"/>
      <c r="H81" s="27" t="inlineStr"/>
      <c r="I81" s="27" t="inlineStr"/>
    </row>
    <row r="82">
      <c r="A82" s="27" t="inlineStr"/>
      <c r="B82" s="27" t="inlineStr"/>
      <c r="C82" s="27" t="inlineStr"/>
      <c r="D82" s="36" t="inlineStr"/>
      <c r="E82" s="27" t="inlineStr"/>
      <c r="F82" s="27" t="inlineStr"/>
      <c r="G82" s="27" t="inlineStr"/>
      <c r="H82" s="27" t="inlineStr"/>
      <c r="I82" s="27" t="inlineStr"/>
    </row>
    <row r="83">
      <c r="A83" s="27" t="inlineStr"/>
      <c r="B83" s="27" t="inlineStr"/>
      <c r="C83" s="27" t="inlineStr"/>
      <c r="D83" s="36" t="inlineStr"/>
      <c r="E83" s="27" t="inlineStr"/>
      <c r="F83" s="27" t="inlineStr"/>
      <c r="G83" s="27" t="inlineStr"/>
      <c r="H83" s="27" t="inlineStr"/>
      <c r="I83" s="27" t="inlineStr"/>
    </row>
    <row r="84">
      <c r="A84" s="27" t="inlineStr"/>
      <c r="B84" s="27" t="inlineStr"/>
      <c r="C84" s="27" t="inlineStr"/>
      <c r="D84" s="36" t="inlineStr"/>
      <c r="E84" s="27" t="inlineStr"/>
      <c r="F84" s="27" t="inlineStr"/>
      <c r="G84" s="27" t="inlineStr"/>
      <c r="H84" s="27" t="inlineStr"/>
      <c r="I84" s="27" t="inlineStr"/>
    </row>
    <row r="85">
      <c r="A85" s="27" t="inlineStr"/>
      <c r="B85" s="27" t="inlineStr"/>
      <c r="C85" s="27" t="inlineStr"/>
      <c r="D85" s="36" t="inlineStr"/>
      <c r="E85" s="27" t="inlineStr"/>
      <c r="F85" s="27" t="inlineStr"/>
      <c r="G85" s="27" t="inlineStr"/>
      <c r="H85" s="27" t="inlineStr"/>
      <c r="I85" s="27" t="inlineStr"/>
    </row>
    <row r="86">
      <c r="A86" s="27" t="inlineStr"/>
      <c r="B86" s="27" t="inlineStr"/>
      <c r="C86" s="27" t="inlineStr"/>
      <c r="D86" s="36" t="inlineStr"/>
      <c r="E86" s="27" t="inlineStr"/>
      <c r="F86" s="27" t="inlineStr"/>
      <c r="G86" s="27" t="inlineStr"/>
      <c r="H86" s="27" t="inlineStr"/>
      <c r="I86" s="27" t="inlineStr"/>
    </row>
    <row r="87">
      <c r="A87" s="27" t="inlineStr"/>
      <c r="B87" s="27" t="inlineStr"/>
      <c r="C87" s="27" t="inlineStr"/>
      <c r="D87" s="36" t="inlineStr"/>
      <c r="E87" s="27" t="inlineStr"/>
      <c r="F87" s="27" t="inlineStr"/>
      <c r="G87" s="27" t="inlineStr"/>
      <c r="H87" s="27" t="inlineStr"/>
      <c r="I87" s="27" t="inlineStr"/>
    </row>
    <row r="88">
      <c r="A88" s="27" t="inlineStr"/>
      <c r="B88" s="27" t="inlineStr"/>
      <c r="C88" s="27" t="inlineStr"/>
      <c r="D88" s="36" t="inlineStr"/>
      <c r="E88" s="27" t="inlineStr"/>
      <c r="F88" s="27" t="inlineStr"/>
      <c r="G88" s="27" t="inlineStr"/>
      <c r="H88" s="27" t="inlineStr"/>
      <c r="I88" s="27" t="inlineStr"/>
    </row>
    <row r="89">
      <c r="A89" s="27" t="inlineStr"/>
      <c r="B89" s="27" t="inlineStr"/>
      <c r="C89" s="27" t="inlineStr"/>
      <c r="D89" s="36" t="inlineStr"/>
      <c r="E89" s="27" t="inlineStr"/>
      <c r="F89" s="27" t="inlineStr"/>
      <c r="G89" s="27" t="inlineStr"/>
      <c r="H89" s="27" t="inlineStr"/>
      <c r="I89" s="27" t="inlineStr"/>
    </row>
    <row r="90">
      <c r="A90" s="27" t="inlineStr"/>
      <c r="B90" s="27" t="inlineStr"/>
      <c r="C90" s="27" t="inlineStr"/>
      <c r="D90" s="36" t="inlineStr"/>
      <c r="E90" s="27" t="inlineStr"/>
      <c r="F90" s="27" t="inlineStr"/>
      <c r="G90" s="27" t="inlineStr"/>
      <c r="H90" s="27" t="inlineStr"/>
      <c r="I90" s="27" t="inlineStr"/>
    </row>
    <row r="91">
      <c r="A91" s="27" t="inlineStr"/>
      <c r="B91" s="27" t="inlineStr"/>
      <c r="C91" s="27" t="inlineStr"/>
      <c r="D91" s="36" t="inlineStr"/>
      <c r="E91" s="27" t="inlineStr"/>
      <c r="F91" s="27" t="inlineStr"/>
      <c r="G91" s="27" t="inlineStr"/>
      <c r="H91" s="27" t="inlineStr"/>
      <c r="I91" s="27" t="inlineStr"/>
    </row>
    <row r="92">
      <c r="A92" s="27" t="inlineStr"/>
      <c r="B92" s="27" t="inlineStr"/>
      <c r="C92" s="27" t="inlineStr"/>
      <c r="D92" s="36" t="inlineStr"/>
      <c r="E92" s="27" t="inlineStr"/>
      <c r="F92" s="27" t="inlineStr"/>
      <c r="G92" s="27" t="inlineStr"/>
      <c r="H92" s="27" t="inlineStr"/>
      <c r="I92" s="27" t="inlineStr"/>
    </row>
    <row r="93">
      <c r="A93" s="27" t="inlineStr"/>
      <c r="B93" s="27" t="inlineStr"/>
      <c r="C93" s="27" t="inlineStr"/>
      <c r="D93" s="36" t="inlineStr"/>
      <c r="E93" s="27" t="inlineStr"/>
      <c r="F93" s="27" t="inlineStr"/>
      <c r="G93" s="27" t="inlineStr"/>
      <c r="H93" s="27" t="inlineStr"/>
      <c r="I93" s="27" t="inlineStr"/>
    </row>
    <row r="94">
      <c r="A94" s="27" t="inlineStr"/>
      <c r="B94" s="27" t="inlineStr"/>
      <c r="C94" s="27" t="inlineStr"/>
      <c r="D94" s="36" t="inlineStr"/>
      <c r="E94" s="27" t="inlineStr"/>
      <c r="F94" s="27" t="inlineStr"/>
      <c r="G94" s="27" t="inlineStr"/>
      <c r="H94" s="27" t="inlineStr"/>
      <c r="I94" s="27" t="inlineStr"/>
    </row>
    <row r="95">
      <c r="A95" s="27" t="inlineStr"/>
      <c r="B95" s="27" t="inlineStr"/>
      <c r="C95" s="27" t="inlineStr"/>
      <c r="D95" s="36" t="inlineStr"/>
      <c r="E95" s="27" t="inlineStr"/>
      <c r="F95" s="27" t="inlineStr"/>
      <c r="G95" s="27" t="inlineStr"/>
      <c r="H95" s="27" t="inlineStr"/>
      <c r="I95" s="27" t="inlineStr"/>
    </row>
    <row r="96">
      <c r="A96" s="27" t="inlineStr"/>
      <c r="B96" s="27" t="inlineStr"/>
      <c r="C96" s="27" t="inlineStr"/>
      <c r="D96" s="36" t="inlineStr"/>
      <c r="E96" s="27" t="inlineStr"/>
      <c r="F96" s="27" t="inlineStr"/>
      <c r="G96" s="27" t="inlineStr"/>
      <c r="H96" s="27" t="inlineStr"/>
      <c r="I96" s="27" t="inlineStr"/>
    </row>
    <row r="97">
      <c r="A97" s="27" t="inlineStr"/>
      <c r="B97" s="27" t="inlineStr"/>
      <c r="C97" s="27" t="inlineStr"/>
      <c r="D97" s="36" t="inlineStr"/>
      <c r="E97" s="27" t="inlineStr"/>
      <c r="F97" s="27" t="inlineStr"/>
      <c r="G97" s="27" t="inlineStr"/>
      <c r="H97" s="27" t="inlineStr"/>
      <c r="I97" s="27" t="inlineStr"/>
    </row>
    <row r="98">
      <c r="A98" s="27" t="inlineStr"/>
      <c r="B98" s="27" t="inlineStr"/>
      <c r="C98" s="27" t="inlineStr"/>
      <c r="D98" s="36" t="inlineStr"/>
      <c r="E98" s="27" t="inlineStr"/>
      <c r="F98" s="27" t="inlineStr"/>
      <c r="G98" s="27" t="inlineStr"/>
      <c r="H98" s="27" t="inlineStr"/>
      <c r="I98" s="27" t="inlineStr"/>
    </row>
    <row r="99">
      <c r="A99" s="27" t="inlineStr"/>
      <c r="B99" s="27" t="inlineStr"/>
      <c r="C99" s="27" t="inlineStr"/>
      <c r="D99" s="36" t="inlineStr"/>
      <c r="E99" s="27" t="inlineStr"/>
      <c r="F99" s="27" t="inlineStr"/>
      <c r="G99" s="27" t="inlineStr"/>
      <c r="H99" s="27" t="inlineStr"/>
      <c r="I99" s="27" t="inlineStr"/>
    </row>
    <row r="100">
      <c r="A100" s="27" t="inlineStr"/>
      <c r="B100" s="27" t="inlineStr"/>
      <c r="C100" s="27" t="inlineStr"/>
      <c r="D100" s="36" t="inlineStr"/>
      <c r="E100" s="27" t="inlineStr"/>
      <c r="F100" s="27" t="inlineStr"/>
      <c r="G100" s="27" t="inlineStr"/>
      <c r="H100" s="27" t="inlineStr"/>
      <c r="I100" s="27" t="inlineStr"/>
    </row>
    <row r="101">
      <c r="A101" s="27" t="inlineStr"/>
      <c r="B101" s="27" t="inlineStr"/>
      <c r="C101" s="27" t="inlineStr"/>
      <c r="D101" s="36" t="inlineStr"/>
      <c r="E101" s="27" t="inlineStr"/>
      <c r="F101" s="27" t="inlineStr"/>
      <c r="G101" s="27" t="inlineStr"/>
      <c r="H101" s="27" t="inlineStr"/>
      <c r="I101" s="27" t="inlineStr"/>
    </row>
    <row r="102">
      <c r="A102" s="27" t="inlineStr"/>
      <c r="B102" s="27" t="inlineStr"/>
      <c r="C102" s="27" t="inlineStr"/>
      <c r="D102" s="36" t="inlineStr"/>
      <c r="E102" s="27" t="inlineStr"/>
      <c r="F102" s="27" t="inlineStr"/>
      <c r="G102" s="27" t="inlineStr"/>
      <c r="H102" s="27" t="inlineStr"/>
      <c r="I102" s="27" t="inlineStr"/>
    </row>
    <row r="103">
      <c r="A103" s="27" t="inlineStr"/>
      <c r="B103" s="27" t="inlineStr"/>
      <c r="C103" s="27" t="inlineStr"/>
      <c r="D103" s="36" t="inlineStr"/>
      <c r="E103" s="27" t="inlineStr"/>
      <c r="F103" s="27" t="inlineStr"/>
      <c r="G103" s="27" t="inlineStr"/>
      <c r="H103" s="27" t="inlineStr"/>
      <c r="I103" s="27" t="inlineStr"/>
    </row>
  </sheetData>
  <autoFilter ref="A3:I103"/>
  <mergeCells count="1">
    <mergeCell ref="A1:H1"/>
  </mergeCells>
  <dataValidations count="9">
    <dataValidation sqref="B4:B103" showDropDown="0" showInputMessage="0" showErrorMessage="1" allowBlank="1" errorTitle="Invalid selection" error="Select a value from the dropdown list." promptTitle="Dropdown" prompt="Choose from the list." type="list">
      <formula1>='Lists'!$A$2:$A$5</formula1>
    </dataValidation>
    <dataValidation sqref="C4:C103" showDropDown="0" showInputMessage="0" showErrorMessage="1" allowBlank="1" errorTitle="Invalid selection" error="Select a value from the dropdown list." promptTitle="Dropdown" prompt="Choose from the list." type="list">
      <formula1>='Lists'!$AE$2:$AE$7</formula1>
    </dataValidation>
    <dataValidation sqref="F4:F103" showDropDown="0" showInputMessage="0" showErrorMessage="1" allowBlank="1" errorTitle="Invalid selection" error="Select a value from the dropdown list." promptTitle="Dropdown" prompt="Choose from the list." type="list">
      <formula1>='Lists'!$AB$2:$AB$3</formula1>
    </dataValidation>
    <dataValidation sqref="G4:G103" showDropDown="0" showInputMessage="0" showErrorMessage="1" allowBlank="1" errorTitle="Invalid selection" error="Select a value from the dropdown list." promptTitle="Dropdown" prompt="Choose from the list." type="list">
      <formula1>='Lists'!$T$2:$T$6</formula1>
    </dataValidation>
    <dataValidation sqref="H4:H103" showDropDown="0" showInputMessage="0" showErrorMessage="1" allowBlank="1" errorTitle="Invalid selection" error="Select a value from the dropdown list." promptTitle="Dropdown" prompt="Choose from the list." type="list">
      <formula1>='Lists'!$U$2:$U$3</formula1>
    </dataValidation>
    <dataValidation sqref="C2" showDropDown="0" showInputMessage="0" showErrorMessage="1" allowBlank="1" errorTitle="Invalid selection" error="Select a value from the dropdown list." promptTitle="Dropdown" prompt="Choose from the list." type="list">
      <formula1>='Lists'!$B$2:$B$6</formula1>
    </dataValidation>
    <dataValidation sqref="E2" showDropDown="0" showInputMessage="0" showErrorMessage="1" allowBlank="1" errorTitle="Invalid selection" error="Select a value from the dropdown list." promptTitle="Dropdown" prompt="Choose from the list." type="list">
      <formula1>='Lists'!$AE$2:$AE$7</formula1>
    </dataValidation>
    <dataValidation sqref="G2" showDropDown="0" showInputMessage="0" showErrorMessage="1" allowBlank="1" errorTitle="Invalid selection" error="Select a value from the dropdown list." promptTitle="Dropdown" prompt="Choose from the list." type="list">
      <formula1>='Lists'!$AB$2:$AB$3</formula1>
    </dataValidation>
    <dataValidation sqref="I2" showDropDown="0" showInputMessage="0" showErrorMessage="1" allowBlank="1" errorTitle="Invalid selection" error="Select a value from the dropdown list." promptTitle="Dropdown" prompt="Choose from the list." type="list">
      <formula1>='Lists'!$T$2:$T$6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2026-06-09T09:29:55Z</dcterms:created>
  <dcterms:modified xmlns:dcterms="http://purl.org/dc/terms/" xmlns:xsi="http://www.w3.org/2001/XMLSchema-instance" xsi:type="dcterms:W3CDTF">2026-06-09T09:50:44Z</dcterms:modified>
</cp:coreProperties>
</file>