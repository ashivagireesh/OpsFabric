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shboard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Task Tracker" sheetId="4" state="visible" r:id="rId4"/>
    <sheet xmlns:r="http://schemas.openxmlformats.org/officeDocument/2006/relationships" name="Milestone Tracker" sheetId="5" state="visible" r:id="rId5"/>
    <sheet xmlns:r="http://schemas.openxmlformats.org/officeDocument/2006/relationships" name="Issue Tracker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Resource Tracker" sheetId="8" state="visible" r:id="rId8"/>
    <sheet xmlns:r="http://schemas.openxmlformats.org/officeDocument/2006/relationships" name="Change Request Tracker" sheetId="9" state="visible" r:id="rId9"/>
    <sheet xmlns:r="http://schemas.openxmlformats.org/officeDocument/2006/relationships" name="UAT Testing Tracker" sheetId="10" state="visible" r:id="rId10"/>
    <sheet xmlns:r="http://schemas.openxmlformats.org/officeDocument/2006/relationships" name="Deployment Tracker" sheetId="11" state="visible" r:id="rId11"/>
    <sheet xmlns:r="http://schemas.openxmlformats.org/officeDocument/2006/relationships" name="Lists" sheetId="12" state="visible" r:id="rId12"/>
  </sheets>
  <definedNames>
    <definedName name="_xlnm._FilterDatabase" localSheetId="1" hidden="1">'Gantt Chart'!$A$1:$J$120</definedName>
    <definedName name="_xlnm._FilterDatabase" localSheetId="2" hidden="1">'Project Master'!$A$1:$N$300</definedName>
    <definedName name="_xlnm._FilterDatabase" localSheetId="3" hidden="1">'Task Tracker'!$A$1:$N$500</definedName>
    <definedName name="_xlnm._FilterDatabase" localSheetId="4" hidden="1">'Milestone Tracker'!$A$1:$I$300</definedName>
    <definedName name="_xlnm._FilterDatabase" localSheetId="5" hidden="1">'Issue Tracker'!$A$1:$L$300</definedName>
    <definedName name="_xlnm._FilterDatabase" localSheetId="6" hidden="1">'Risk Register'!$A$1:$K$300</definedName>
    <definedName name="_xlnm._FilterDatabase" localSheetId="7" hidden="1">'Resource Tracker'!$A$1:$I$300</definedName>
    <definedName name="_xlnm._FilterDatabase" localSheetId="8" hidden="1">'Change Request Tracker'!$A$1:$K$300</definedName>
    <definedName name="_xlnm._FilterDatabase" localSheetId="9" hidden="1">'UAT Testing Tracker'!$A$1:$J$300</definedName>
    <definedName name="_xlnm._FilterDatabase" localSheetId="10" hidden="1">'Deployment Tracker'!$A$1:$I$200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dd-mmm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1F4E78"/>
    </font>
    <font>
      <b val="1"/>
      <color rgb="00FFFFFF"/>
      <sz val="8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4" fillId="2" borderId="0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BDD7E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ont>
        <b val="1"/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Dashboard'!$A$14:$A$19</f>
            </numRef>
          </cat>
          <val>
            <numRef>
              <f>'Project Dashboard'!$B$14:$B$19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Software Delivery Project Management Dashboard</t>
        </is>
      </c>
    </row>
    <row r="3">
      <c r="A3" s="2" t="inlineStr">
        <is>
          <t>Project ID</t>
        </is>
      </c>
      <c r="B3" s="3" t="inlineStr">
        <is>
          <t>All</t>
        </is>
      </c>
      <c r="D3" s="2" t="inlineStr">
        <is>
          <t>Project Status</t>
        </is>
      </c>
      <c r="E3" s="3" t="inlineStr">
        <is>
          <t>All</t>
        </is>
      </c>
      <c r="G3" s="2" t="inlineStr">
        <is>
          <t>Priority</t>
        </is>
      </c>
      <c r="H3" s="3" t="inlineStr">
        <is>
          <t>All</t>
        </is>
      </c>
      <c r="J3" s="2" t="inlineStr">
        <is>
          <t>Risk Level</t>
        </is>
      </c>
      <c r="K3" s="3" t="inlineStr">
        <is>
          <t>All</t>
        </is>
      </c>
    </row>
    <row r="5">
      <c r="A5" s="4" t="inlineStr">
        <is>
          <t>Total Projects</t>
        </is>
      </c>
      <c r="B5" s="4" t="n"/>
      <c r="C5" s="4" t="inlineStr">
        <is>
          <t>Active Projects</t>
        </is>
      </c>
      <c r="D5" s="4" t="n"/>
      <c r="E5" s="4" t="inlineStr">
        <is>
          <t>Completed</t>
        </is>
      </c>
      <c r="F5" s="4" t="n"/>
      <c r="G5" s="4" t="inlineStr">
        <is>
          <t>Delayed</t>
        </is>
      </c>
      <c r="H5" s="4" t="n"/>
      <c r="I5" s="4" t="inlineStr">
        <is>
          <t>Overall Completion</t>
        </is>
      </c>
      <c r="J5" s="4" t="n"/>
      <c r="K5" s="4" t="inlineStr">
        <is>
          <t>High Risk</t>
        </is>
      </c>
      <c r="L5" s="4" t="n"/>
    </row>
    <row r="6">
      <c r="A6" s="4">
        <f>SUMPRODUCT(('Project Master'!$A$2:$A$300&lt;&gt;"")*IF($B$3="All",1,--('Project Master'!$A$2:$A$300=$B$3))*IF($E$3="All",1,--('Project Master'!$I$2:$I$300=$E$3))*IF($H$3="All",1,--('Project Master'!$J$2:$J$300=$H$3))*IF($K$3="All",1,--('Project Master'!$M$2:$M$300=$K$3)))</f>
        <v/>
      </c>
      <c r="B6" s="4" t="n"/>
      <c r="C6" s="4">
        <f>SUMPRODUCT(('Project Master'!$A$2:$A$300&lt;&gt;"")*IF($B$3="All",1,--('Project Master'!$A$2:$A$300=$B$3))*IF($E$3="All",1,--('Project Master'!$I$2:$I$300=$E$3))*IF($H$3="All",1,--('Project Master'!$J$2:$J$300=$H$3))*IF($K$3="All",1,--('Project Master'!$M$2:$M$300=$K$3))*--('Project Master'!$I$2:$I$300="Active"))</f>
        <v/>
      </c>
      <c r="D6" s="4" t="n"/>
      <c r="E6" s="4">
        <f>SUMPRODUCT(('Project Master'!$A$2:$A$300&lt;&gt;"")*IF($B$3="All",1,--('Project Master'!$A$2:$A$300=$B$3))*IF($E$3="All",1,--('Project Master'!$I$2:$I$300=$E$3))*IF($H$3="All",1,--('Project Master'!$J$2:$J$300=$H$3))*IF($K$3="All",1,--('Project Master'!$M$2:$M$300=$K$3))*--('Project Master'!$I$2:$I$300="Completed"))</f>
        <v/>
      </c>
      <c r="F6" s="4" t="n"/>
      <c r="G6" s="4">
        <f>SUMPRODUCT(('Project Master'!$A$2:$A$300&lt;&gt;"")*IF($B$3="All",1,--('Project Master'!$A$2:$A$300=$B$3))*IF($E$3="All",1,--('Project Master'!$I$2:$I$300=$E$3))*IF($H$3="All",1,--('Project Master'!$J$2:$J$300=$H$3))*IF($K$3="All",1,--('Project Master'!$M$2:$M$300=$K$3))*--('Project Master'!$I$2:$I$300="Delayed"))</f>
        <v/>
      </c>
      <c r="H6" s="4" t="n"/>
      <c r="I6" s="4">
        <f>IFERROR(AVERAGE(FILTER('Project Master'!$K$2:$K$300,('Project Master'!$A$2:$A$300&lt;&gt;"")*IF($B$3="All",1,--('Project Master'!$A$2:$A$300=$B$3))*IF($E$3="All",1,--('Project Master'!$I$2:$I$300=$E$3))*IF($H$3="All",1,--('Project Master'!$J$2:$J$300=$H$3))*IF($K$3="All",1,--('Project Master'!$M$2:$M$300=$K$3)))),0)</f>
        <v/>
      </c>
      <c r="J6" s="4" t="n"/>
      <c r="K6" s="4">
        <f>SUMPRODUCT(('Project Master'!$A$2:$A$300&lt;&gt;"")*IF($B$3="All",1,--('Project Master'!$A$2:$A$300=$B$3))*IF($E$3="All",1,--('Project Master'!$I$2:$I$300=$E$3))*IF($H$3="All",1,--('Project Master'!$J$2:$J$300=$H$3))*IF($K$3="All",1,--('Project Master'!$M$2:$M$300=$K$3))*--((('Project Master'!$M$2:$M$300="High")+('Project Master'!$M$2:$M$300="Critical"))&gt;0))</f>
        <v/>
      </c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13">
      <c r="A13" s="5" t="inlineStr">
        <is>
          <t>Status</t>
        </is>
      </c>
      <c r="B13" s="5" t="inlineStr">
        <is>
          <t>Count</t>
        </is>
      </c>
    </row>
    <row r="14">
      <c r="A14" t="inlineStr">
        <is>
          <t>Not Started</t>
        </is>
      </c>
      <c r="B14">
        <f>COUNTIF('Project Master'!I:I,A14)</f>
        <v/>
      </c>
    </row>
    <row r="15">
      <c r="A15" t="inlineStr">
        <is>
          <t>Active</t>
        </is>
      </c>
      <c r="B15">
        <f>COUNTIF('Project Master'!I:I,A15)</f>
        <v/>
      </c>
    </row>
    <row r="16">
      <c r="A16" t="inlineStr">
        <is>
          <t>On Hold</t>
        </is>
      </c>
      <c r="B16">
        <f>COUNTIF('Project Master'!I:I,A16)</f>
        <v/>
      </c>
    </row>
    <row r="17">
      <c r="A17" t="inlineStr">
        <is>
          <t>Completed</t>
        </is>
      </c>
      <c r="B17">
        <f>COUNTIF('Project Master'!I:I,A17)</f>
        <v/>
      </c>
    </row>
    <row r="18">
      <c r="A18" t="inlineStr">
        <is>
          <t>Delayed</t>
        </is>
      </c>
      <c r="B18">
        <f>COUNTIF('Project Master'!I:I,A18)</f>
        <v/>
      </c>
    </row>
    <row r="19">
      <c r="A19" t="inlineStr">
        <is>
          <t>Cancelled</t>
        </is>
      </c>
      <c r="B19">
        <f>COUNTIF('Project Master'!I:I,A19)</f>
        <v/>
      </c>
    </row>
  </sheetData>
  <mergeCells count="13">
    <mergeCell ref="E6:F7"/>
    <mergeCell ref="C6:D7"/>
    <mergeCell ref="I6:J7"/>
    <mergeCell ref="G6:H7"/>
    <mergeCell ref="K6:L7"/>
    <mergeCell ref="A1:L1"/>
    <mergeCell ref="C5:D5"/>
    <mergeCell ref="A5:B5"/>
    <mergeCell ref="A6:B7"/>
    <mergeCell ref="E5:F5"/>
    <mergeCell ref="G5:H5"/>
    <mergeCell ref="I5:J5"/>
    <mergeCell ref="K5:L5"/>
  </mergeCells>
  <dataValidations count="4">
    <dataValidation sqref="B3" showDropDown="0" showInputMessage="0" showErrorMessage="1" allowBlank="1" errorTitle="Invalid selection" error="Select from the dropdown list." type="list">
      <formula1>"All,PRJ-001,PRJ-002,PRJ-003,PRJ-004"</formula1>
    </dataValidation>
    <dataValidation sqref="E3" showDropDown="0" showInputMessage="0" showErrorMessage="1" allowBlank="1" errorTitle="Invalid selection" error="Select from the dropdown list." type="list">
      <formula1>"All,Not Started,Active,On Hold,Completed,Delayed,Cancelled"</formula1>
    </dataValidation>
    <dataValidation sqref="H3" showDropDown="0" showInputMessage="0" showErrorMessage="1" allowBlank="1" errorTitle="Invalid selection" error="Select from the dropdown list." type="list">
      <formula1>"All,Low,Medium,High,Critical"</formula1>
    </dataValidation>
    <dataValidation sqref="K3" showDropDown="0" showInputMessage="0" showErrorMessage="1" allowBlank="1" errorTitle="Invalid selection" error="Select from the dropdown list." type="list">
      <formula1>"All,Low,Medium,High,Critical"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20"/>
  <sheetViews>
    <sheetView showGridLines="0"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34" customWidth="1" min="4" max="4"/>
    <col width="15" customWidth="1" min="5" max="5"/>
    <col width="14" customWidth="1" min="6" max="6"/>
    <col width="13" customWidth="1" min="7" max="7"/>
    <col width="13" customWidth="1" min="8" max="8"/>
    <col width="16" customWidth="1" min="9" max="9"/>
    <col width="1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</cols>
  <sheetData>
    <row r="1">
      <c r="A1" s="6" t="inlineStr">
        <is>
          <t>Task ID</t>
        </is>
      </c>
      <c r="B1" s="6" t="inlineStr">
        <is>
          <t>Project ID</t>
        </is>
      </c>
      <c r="C1" s="6" t="inlineStr">
        <is>
          <t>Module</t>
        </is>
      </c>
      <c r="D1" s="6" t="inlineStr">
        <is>
          <t>Task Description</t>
        </is>
      </c>
      <c r="E1" s="6" t="inlineStr">
        <is>
          <t>Assigned To</t>
        </is>
      </c>
      <c r="F1" s="6" t="inlineStr">
        <is>
          <t>Start Date</t>
        </is>
      </c>
      <c r="G1" s="6" t="inlineStr">
        <is>
          <t>Due Date</t>
        </is>
      </c>
      <c r="H1" s="6" t="inlineStr">
        <is>
          <t>Status</t>
        </is>
      </c>
      <c r="I1" s="6" t="inlineStr">
        <is>
          <t>Completion %</t>
        </is>
      </c>
      <c r="J1" s="6" t="inlineStr">
        <is>
          <t>Delay Days</t>
        </is>
      </c>
      <c r="K1" s="7">
        <f>TODAY()-WEEKDAY(TODAY(),2)-28</f>
        <v/>
      </c>
      <c r="L1" s="7">
        <f>K1+7</f>
        <v/>
      </c>
      <c r="M1" s="7">
        <f>L1+7</f>
        <v/>
      </c>
      <c r="N1" s="7">
        <f>M1+7</f>
        <v/>
      </c>
      <c r="O1" s="7">
        <f>N1+7</f>
        <v/>
      </c>
      <c r="P1" s="7">
        <f>O1+7</f>
        <v/>
      </c>
      <c r="Q1" s="7">
        <f>P1+7</f>
        <v/>
      </c>
      <c r="R1" s="7">
        <f>Q1+7</f>
        <v/>
      </c>
      <c r="S1" s="7">
        <f>R1+7</f>
        <v/>
      </c>
      <c r="T1" s="7">
        <f>S1+7</f>
        <v/>
      </c>
      <c r="U1" s="7">
        <f>T1+7</f>
        <v/>
      </c>
      <c r="V1" s="7">
        <f>U1+7</f>
        <v/>
      </c>
      <c r="W1" s="7">
        <f>V1+7</f>
        <v/>
      </c>
      <c r="X1" s="7">
        <f>W1+7</f>
        <v/>
      </c>
      <c r="Y1" s="7">
        <f>X1+7</f>
        <v/>
      </c>
      <c r="Z1" s="7">
        <f>Y1+7</f>
        <v/>
      </c>
      <c r="AA1" s="7">
        <f>Z1+7</f>
        <v/>
      </c>
      <c r="AB1" s="7">
        <f>AA1+7</f>
        <v/>
      </c>
      <c r="AC1" s="7">
        <f>AB1+7</f>
        <v/>
      </c>
      <c r="AD1" s="7">
        <f>AC1+7</f>
        <v/>
      </c>
      <c r="AE1" s="7">
        <f>AD1+7</f>
        <v/>
      </c>
      <c r="AF1" s="7">
        <f>AE1+7</f>
        <v/>
      </c>
      <c r="AG1" s="7">
        <f>AF1+7</f>
        <v/>
      </c>
      <c r="AH1" s="7">
        <f>AG1+7</f>
        <v/>
      </c>
      <c r="AI1" s="7">
        <f>AH1+7</f>
        <v/>
      </c>
      <c r="AJ1" s="7">
        <f>AI1+7</f>
        <v/>
      </c>
      <c r="AK1" s="7">
        <f>AJ1+7</f>
        <v/>
      </c>
      <c r="AL1" s="7">
        <f>AK1+7</f>
        <v/>
      </c>
      <c r="AM1" s="7">
        <f>AL1+7</f>
        <v/>
      </c>
      <c r="AN1" s="7">
        <f>AM1+7</f>
        <v/>
      </c>
      <c r="AO1" s="7">
        <f>AN1+7</f>
        <v/>
      </c>
      <c r="AP1" s="7">
        <f>AO1+7</f>
        <v/>
      </c>
      <c r="AQ1" s="7">
        <f>AP1+7</f>
        <v/>
      </c>
      <c r="AR1" s="7">
        <f>AQ1+7</f>
        <v/>
      </c>
      <c r="AS1" s="7">
        <f>AR1+7</f>
        <v/>
      </c>
      <c r="AT1" s="7">
        <f>AS1+7</f>
        <v/>
      </c>
      <c r="AU1" s="7">
        <f>AT1+7</f>
        <v/>
      </c>
      <c r="AV1" s="7">
        <f>AU1+7</f>
        <v/>
      </c>
      <c r="AW1" s="7">
        <f>AV1+7</f>
        <v/>
      </c>
      <c r="AX1" s="7">
        <f>AW1+7</f>
        <v/>
      </c>
      <c r="AY1" s="7">
        <f>AX1+7</f>
        <v/>
      </c>
      <c r="AZ1" s="7">
        <f>AY1+7</f>
        <v/>
      </c>
      <c r="BA1" s="7">
        <f>AZ1+7</f>
        <v/>
      </c>
      <c r="BB1" s="7">
        <f>BA1+7</f>
        <v/>
      </c>
      <c r="BC1" s="7">
        <f>BB1+7</f>
        <v/>
      </c>
      <c r="BD1" s="7">
        <f>BC1+7</f>
        <v/>
      </c>
      <c r="BE1" s="7">
        <f>BD1+7</f>
        <v/>
      </c>
      <c r="BF1" s="7">
        <f>BE1+7</f>
        <v/>
      </c>
      <c r="BG1" s="7">
        <f>BF1+7</f>
        <v/>
      </c>
      <c r="BH1" s="7">
        <f>BG1+7</f>
        <v/>
      </c>
      <c r="BI1" s="7">
        <f>BH1+7</f>
        <v/>
      </c>
      <c r="BJ1" s="7">
        <f>BI1+7</f>
        <v/>
      </c>
    </row>
    <row r="2">
      <c r="A2" s="8">
        <f>IFERROR(INDEX('Task Tracker'!A:A,ROW()),"")</f>
        <v/>
      </c>
      <c r="B2" s="8">
        <f>IFERROR(INDEX('Task Tracker'!B:B,ROW()),"")</f>
        <v/>
      </c>
      <c r="C2" s="8">
        <f>IFERROR(INDEX('Task Tracker'!C:C,ROW()),"")</f>
        <v/>
      </c>
      <c r="D2" s="8">
        <f>IFERROR(INDEX('Task Tracker'!D:D,ROW()),"")</f>
        <v/>
      </c>
      <c r="E2" s="8">
        <f>IFERROR(INDEX('Task Tracker'!E:E,ROW()),"")</f>
        <v/>
      </c>
      <c r="F2" s="8">
        <f>IFERROR(INDEX('Task Tracker'!F:F,ROW()),"")</f>
        <v/>
      </c>
      <c r="G2" s="8">
        <f>IFERROR(INDEX('Task Tracker'!G:G,ROW()),"")</f>
        <v/>
      </c>
      <c r="H2" s="8">
        <f>IFERROR(INDEX('Task Tracker'!H:H,ROW()),"")</f>
        <v/>
      </c>
      <c r="I2" s="8">
        <f>IFERROR(INDEX('Task Tracker'!I:I,ROW()),"")</f>
        <v/>
      </c>
      <c r="J2" s="8">
        <f>IFERROR(INDEX('Task Tracker'!J:J,ROW()),"")</f>
        <v/>
      </c>
    </row>
    <row r="3">
      <c r="A3" s="8">
        <f>IFERROR(INDEX('Task Tracker'!A:A,ROW()),"")</f>
        <v/>
      </c>
      <c r="B3" s="8">
        <f>IFERROR(INDEX('Task Tracker'!B:B,ROW()),"")</f>
        <v/>
      </c>
      <c r="C3" s="8">
        <f>IFERROR(INDEX('Task Tracker'!C:C,ROW()),"")</f>
        <v/>
      </c>
      <c r="D3" s="8">
        <f>IFERROR(INDEX('Task Tracker'!D:D,ROW()),"")</f>
        <v/>
      </c>
      <c r="E3" s="8">
        <f>IFERROR(INDEX('Task Tracker'!E:E,ROW()),"")</f>
        <v/>
      </c>
      <c r="F3" s="8">
        <f>IFERROR(INDEX('Task Tracker'!F:F,ROW()),"")</f>
        <v/>
      </c>
      <c r="G3" s="8">
        <f>IFERROR(INDEX('Task Tracker'!G:G,ROW()),"")</f>
        <v/>
      </c>
      <c r="H3" s="8">
        <f>IFERROR(INDEX('Task Tracker'!H:H,ROW()),"")</f>
        <v/>
      </c>
      <c r="I3" s="8">
        <f>IFERROR(INDEX('Task Tracker'!I:I,ROW()),"")</f>
        <v/>
      </c>
      <c r="J3" s="8">
        <f>IFERROR(INDEX('Task Tracker'!J:J,ROW()),"")</f>
        <v/>
      </c>
    </row>
    <row r="4">
      <c r="A4" s="8">
        <f>IFERROR(INDEX('Task Tracker'!A:A,ROW()),"")</f>
        <v/>
      </c>
      <c r="B4" s="8">
        <f>IFERROR(INDEX('Task Tracker'!B:B,ROW()),"")</f>
        <v/>
      </c>
      <c r="C4" s="8">
        <f>IFERROR(INDEX('Task Tracker'!C:C,ROW()),"")</f>
        <v/>
      </c>
      <c r="D4" s="8">
        <f>IFERROR(INDEX('Task Tracker'!D:D,ROW()),"")</f>
        <v/>
      </c>
      <c r="E4" s="8">
        <f>IFERROR(INDEX('Task Tracker'!E:E,ROW()),"")</f>
        <v/>
      </c>
      <c r="F4" s="8">
        <f>IFERROR(INDEX('Task Tracker'!F:F,ROW()),"")</f>
        <v/>
      </c>
      <c r="G4" s="8">
        <f>IFERROR(INDEX('Task Tracker'!G:G,ROW()),"")</f>
        <v/>
      </c>
      <c r="H4" s="8">
        <f>IFERROR(INDEX('Task Tracker'!H:H,ROW()),"")</f>
        <v/>
      </c>
      <c r="I4" s="8">
        <f>IFERROR(INDEX('Task Tracker'!I:I,ROW()),"")</f>
        <v/>
      </c>
      <c r="J4" s="8">
        <f>IFERROR(INDEX('Task Tracker'!J:J,ROW()),"")</f>
        <v/>
      </c>
    </row>
    <row r="5">
      <c r="A5" s="8">
        <f>IFERROR(INDEX('Task Tracker'!A:A,ROW()),"")</f>
        <v/>
      </c>
      <c r="B5" s="8">
        <f>IFERROR(INDEX('Task Tracker'!B:B,ROW()),"")</f>
        <v/>
      </c>
      <c r="C5" s="8">
        <f>IFERROR(INDEX('Task Tracker'!C:C,ROW()),"")</f>
        <v/>
      </c>
      <c r="D5" s="8">
        <f>IFERROR(INDEX('Task Tracker'!D:D,ROW()),"")</f>
        <v/>
      </c>
      <c r="E5" s="8">
        <f>IFERROR(INDEX('Task Tracker'!E:E,ROW()),"")</f>
        <v/>
      </c>
      <c r="F5" s="8">
        <f>IFERROR(INDEX('Task Tracker'!F:F,ROW()),"")</f>
        <v/>
      </c>
      <c r="G5" s="8">
        <f>IFERROR(INDEX('Task Tracker'!G:G,ROW()),"")</f>
        <v/>
      </c>
      <c r="H5" s="8">
        <f>IFERROR(INDEX('Task Tracker'!H:H,ROW()),"")</f>
        <v/>
      </c>
      <c r="I5" s="8">
        <f>IFERROR(INDEX('Task Tracker'!I:I,ROW()),"")</f>
        <v/>
      </c>
      <c r="J5" s="8">
        <f>IFERROR(INDEX('Task Tracker'!J:J,ROW()),"")</f>
        <v/>
      </c>
    </row>
    <row r="6">
      <c r="A6" s="8">
        <f>IFERROR(INDEX('Task Tracker'!A:A,ROW()),"")</f>
        <v/>
      </c>
      <c r="B6" s="8">
        <f>IFERROR(INDEX('Task Tracker'!B:B,ROW()),"")</f>
        <v/>
      </c>
      <c r="C6" s="8">
        <f>IFERROR(INDEX('Task Tracker'!C:C,ROW()),"")</f>
        <v/>
      </c>
      <c r="D6" s="8">
        <f>IFERROR(INDEX('Task Tracker'!D:D,ROW()),"")</f>
        <v/>
      </c>
      <c r="E6" s="8">
        <f>IFERROR(INDEX('Task Tracker'!E:E,ROW()),"")</f>
        <v/>
      </c>
      <c r="F6" s="8">
        <f>IFERROR(INDEX('Task Tracker'!F:F,ROW()),"")</f>
        <v/>
      </c>
      <c r="G6" s="8">
        <f>IFERROR(INDEX('Task Tracker'!G:G,ROW()),"")</f>
        <v/>
      </c>
      <c r="H6" s="8">
        <f>IFERROR(INDEX('Task Tracker'!H:H,ROW()),"")</f>
        <v/>
      </c>
      <c r="I6" s="8">
        <f>IFERROR(INDEX('Task Tracker'!I:I,ROW()),"")</f>
        <v/>
      </c>
      <c r="J6" s="8">
        <f>IFERROR(INDEX('Task Tracker'!J:J,ROW()),"")</f>
        <v/>
      </c>
    </row>
    <row r="7">
      <c r="A7" s="8">
        <f>IFERROR(INDEX('Task Tracker'!A:A,ROW()),"")</f>
        <v/>
      </c>
      <c r="B7" s="8">
        <f>IFERROR(INDEX('Task Tracker'!B:B,ROW()),"")</f>
        <v/>
      </c>
      <c r="C7" s="8">
        <f>IFERROR(INDEX('Task Tracker'!C:C,ROW()),"")</f>
        <v/>
      </c>
      <c r="D7" s="8">
        <f>IFERROR(INDEX('Task Tracker'!D:D,ROW()),"")</f>
        <v/>
      </c>
      <c r="E7" s="8">
        <f>IFERROR(INDEX('Task Tracker'!E:E,ROW()),"")</f>
        <v/>
      </c>
      <c r="F7" s="8">
        <f>IFERROR(INDEX('Task Tracker'!F:F,ROW()),"")</f>
        <v/>
      </c>
      <c r="G7" s="8">
        <f>IFERROR(INDEX('Task Tracker'!G:G,ROW()),"")</f>
        <v/>
      </c>
      <c r="H7" s="8">
        <f>IFERROR(INDEX('Task Tracker'!H:H,ROW()),"")</f>
        <v/>
      </c>
      <c r="I7" s="8">
        <f>IFERROR(INDEX('Task Tracker'!I:I,ROW()),"")</f>
        <v/>
      </c>
      <c r="J7" s="8">
        <f>IFERROR(INDEX('Task Tracker'!J:J,ROW()),"")</f>
        <v/>
      </c>
    </row>
    <row r="8">
      <c r="A8" s="8">
        <f>IFERROR(INDEX('Task Tracker'!A:A,ROW()),"")</f>
        <v/>
      </c>
      <c r="B8" s="8">
        <f>IFERROR(INDEX('Task Tracker'!B:B,ROW()),"")</f>
        <v/>
      </c>
      <c r="C8" s="8">
        <f>IFERROR(INDEX('Task Tracker'!C:C,ROW()),"")</f>
        <v/>
      </c>
      <c r="D8" s="8">
        <f>IFERROR(INDEX('Task Tracker'!D:D,ROW()),"")</f>
        <v/>
      </c>
      <c r="E8" s="8">
        <f>IFERROR(INDEX('Task Tracker'!E:E,ROW()),"")</f>
        <v/>
      </c>
      <c r="F8" s="8">
        <f>IFERROR(INDEX('Task Tracker'!F:F,ROW()),"")</f>
        <v/>
      </c>
      <c r="G8" s="8">
        <f>IFERROR(INDEX('Task Tracker'!G:G,ROW()),"")</f>
        <v/>
      </c>
      <c r="H8" s="8">
        <f>IFERROR(INDEX('Task Tracker'!H:H,ROW()),"")</f>
        <v/>
      </c>
      <c r="I8" s="8">
        <f>IFERROR(INDEX('Task Tracker'!I:I,ROW()),"")</f>
        <v/>
      </c>
      <c r="J8" s="8">
        <f>IFERROR(INDEX('Task Tracker'!J:J,ROW()),"")</f>
        <v/>
      </c>
    </row>
    <row r="9">
      <c r="A9" s="8">
        <f>IFERROR(INDEX('Task Tracker'!A:A,ROW()),"")</f>
        <v/>
      </c>
      <c r="B9" s="8">
        <f>IFERROR(INDEX('Task Tracker'!B:B,ROW()),"")</f>
        <v/>
      </c>
      <c r="C9" s="8">
        <f>IFERROR(INDEX('Task Tracker'!C:C,ROW()),"")</f>
        <v/>
      </c>
      <c r="D9" s="8">
        <f>IFERROR(INDEX('Task Tracker'!D:D,ROW()),"")</f>
        <v/>
      </c>
      <c r="E9" s="8">
        <f>IFERROR(INDEX('Task Tracker'!E:E,ROW()),"")</f>
        <v/>
      </c>
      <c r="F9" s="8">
        <f>IFERROR(INDEX('Task Tracker'!F:F,ROW()),"")</f>
        <v/>
      </c>
      <c r="G9" s="8">
        <f>IFERROR(INDEX('Task Tracker'!G:G,ROW()),"")</f>
        <v/>
      </c>
      <c r="H9" s="8">
        <f>IFERROR(INDEX('Task Tracker'!H:H,ROW()),"")</f>
        <v/>
      </c>
      <c r="I9" s="8">
        <f>IFERROR(INDEX('Task Tracker'!I:I,ROW()),"")</f>
        <v/>
      </c>
      <c r="J9" s="8">
        <f>IFERROR(INDEX('Task Tracker'!J:J,ROW()),"")</f>
        <v/>
      </c>
    </row>
    <row r="10">
      <c r="A10" s="8">
        <f>IFERROR(INDEX('Task Tracker'!A:A,ROW()),"")</f>
        <v/>
      </c>
      <c r="B10" s="8">
        <f>IFERROR(INDEX('Task Tracker'!B:B,ROW()),"")</f>
        <v/>
      </c>
      <c r="C10" s="8">
        <f>IFERROR(INDEX('Task Tracker'!C:C,ROW()),"")</f>
        <v/>
      </c>
      <c r="D10" s="8">
        <f>IFERROR(INDEX('Task Tracker'!D:D,ROW()),"")</f>
        <v/>
      </c>
      <c r="E10" s="8">
        <f>IFERROR(INDEX('Task Tracker'!E:E,ROW()),"")</f>
        <v/>
      </c>
      <c r="F10" s="8">
        <f>IFERROR(INDEX('Task Tracker'!F:F,ROW()),"")</f>
        <v/>
      </c>
      <c r="G10" s="8">
        <f>IFERROR(INDEX('Task Tracker'!G:G,ROW()),"")</f>
        <v/>
      </c>
      <c r="H10" s="8">
        <f>IFERROR(INDEX('Task Tracker'!H:H,ROW()),"")</f>
        <v/>
      </c>
      <c r="I10" s="8">
        <f>IFERROR(INDEX('Task Tracker'!I:I,ROW()),"")</f>
        <v/>
      </c>
      <c r="J10" s="8">
        <f>IFERROR(INDEX('Task Tracker'!J:J,ROW()),"")</f>
        <v/>
      </c>
    </row>
    <row r="11">
      <c r="A11" s="8">
        <f>IFERROR(INDEX('Task Tracker'!A:A,ROW()),"")</f>
        <v/>
      </c>
      <c r="B11" s="8">
        <f>IFERROR(INDEX('Task Tracker'!B:B,ROW()),"")</f>
        <v/>
      </c>
      <c r="C11" s="8">
        <f>IFERROR(INDEX('Task Tracker'!C:C,ROW()),"")</f>
        <v/>
      </c>
      <c r="D11" s="8">
        <f>IFERROR(INDEX('Task Tracker'!D:D,ROW()),"")</f>
        <v/>
      </c>
      <c r="E11" s="8">
        <f>IFERROR(INDEX('Task Tracker'!E:E,ROW()),"")</f>
        <v/>
      </c>
      <c r="F11" s="8">
        <f>IFERROR(INDEX('Task Tracker'!F:F,ROW()),"")</f>
        <v/>
      </c>
      <c r="G11" s="8">
        <f>IFERROR(INDEX('Task Tracker'!G:G,ROW()),"")</f>
        <v/>
      </c>
      <c r="H11" s="8">
        <f>IFERROR(INDEX('Task Tracker'!H:H,ROW()),"")</f>
        <v/>
      </c>
      <c r="I11" s="8">
        <f>IFERROR(INDEX('Task Tracker'!I:I,ROW()),"")</f>
        <v/>
      </c>
      <c r="J11" s="8">
        <f>IFERROR(INDEX('Task Tracker'!J:J,ROW()),"")</f>
        <v/>
      </c>
    </row>
    <row r="12">
      <c r="A12" s="8">
        <f>IFERROR(INDEX('Task Tracker'!A:A,ROW()),"")</f>
        <v/>
      </c>
      <c r="B12" s="8">
        <f>IFERROR(INDEX('Task Tracker'!B:B,ROW()),"")</f>
        <v/>
      </c>
      <c r="C12" s="8">
        <f>IFERROR(INDEX('Task Tracker'!C:C,ROW()),"")</f>
        <v/>
      </c>
      <c r="D12" s="8">
        <f>IFERROR(INDEX('Task Tracker'!D:D,ROW()),"")</f>
        <v/>
      </c>
      <c r="E12" s="8">
        <f>IFERROR(INDEX('Task Tracker'!E:E,ROW()),"")</f>
        <v/>
      </c>
      <c r="F12" s="8">
        <f>IFERROR(INDEX('Task Tracker'!F:F,ROW()),"")</f>
        <v/>
      </c>
      <c r="G12" s="8">
        <f>IFERROR(INDEX('Task Tracker'!G:G,ROW()),"")</f>
        <v/>
      </c>
      <c r="H12" s="8">
        <f>IFERROR(INDEX('Task Tracker'!H:H,ROW()),"")</f>
        <v/>
      </c>
      <c r="I12" s="8">
        <f>IFERROR(INDEX('Task Tracker'!I:I,ROW()),"")</f>
        <v/>
      </c>
      <c r="J12" s="8">
        <f>IFERROR(INDEX('Task Tracker'!J:J,ROW()),"")</f>
        <v/>
      </c>
    </row>
    <row r="13">
      <c r="A13" s="8">
        <f>IFERROR(INDEX('Task Tracker'!A:A,ROW()),"")</f>
        <v/>
      </c>
      <c r="B13" s="8">
        <f>IFERROR(INDEX('Task Tracker'!B:B,ROW()),"")</f>
        <v/>
      </c>
      <c r="C13" s="8">
        <f>IFERROR(INDEX('Task Tracker'!C:C,ROW()),"")</f>
        <v/>
      </c>
      <c r="D13" s="8">
        <f>IFERROR(INDEX('Task Tracker'!D:D,ROW()),"")</f>
        <v/>
      </c>
      <c r="E13" s="8">
        <f>IFERROR(INDEX('Task Tracker'!E:E,ROW()),"")</f>
        <v/>
      </c>
      <c r="F13" s="8">
        <f>IFERROR(INDEX('Task Tracker'!F:F,ROW()),"")</f>
        <v/>
      </c>
      <c r="G13" s="8">
        <f>IFERROR(INDEX('Task Tracker'!G:G,ROW()),"")</f>
        <v/>
      </c>
      <c r="H13" s="8">
        <f>IFERROR(INDEX('Task Tracker'!H:H,ROW()),"")</f>
        <v/>
      </c>
      <c r="I13" s="8">
        <f>IFERROR(INDEX('Task Tracker'!I:I,ROW()),"")</f>
        <v/>
      </c>
      <c r="J13" s="8">
        <f>IFERROR(INDEX('Task Tracker'!J:J,ROW()),"")</f>
        <v/>
      </c>
    </row>
    <row r="14">
      <c r="A14" s="8">
        <f>IFERROR(INDEX('Task Tracker'!A:A,ROW()),"")</f>
        <v/>
      </c>
      <c r="B14" s="8">
        <f>IFERROR(INDEX('Task Tracker'!B:B,ROW()),"")</f>
        <v/>
      </c>
      <c r="C14" s="8">
        <f>IFERROR(INDEX('Task Tracker'!C:C,ROW()),"")</f>
        <v/>
      </c>
      <c r="D14" s="8">
        <f>IFERROR(INDEX('Task Tracker'!D:D,ROW()),"")</f>
        <v/>
      </c>
      <c r="E14" s="8">
        <f>IFERROR(INDEX('Task Tracker'!E:E,ROW()),"")</f>
        <v/>
      </c>
      <c r="F14" s="8">
        <f>IFERROR(INDEX('Task Tracker'!F:F,ROW()),"")</f>
        <v/>
      </c>
      <c r="G14" s="8">
        <f>IFERROR(INDEX('Task Tracker'!G:G,ROW()),"")</f>
        <v/>
      </c>
      <c r="H14" s="8">
        <f>IFERROR(INDEX('Task Tracker'!H:H,ROW()),"")</f>
        <v/>
      </c>
      <c r="I14" s="8">
        <f>IFERROR(INDEX('Task Tracker'!I:I,ROW()),"")</f>
        <v/>
      </c>
      <c r="J14" s="8">
        <f>IFERROR(INDEX('Task Tracker'!J:J,ROW()),"")</f>
        <v/>
      </c>
    </row>
    <row r="15">
      <c r="A15" s="8">
        <f>IFERROR(INDEX('Task Tracker'!A:A,ROW()),"")</f>
        <v/>
      </c>
      <c r="B15" s="8">
        <f>IFERROR(INDEX('Task Tracker'!B:B,ROW()),"")</f>
        <v/>
      </c>
      <c r="C15" s="8">
        <f>IFERROR(INDEX('Task Tracker'!C:C,ROW()),"")</f>
        <v/>
      </c>
      <c r="D15" s="8">
        <f>IFERROR(INDEX('Task Tracker'!D:D,ROW()),"")</f>
        <v/>
      </c>
      <c r="E15" s="8">
        <f>IFERROR(INDEX('Task Tracker'!E:E,ROW()),"")</f>
        <v/>
      </c>
      <c r="F15" s="8">
        <f>IFERROR(INDEX('Task Tracker'!F:F,ROW()),"")</f>
        <v/>
      </c>
      <c r="G15" s="8">
        <f>IFERROR(INDEX('Task Tracker'!G:G,ROW()),"")</f>
        <v/>
      </c>
      <c r="H15" s="8">
        <f>IFERROR(INDEX('Task Tracker'!H:H,ROW()),"")</f>
        <v/>
      </c>
      <c r="I15" s="8">
        <f>IFERROR(INDEX('Task Tracker'!I:I,ROW()),"")</f>
        <v/>
      </c>
      <c r="J15" s="8">
        <f>IFERROR(INDEX('Task Tracker'!J:J,ROW()),"")</f>
        <v/>
      </c>
    </row>
    <row r="16">
      <c r="A16" s="8">
        <f>IFERROR(INDEX('Task Tracker'!A:A,ROW()),"")</f>
        <v/>
      </c>
      <c r="B16" s="8">
        <f>IFERROR(INDEX('Task Tracker'!B:B,ROW()),"")</f>
        <v/>
      </c>
      <c r="C16" s="8">
        <f>IFERROR(INDEX('Task Tracker'!C:C,ROW()),"")</f>
        <v/>
      </c>
      <c r="D16" s="8">
        <f>IFERROR(INDEX('Task Tracker'!D:D,ROW()),"")</f>
        <v/>
      </c>
      <c r="E16" s="8">
        <f>IFERROR(INDEX('Task Tracker'!E:E,ROW()),"")</f>
        <v/>
      </c>
      <c r="F16" s="8">
        <f>IFERROR(INDEX('Task Tracker'!F:F,ROW()),"")</f>
        <v/>
      </c>
      <c r="G16" s="8">
        <f>IFERROR(INDEX('Task Tracker'!G:G,ROW()),"")</f>
        <v/>
      </c>
      <c r="H16" s="8">
        <f>IFERROR(INDEX('Task Tracker'!H:H,ROW()),"")</f>
        <v/>
      </c>
      <c r="I16" s="8">
        <f>IFERROR(INDEX('Task Tracker'!I:I,ROW()),"")</f>
        <v/>
      </c>
      <c r="J16" s="8">
        <f>IFERROR(INDEX('Task Tracker'!J:J,ROW()),"")</f>
        <v/>
      </c>
    </row>
    <row r="17">
      <c r="A17" s="8">
        <f>IFERROR(INDEX('Task Tracker'!A:A,ROW()),"")</f>
        <v/>
      </c>
      <c r="B17" s="8">
        <f>IFERROR(INDEX('Task Tracker'!B:B,ROW()),"")</f>
        <v/>
      </c>
      <c r="C17" s="8">
        <f>IFERROR(INDEX('Task Tracker'!C:C,ROW()),"")</f>
        <v/>
      </c>
      <c r="D17" s="8">
        <f>IFERROR(INDEX('Task Tracker'!D:D,ROW()),"")</f>
        <v/>
      </c>
      <c r="E17" s="8">
        <f>IFERROR(INDEX('Task Tracker'!E:E,ROW()),"")</f>
        <v/>
      </c>
      <c r="F17" s="8">
        <f>IFERROR(INDEX('Task Tracker'!F:F,ROW()),"")</f>
        <v/>
      </c>
      <c r="G17" s="8">
        <f>IFERROR(INDEX('Task Tracker'!G:G,ROW()),"")</f>
        <v/>
      </c>
      <c r="H17" s="8">
        <f>IFERROR(INDEX('Task Tracker'!H:H,ROW()),"")</f>
        <v/>
      </c>
      <c r="I17" s="8">
        <f>IFERROR(INDEX('Task Tracker'!I:I,ROW()),"")</f>
        <v/>
      </c>
      <c r="J17" s="8">
        <f>IFERROR(INDEX('Task Tracker'!J:J,ROW()),"")</f>
        <v/>
      </c>
    </row>
    <row r="18">
      <c r="A18" s="8">
        <f>IFERROR(INDEX('Task Tracker'!A:A,ROW()),"")</f>
        <v/>
      </c>
      <c r="B18" s="8">
        <f>IFERROR(INDEX('Task Tracker'!B:B,ROW()),"")</f>
        <v/>
      </c>
      <c r="C18" s="8">
        <f>IFERROR(INDEX('Task Tracker'!C:C,ROW()),"")</f>
        <v/>
      </c>
      <c r="D18" s="8">
        <f>IFERROR(INDEX('Task Tracker'!D:D,ROW()),"")</f>
        <v/>
      </c>
      <c r="E18" s="8">
        <f>IFERROR(INDEX('Task Tracker'!E:E,ROW()),"")</f>
        <v/>
      </c>
      <c r="F18" s="8">
        <f>IFERROR(INDEX('Task Tracker'!F:F,ROW()),"")</f>
        <v/>
      </c>
      <c r="G18" s="8">
        <f>IFERROR(INDEX('Task Tracker'!G:G,ROW()),"")</f>
        <v/>
      </c>
      <c r="H18" s="8">
        <f>IFERROR(INDEX('Task Tracker'!H:H,ROW()),"")</f>
        <v/>
      </c>
      <c r="I18" s="8">
        <f>IFERROR(INDEX('Task Tracker'!I:I,ROW()),"")</f>
        <v/>
      </c>
      <c r="J18" s="8">
        <f>IFERROR(INDEX('Task Tracker'!J:J,ROW()),"")</f>
        <v/>
      </c>
    </row>
    <row r="19">
      <c r="A19" s="8">
        <f>IFERROR(INDEX('Task Tracker'!A:A,ROW()),"")</f>
        <v/>
      </c>
      <c r="B19" s="8">
        <f>IFERROR(INDEX('Task Tracker'!B:B,ROW()),"")</f>
        <v/>
      </c>
      <c r="C19" s="8">
        <f>IFERROR(INDEX('Task Tracker'!C:C,ROW()),"")</f>
        <v/>
      </c>
      <c r="D19" s="8">
        <f>IFERROR(INDEX('Task Tracker'!D:D,ROW()),"")</f>
        <v/>
      </c>
      <c r="E19" s="8">
        <f>IFERROR(INDEX('Task Tracker'!E:E,ROW()),"")</f>
        <v/>
      </c>
      <c r="F19" s="8">
        <f>IFERROR(INDEX('Task Tracker'!F:F,ROW()),"")</f>
        <v/>
      </c>
      <c r="G19" s="8">
        <f>IFERROR(INDEX('Task Tracker'!G:G,ROW()),"")</f>
        <v/>
      </c>
      <c r="H19" s="8">
        <f>IFERROR(INDEX('Task Tracker'!H:H,ROW()),"")</f>
        <v/>
      </c>
      <c r="I19" s="8">
        <f>IFERROR(INDEX('Task Tracker'!I:I,ROW()),"")</f>
        <v/>
      </c>
      <c r="J19" s="8">
        <f>IFERROR(INDEX('Task Tracker'!J:J,ROW()),"")</f>
        <v/>
      </c>
    </row>
    <row r="20">
      <c r="A20" s="8">
        <f>IFERROR(INDEX('Task Tracker'!A:A,ROW()),"")</f>
        <v/>
      </c>
      <c r="B20" s="8">
        <f>IFERROR(INDEX('Task Tracker'!B:B,ROW()),"")</f>
        <v/>
      </c>
      <c r="C20" s="8">
        <f>IFERROR(INDEX('Task Tracker'!C:C,ROW()),"")</f>
        <v/>
      </c>
      <c r="D20" s="8">
        <f>IFERROR(INDEX('Task Tracker'!D:D,ROW()),"")</f>
        <v/>
      </c>
      <c r="E20" s="8">
        <f>IFERROR(INDEX('Task Tracker'!E:E,ROW()),"")</f>
        <v/>
      </c>
      <c r="F20" s="8">
        <f>IFERROR(INDEX('Task Tracker'!F:F,ROW()),"")</f>
        <v/>
      </c>
      <c r="G20" s="8">
        <f>IFERROR(INDEX('Task Tracker'!G:G,ROW()),"")</f>
        <v/>
      </c>
      <c r="H20" s="8">
        <f>IFERROR(INDEX('Task Tracker'!H:H,ROW()),"")</f>
        <v/>
      </c>
      <c r="I20" s="8">
        <f>IFERROR(INDEX('Task Tracker'!I:I,ROW()),"")</f>
        <v/>
      </c>
      <c r="J20" s="8">
        <f>IFERROR(INDEX('Task Tracker'!J:J,ROW()),"")</f>
        <v/>
      </c>
    </row>
    <row r="21">
      <c r="A21" s="8">
        <f>IFERROR(INDEX('Task Tracker'!A:A,ROW()),"")</f>
        <v/>
      </c>
      <c r="B21" s="8">
        <f>IFERROR(INDEX('Task Tracker'!B:B,ROW()),"")</f>
        <v/>
      </c>
      <c r="C21" s="8">
        <f>IFERROR(INDEX('Task Tracker'!C:C,ROW()),"")</f>
        <v/>
      </c>
      <c r="D21" s="8">
        <f>IFERROR(INDEX('Task Tracker'!D:D,ROW()),"")</f>
        <v/>
      </c>
      <c r="E21" s="8">
        <f>IFERROR(INDEX('Task Tracker'!E:E,ROW()),"")</f>
        <v/>
      </c>
      <c r="F21" s="8">
        <f>IFERROR(INDEX('Task Tracker'!F:F,ROW()),"")</f>
        <v/>
      </c>
      <c r="G21" s="8">
        <f>IFERROR(INDEX('Task Tracker'!G:G,ROW()),"")</f>
        <v/>
      </c>
      <c r="H21" s="8">
        <f>IFERROR(INDEX('Task Tracker'!H:H,ROW()),"")</f>
        <v/>
      </c>
      <c r="I21" s="8">
        <f>IFERROR(INDEX('Task Tracker'!I:I,ROW()),"")</f>
        <v/>
      </c>
      <c r="J21" s="8">
        <f>IFERROR(INDEX('Task Tracker'!J:J,ROW()),"")</f>
        <v/>
      </c>
    </row>
    <row r="22">
      <c r="A22" s="8">
        <f>IFERROR(INDEX('Task Tracker'!A:A,ROW()),"")</f>
        <v/>
      </c>
      <c r="B22" s="8">
        <f>IFERROR(INDEX('Task Tracker'!B:B,ROW()),"")</f>
        <v/>
      </c>
      <c r="C22" s="8">
        <f>IFERROR(INDEX('Task Tracker'!C:C,ROW()),"")</f>
        <v/>
      </c>
      <c r="D22" s="8">
        <f>IFERROR(INDEX('Task Tracker'!D:D,ROW()),"")</f>
        <v/>
      </c>
      <c r="E22" s="8">
        <f>IFERROR(INDEX('Task Tracker'!E:E,ROW()),"")</f>
        <v/>
      </c>
      <c r="F22" s="8">
        <f>IFERROR(INDEX('Task Tracker'!F:F,ROW()),"")</f>
        <v/>
      </c>
      <c r="G22" s="8">
        <f>IFERROR(INDEX('Task Tracker'!G:G,ROW()),"")</f>
        <v/>
      </c>
      <c r="H22" s="8">
        <f>IFERROR(INDEX('Task Tracker'!H:H,ROW()),"")</f>
        <v/>
      </c>
      <c r="I22" s="8">
        <f>IFERROR(INDEX('Task Tracker'!I:I,ROW()),"")</f>
        <v/>
      </c>
      <c r="J22" s="8">
        <f>IFERROR(INDEX('Task Tracker'!J:J,ROW()),"")</f>
        <v/>
      </c>
    </row>
    <row r="23">
      <c r="A23" s="8">
        <f>IFERROR(INDEX('Task Tracker'!A:A,ROW()),"")</f>
        <v/>
      </c>
      <c r="B23" s="8">
        <f>IFERROR(INDEX('Task Tracker'!B:B,ROW()),"")</f>
        <v/>
      </c>
      <c r="C23" s="8">
        <f>IFERROR(INDEX('Task Tracker'!C:C,ROW()),"")</f>
        <v/>
      </c>
      <c r="D23" s="8">
        <f>IFERROR(INDEX('Task Tracker'!D:D,ROW()),"")</f>
        <v/>
      </c>
      <c r="E23" s="8">
        <f>IFERROR(INDEX('Task Tracker'!E:E,ROW()),"")</f>
        <v/>
      </c>
      <c r="F23" s="8">
        <f>IFERROR(INDEX('Task Tracker'!F:F,ROW()),"")</f>
        <v/>
      </c>
      <c r="G23" s="8">
        <f>IFERROR(INDEX('Task Tracker'!G:G,ROW()),"")</f>
        <v/>
      </c>
      <c r="H23" s="8">
        <f>IFERROR(INDEX('Task Tracker'!H:H,ROW()),"")</f>
        <v/>
      </c>
      <c r="I23" s="8">
        <f>IFERROR(INDEX('Task Tracker'!I:I,ROW()),"")</f>
        <v/>
      </c>
      <c r="J23" s="8">
        <f>IFERROR(INDEX('Task Tracker'!J:J,ROW()),"")</f>
        <v/>
      </c>
    </row>
    <row r="24">
      <c r="A24" s="8">
        <f>IFERROR(INDEX('Task Tracker'!A:A,ROW()),"")</f>
        <v/>
      </c>
      <c r="B24" s="8">
        <f>IFERROR(INDEX('Task Tracker'!B:B,ROW()),"")</f>
        <v/>
      </c>
      <c r="C24" s="8">
        <f>IFERROR(INDEX('Task Tracker'!C:C,ROW()),"")</f>
        <v/>
      </c>
      <c r="D24" s="8">
        <f>IFERROR(INDEX('Task Tracker'!D:D,ROW()),"")</f>
        <v/>
      </c>
      <c r="E24" s="8">
        <f>IFERROR(INDEX('Task Tracker'!E:E,ROW()),"")</f>
        <v/>
      </c>
      <c r="F24" s="8">
        <f>IFERROR(INDEX('Task Tracker'!F:F,ROW()),"")</f>
        <v/>
      </c>
      <c r="G24" s="8">
        <f>IFERROR(INDEX('Task Tracker'!G:G,ROW()),"")</f>
        <v/>
      </c>
      <c r="H24" s="8">
        <f>IFERROR(INDEX('Task Tracker'!H:H,ROW()),"")</f>
        <v/>
      </c>
      <c r="I24" s="8">
        <f>IFERROR(INDEX('Task Tracker'!I:I,ROW()),"")</f>
        <v/>
      </c>
      <c r="J24" s="8">
        <f>IFERROR(INDEX('Task Tracker'!J:J,ROW()),"")</f>
        <v/>
      </c>
    </row>
    <row r="25">
      <c r="A25" s="8">
        <f>IFERROR(INDEX('Task Tracker'!A:A,ROW()),"")</f>
        <v/>
      </c>
      <c r="B25" s="8">
        <f>IFERROR(INDEX('Task Tracker'!B:B,ROW()),"")</f>
        <v/>
      </c>
      <c r="C25" s="8">
        <f>IFERROR(INDEX('Task Tracker'!C:C,ROW()),"")</f>
        <v/>
      </c>
      <c r="D25" s="8">
        <f>IFERROR(INDEX('Task Tracker'!D:D,ROW()),"")</f>
        <v/>
      </c>
      <c r="E25" s="8">
        <f>IFERROR(INDEX('Task Tracker'!E:E,ROW()),"")</f>
        <v/>
      </c>
      <c r="F25" s="8">
        <f>IFERROR(INDEX('Task Tracker'!F:F,ROW()),"")</f>
        <v/>
      </c>
      <c r="G25" s="8">
        <f>IFERROR(INDEX('Task Tracker'!G:G,ROW()),"")</f>
        <v/>
      </c>
      <c r="H25" s="8">
        <f>IFERROR(INDEX('Task Tracker'!H:H,ROW()),"")</f>
        <v/>
      </c>
      <c r="I25" s="8">
        <f>IFERROR(INDEX('Task Tracker'!I:I,ROW()),"")</f>
        <v/>
      </c>
      <c r="J25" s="8">
        <f>IFERROR(INDEX('Task Tracker'!J:J,ROW()),"")</f>
        <v/>
      </c>
    </row>
    <row r="26">
      <c r="A26" s="8">
        <f>IFERROR(INDEX('Task Tracker'!A:A,ROW()),"")</f>
        <v/>
      </c>
      <c r="B26" s="8">
        <f>IFERROR(INDEX('Task Tracker'!B:B,ROW()),"")</f>
        <v/>
      </c>
      <c r="C26" s="8">
        <f>IFERROR(INDEX('Task Tracker'!C:C,ROW()),"")</f>
        <v/>
      </c>
      <c r="D26" s="8">
        <f>IFERROR(INDEX('Task Tracker'!D:D,ROW()),"")</f>
        <v/>
      </c>
      <c r="E26" s="8">
        <f>IFERROR(INDEX('Task Tracker'!E:E,ROW()),"")</f>
        <v/>
      </c>
      <c r="F26" s="8">
        <f>IFERROR(INDEX('Task Tracker'!F:F,ROW()),"")</f>
        <v/>
      </c>
      <c r="G26" s="8">
        <f>IFERROR(INDEX('Task Tracker'!G:G,ROW()),"")</f>
        <v/>
      </c>
      <c r="H26" s="8">
        <f>IFERROR(INDEX('Task Tracker'!H:H,ROW()),"")</f>
        <v/>
      </c>
      <c r="I26" s="8">
        <f>IFERROR(INDEX('Task Tracker'!I:I,ROW()),"")</f>
        <v/>
      </c>
      <c r="J26" s="8">
        <f>IFERROR(INDEX('Task Tracker'!J:J,ROW()),"")</f>
        <v/>
      </c>
    </row>
    <row r="27">
      <c r="A27" s="8">
        <f>IFERROR(INDEX('Task Tracker'!A:A,ROW()),"")</f>
        <v/>
      </c>
      <c r="B27" s="8">
        <f>IFERROR(INDEX('Task Tracker'!B:B,ROW()),"")</f>
        <v/>
      </c>
      <c r="C27" s="8">
        <f>IFERROR(INDEX('Task Tracker'!C:C,ROW()),"")</f>
        <v/>
      </c>
      <c r="D27" s="8">
        <f>IFERROR(INDEX('Task Tracker'!D:D,ROW()),"")</f>
        <v/>
      </c>
      <c r="E27" s="8">
        <f>IFERROR(INDEX('Task Tracker'!E:E,ROW()),"")</f>
        <v/>
      </c>
      <c r="F27" s="8">
        <f>IFERROR(INDEX('Task Tracker'!F:F,ROW()),"")</f>
        <v/>
      </c>
      <c r="G27" s="8">
        <f>IFERROR(INDEX('Task Tracker'!G:G,ROW()),"")</f>
        <v/>
      </c>
      <c r="H27" s="8">
        <f>IFERROR(INDEX('Task Tracker'!H:H,ROW()),"")</f>
        <v/>
      </c>
      <c r="I27" s="8">
        <f>IFERROR(INDEX('Task Tracker'!I:I,ROW()),"")</f>
        <v/>
      </c>
      <c r="J27" s="8">
        <f>IFERROR(INDEX('Task Tracker'!J:J,ROW()),"")</f>
        <v/>
      </c>
    </row>
    <row r="28">
      <c r="A28" s="8">
        <f>IFERROR(INDEX('Task Tracker'!A:A,ROW()),"")</f>
        <v/>
      </c>
      <c r="B28" s="8">
        <f>IFERROR(INDEX('Task Tracker'!B:B,ROW()),"")</f>
        <v/>
      </c>
      <c r="C28" s="8">
        <f>IFERROR(INDEX('Task Tracker'!C:C,ROW()),"")</f>
        <v/>
      </c>
      <c r="D28" s="8">
        <f>IFERROR(INDEX('Task Tracker'!D:D,ROW()),"")</f>
        <v/>
      </c>
      <c r="E28" s="8">
        <f>IFERROR(INDEX('Task Tracker'!E:E,ROW()),"")</f>
        <v/>
      </c>
      <c r="F28" s="8">
        <f>IFERROR(INDEX('Task Tracker'!F:F,ROW()),"")</f>
        <v/>
      </c>
      <c r="G28" s="8">
        <f>IFERROR(INDEX('Task Tracker'!G:G,ROW()),"")</f>
        <v/>
      </c>
      <c r="H28" s="8">
        <f>IFERROR(INDEX('Task Tracker'!H:H,ROW()),"")</f>
        <v/>
      </c>
      <c r="I28" s="8">
        <f>IFERROR(INDEX('Task Tracker'!I:I,ROW()),"")</f>
        <v/>
      </c>
      <c r="J28" s="8">
        <f>IFERROR(INDEX('Task Tracker'!J:J,ROW()),"")</f>
        <v/>
      </c>
    </row>
    <row r="29">
      <c r="A29" s="8">
        <f>IFERROR(INDEX('Task Tracker'!A:A,ROW()),"")</f>
        <v/>
      </c>
      <c r="B29" s="8">
        <f>IFERROR(INDEX('Task Tracker'!B:B,ROW()),"")</f>
        <v/>
      </c>
      <c r="C29" s="8">
        <f>IFERROR(INDEX('Task Tracker'!C:C,ROW()),"")</f>
        <v/>
      </c>
      <c r="D29" s="8">
        <f>IFERROR(INDEX('Task Tracker'!D:D,ROW()),"")</f>
        <v/>
      </c>
      <c r="E29" s="8">
        <f>IFERROR(INDEX('Task Tracker'!E:E,ROW()),"")</f>
        <v/>
      </c>
      <c r="F29" s="8">
        <f>IFERROR(INDEX('Task Tracker'!F:F,ROW()),"")</f>
        <v/>
      </c>
      <c r="G29" s="8">
        <f>IFERROR(INDEX('Task Tracker'!G:G,ROW()),"")</f>
        <v/>
      </c>
      <c r="H29" s="8">
        <f>IFERROR(INDEX('Task Tracker'!H:H,ROW()),"")</f>
        <v/>
      </c>
      <c r="I29" s="8">
        <f>IFERROR(INDEX('Task Tracker'!I:I,ROW()),"")</f>
        <v/>
      </c>
      <c r="J29" s="8">
        <f>IFERROR(INDEX('Task Tracker'!J:J,ROW()),"")</f>
        <v/>
      </c>
    </row>
    <row r="30">
      <c r="A30" s="8">
        <f>IFERROR(INDEX('Task Tracker'!A:A,ROW()),"")</f>
        <v/>
      </c>
      <c r="B30" s="8">
        <f>IFERROR(INDEX('Task Tracker'!B:B,ROW()),"")</f>
        <v/>
      </c>
      <c r="C30" s="8">
        <f>IFERROR(INDEX('Task Tracker'!C:C,ROW()),"")</f>
        <v/>
      </c>
      <c r="D30" s="8">
        <f>IFERROR(INDEX('Task Tracker'!D:D,ROW()),"")</f>
        <v/>
      </c>
      <c r="E30" s="8">
        <f>IFERROR(INDEX('Task Tracker'!E:E,ROW()),"")</f>
        <v/>
      </c>
      <c r="F30" s="8">
        <f>IFERROR(INDEX('Task Tracker'!F:F,ROW()),"")</f>
        <v/>
      </c>
      <c r="G30" s="8">
        <f>IFERROR(INDEX('Task Tracker'!G:G,ROW()),"")</f>
        <v/>
      </c>
      <c r="H30" s="8">
        <f>IFERROR(INDEX('Task Tracker'!H:H,ROW()),"")</f>
        <v/>
      </c>
      <c r="I30" s="8">
        <f>IFERROR(INDEX('Task Tracker'!I:I,ROW()),"")</f>
        <v/>
      </c>
      <c r="J30" s="8">
        <f>IFERROR(INDEX('Task Tracker'!J:J,ROW()),"")</f>
        <v/>
      </c>
    </row>
    <row r="31">
      <c r="A31" s="8">
        <f>IFERROR(INDEX('Task Tracker'!A:A,ROW()),"")</f>
        <v/>
      </c>
      <c r="B31" s="8">
        <f>IFERROR(INDEX('Task Tracker'!B:B,ROW()),"")</f>
        <v/>
      </c>
      <c r="C31" s="8">
        <f>IFERROR(INDEX('Task Tracker'!C:C,ROW()),"")</f>
        <v/>
      </c>
      <c r="D31" s="8">
        <f>IFERROR(INDEX('Task Tracker'!D:D,ROW()),"")</f>
        <v/>
      </c>
      <c r="E31" s="8">
        <f>IFERROR(INDEX('Task Tracker'!E:E,ROW()),"")</f>
        <v/>
      </c>
      <c r="F31" s="8">
        <f>IFERROR(INDEX('Task Tracker'!F:F,ROW()),"")</f>
        <v/>
      </c>
      <c r="G31" s="8">
        <f>IFERROR(INDEX('Task Tracker'!G:G,ROW()),"")</f>
        <v/>
      </c>
      <c r="H31" s="8">
        <f>IFERROR(INDEX('Task Tracker'!H:H,ROW()),"")</f>
        <v/>
      </c>
      <c r="I31" s="8">
        <f>IFERROR(INDEX('Task Tracker'!I:I,ROW()),"")</f>
        <v/>
      </c>
      <c r="J31" s="8">
        <f>IFERROR(INDEX('Task Tracker'!J:J,ROW()),"")</f>
        <v/>
      </c>
    </row>
    <row r="32">
      <c r="A32" s="8">
        <f>IFERROR(INDEX('Task Tracker'!A:A,ROW()),"")</f>
        <v/>
      </c>
      <c r="B32" s="8">
        <f>IFERROR(INDEX('Task Tracker'!B:B,ROW()),"")</f>
        <v/>
      </c>
      <c r="C32" s="8">
        <f>IFERROR(INDEX('Task Tracker'!C:C,ROW()),"")</f>
        <v/>
      </c>
      <c r="D32" s="8">
        <f>IFERROR(INDEX('Task Tracker'!D:D,ROW()),"")</f>
        <v/>
      </c>
      <c r="E32" s="8">
        <f>IFERROR(INDEX('Task Tracker'!E:E,ROW()),"")</f>
        <v/>
      </c>
      <c r="F32" s="8">
        <f>IFERROR(INDEX('Task Tracker'!F:F,ROW()),"")</f>
        <v/>
      </c>
      <c r="G32" s="8">
        <f>IFERROR(INDEX('Task Tracker'!G:G,ROW()),"")</f>
        <v/>
      </c>
      <c r="H32" s="8">
        <f>IFERROR(INDEX('Task Tracker'!H:H,ROW()),"")</f>
        <v/>
      </c>
      <c r="I32" s="8">
        <f>IFERROR(INDEX('Task Tracker'!I:I,ROW()),"")</f>
        <v/>
      </c>
      <c r="J32" s="8">
        <f>IFERROR(INDEX('Task Tracker'!J:J,ROW()),"")</f>
        <v/>
      </c>
    </row>
    <row r="33">
      <c r="A33" s="8">
        <f>IFERROR(INDEX('Task Tracker'!A:A,ROW()),"")</f>
        <v/>
      </c>
      <c r="B33" s="8">
        <f>IFERROR(INDEX('Task Tracker'!B:B,ROW()),"")</f>
        <v/>
      </c>
      <c r="C33" s="8">
        <f>IFERROR(INDEX('Task Tracker'!C:C,ROW()),"")</f>
        <v/>
      </c>
      <c r="D33" s="8">
        <f>IFERROR(INDEX('Task Tracker'!D:D,ROW()),"")</f>
        <v/>
      </c>
      <c r="E33" s="8">
        <f>IFERROR(INDEX('Task Tracker'!E:E,ROW()),"")</f>
        <v/>
      </c>
      <c r="F33" s="8">
        <f>IFERROR(INDEX('Task Tracker'!F:F,ROW()),"")</f>
        <v/>
      </c>
      <c r="G33" s="8">
        <f>IFERROR(INDEX('Task Tracker'!G:G,ROW()),"")</f>
        <v/>
      </c>
      <c r="H33" s="8">
        <f>IFERROR(INDEX('Task Tracker'!H:H,ROW()),"")</f>
        <v/>
      </c>
      <c r="I33" s="8">
        <f>IFERROR(INDEX('Task Tracker'!I:I,ROW()),"")</f>
        <v/>
      </c>
      <c r="J33" s="8">
        <f>IFERROR(INDEX('Task Tracker'!J:J,ROW()),"")</f>
        <v/>
      </c>
    </row>
    <row r="34">
      <c r="A34" s="8">
        <f>IFERROR(INDEX('Task Tracker'!A:A,ROW()),"")</f>
        <v/>
      </c>
      <c r="B34" s="8">
        <f>IFERROR(INDEX('Task Tracker'!B:B,ROW()),"")</f>
        <v/>
      </c>
      <c r="C34" s="8">
        <f>IFERROR(INDEX('Task Tracker'!C:C,ROW()),"")</f>
        <v/>
      </c>
      <c r="D34" s="8">
        <f>IFERROR(INDEX('Task Tracker'!D:D,ROW()),"")</f>
        <v/>
      </c>
      <c r="E34" s="8">
        <f>IFERROR(INDEX('Task Tracker'!E:E,ROW()),"")</f>
        <v/>
      </c>
      <c r="F34" s="8">
        <f>IFERROR(INDEX('Task Tracker'!F:F,ROW()),"")</f>
        <v/>
      </c>
      <c r="G34" s="8">
        <f>IFERROR(INDEX('Task Tracker'!G:G,ROW()),"")</f>
        <v/>
      </c>
      <c r="H34" s="8">
        <f>IFERROR(INDEX('Task Tracker'!H:H,ROW()),"")</f>
        <v/>
      </c>
      <c r="I34" s="8">
        <f>IFERROR(INDEX('Task Tracker'!I:I,ROW()),"")</f>
        <v/>
      </c>
      <c r="J34" s="8">
        <f>IFERROR(INDEX('Task Tracker'!J:J,ROW()),"")</f>
        <v/>
      </c>
    </row>
    <row r="35">
      <c r="A35" s="8">
        <f>IFERROR(INDEX('Task Tracker'!A:A,ROW()),"")</f>
        <v/>
      </c>
      <c r="B35" s="8">
        <f>IFERROR(INDEX('Task Tracker'!B:B,ROW()),"")</f>
        <v/>
      </c>
      <c r="C35" s="8">
        <f>IFERROR(INDEX('Task Tracker'!C:C,ROW()),"")</f>
        <v/>
      </c>
      <c r="D35" s="8">
        <f>IFERROR(INDEX('Task Tracker'!D:D,ROW()),"")</f>
        <v/>
      </c>
      <c r="E35" s="8">
        <f>IFERROR(INDEX('Task Tracker'!E:E,ROW()),"")</f>
        <v/>
      </c>
      <c r="F35" s="8">
        <f>IFERROR(INDEX('Task Tracker'!F:F,ROW()),"")</f>
        <v/>
      </c>
      <c r="G35" s="8">
        <f>IFERROR(INDEX('Task Tracker'!G:G,ROW()),"")</f>
        <v/>
      </c>
      <c r="H35" s="8">
        <f>IFERROR(INDEX('Task Tracker'!H:H,ROW()),"")</f>
        <v/>
      </c>
      <c r="I35" s="8">
        <f>IFERROR(INDEX('Task Tracker'!I:I,ROW()),"")</f>
        <v/>
      </c>
      <c r="J35" s="8">
        <f>IFERROR(INDEX('Task Tracker'!J:J,ROW()),"")</f>
        <v/>
      </c>
    </row>
    <row r="36">
      <c r="A36" s="8">
        <f>IFERROR(INDEX('Task Tracker'!A:A,ROW()),"")</f>
        <v/>
      </c>
      <c r="B36" s="8">
        <f>IFERROR(INDEX('Task Tracker'!B:B,ROW()),"")</f>
        <v/>
      </c>
      <c r="C36" s="8">
        <f>IFERROR(INDEX('Task Tracker'!C:C,ROW()),"")</f>
        <v/>
      </c>
      <c r="D36" s="8">
        <f>IFERROR(INDEX('Task Tracker'!D:D,ROW()),"")</f>
        <v/>
      </c>
      <c r="E36" s="8">
        <f>IFERROR(INDEX('Task Tracker'!E:E,ROW()),"")</f>
        <v/>
      </c>
      <c r="F36" s="8">
        <f>IFERROR(INDEX('Task Tracker'!F:F,ROW()),"")</f>
        <v/>
      </c>
      <c r="G36" s="8">
        <f>IFERROR(INDEX('Task Tracker'!G:G,ROW()),"")</f>
        <v/>
      </c>
      <c r="H36" s="8">
        <f>IFERROR(INDEX('Task Tracker'!H:H,ROW()),"")</f>
        <v/>
      </c>
      <c r="I36" s="8">
        <f>IFERROR(INDEX('Task Tracker'!I:I,ROW()),"")</f>
        <v/>
      </c>
      <c r="J36" s="8">
        <f>IFERROR(INDEX('Task Tracker'!J:J,ROW()),"")</f>
        <v/>
      </c>
    </row>
    <row r="37">
      <c r="A37" s="8">
        <f>IFERROR(INDEX('Task Tracker'!A:A,ROW()),"")</f>
        <v/>
      </c>
      <c r="B37" s="8">
        <f>IFERROR(INDEX('Task Tracker'!B:B,ROW()),"")</f>
        <v/>
      </c>
      <c r="C37" s="8">
        <f>IFERROR(INDEX('Task Tracker'!C:C,ROW()),"")</f>
        <v/>
      </c>
      <c r="D37" s="8">
        <f>IFERROR(INDEX('Task Tracker'!D:D,ROW()),"")</f>
        <v/>
      </c>
      <c r="E37" s="8">
        <f>IFERROR(INDEX('Task Tracker'!E:E,ROW()),"")</f>
        <v/>
      </c>
      <c r="F37" s="8">
        <f>IFERROR(INDEX('Task Tracker'!F:F,ROW()),"")</f>
        <v/>
      </c>
      <c r="G37" s="8">
        <f>IFERROR(INDEX('Task Tracker'!G:G,ROW()),"")</f>
        <v/>
      </c>
      <c r="H37" s="8">
        <f>IFERROR(INDEX('Task Tracker'!H:H,ROW()),"")</f>
        <v/>
      </c>
      <c r="I37" s="8">
        <f>IFERROR(INDEX('Task Tracker'!I:I,ROW()),"")</f>
        <v/>
      </c>
      <c r="J37" s="8">
        <f>IFERROR(INDEX('Task Tracker'!J:J,ROW()),"")</f>
        <v/>
      </c>
    </row>
    <row r="38">
      <c r="A38" s="8">
        <f>IFERROR(INDEX('Task Tracker'!A:A,ROW()),"")</f>
        <v/>
      </c>
      <c r="B38" s="8">
        <f>IFERROR(INDEX('Task Tracker'!B:B,ROW()),"")</f>
        <v/>
      </c>
      <c r="C38" s="8">
        <f>IFERROR(INDEX('Task Tracker'!C:C,ROW()),"")</f>
        <v/>
      </c>
      <c r="D38" s="8">
        <f>IFERROR(INDEX('Task Tracker'!D:D,ROW()),"")</f>
        <v/>
      </c>
      <c r="E38" s="8">
        <f>IFERROR(INDEX('Task Tracker'!E:E,ROW()),"")</f>
        <v/>
      </c>
      <c r="F38" s="8">
        <f>IFERROR(INDEX('Task Tracker'!F:F,ROW()),"")</f>
        <v/>
      </c>
      <c r="G38" s="8">
        <f>IFERROR(INDEX('Task Tracker'!G:G,ROW()),"")</f>
        <v/>
      </c>
      <c r="H38" s="8">
        <f>IFERROR(INDEX('Task Tracker'!H:H,ROW()),"")</f>
        <v/>
      </c>
      <c r="I38" s="8">
        <f>IFERROR(INDEX('Task Tracker'!I:I,ROW()),"")</f>
        <v/>
      </c>
      <c r="J38" s="8">
        <f>IFERROR(INDEX('Task Tracker'!J:J,ROW()),"")</f>
        <v/>
      </c>
    </row>
    <row r="39">
      <c r="A39" s="8">
        <f>IFERROR(INDEX('Task Tracker'!A:A,ROW()),"")</f>
        <v/>
      </c>
      <c r="B39" s="8">
        <f>IFERROR(INDEX('Task Tracker'!B:B,ROW()),"")</f>
        <v/>
      </c>
      <c r="C39" s="8">
        <f>IFERROR(INDEX('Task Tracker'!C:C,ROW()),"")</f>
        <v/>
      </c>
      <c r="D39" s="8">
        <f>IFERROR(INDEX('Task Tracker'!D:D,ROW()),"")</f>
        <v/>
      </c>
      <c r="E39" s="8">
        <f>IFERROR(INDEX('Task Tracker'!E:E,ROW()),"")</f>
        <v/>
      </c>
      <c r="F39" s="8">
        <f>IFERROR(INDEX('Task Tracker'!F:F,ROW()),"")</f>
        <v/>
      </c>
      <c r="G39" s="8">
        <f>IFERROR(INDEX('Task Tracker'!G:G,ROW()),"")</f>
        <v/>
      </c>
      <c r="H39" s="8">
        <f>IFERROR(INDEX('Task Tracker'!H:H,ROW()),"")</f>
        <v/>
      </c>
      <c r="I39" s="8">
        <f>IFERROR(INDEX('Task Tracker'!I:I,ROW()),"")</f>
        <v/>
      </c>
      <c r="J39" s="8">
        <f>IFERROR(INDEX('Task Tracker'!J:J,ROW()),"")</f>
        <v/>
      </c>
    </row>
    <row r="40">
      <c r="A40" s="8">
        <f>IFERROR(INDEX('Task Tracker'!A:A,ROW()),"")</f>
        <v/>
      </c>
      <c r="B40" s="8">
        <f>IFERROR(INDEX('Task Tracker'!B:B,ROW()),"")</f>
        <v/>
      </c>
      <c r="C40" s="8">
        <f>IFERROR(INDEX('Task Tracker'!C:C,ROW()),"")</f>
        <v/>
      </c>
      <c r="D40" s="8">
        <f>IFERROR(INDEX('Task Tracker'!D:D,ROW()),"")</f>
        <v/>
      </c>
      <c r="E40" s="8">
        <f>IFERROR(INDEX('Task Tracker'!E:E,ROW()),"")</f>
        <v/>
      </c>
      <c r="F40" s="8">
        <f>IFERROR(INDEX('Task Tracker'!F:F,ROW()),"")</f>
        <v/>
      </c>
      <c r="G40" s="8">
        <f>IFERROR(INDEX('Task Tracker'!G:G,ROW()),"")</f>
        <v/>
      </c>
      <c r="H40" s="8">
        <f>IFERROR(INDEX('Task Tracker'!H:H,ROW()),"")</f>
        <v/>
      </c>
      <c r="I40" s="8">
        <f>IFERROR(INDEX('Task Tracker'!I:I,ROW()),"")</f>
        <v/>
      </c>
      <c r="J40" s="8">
        <f>IFERROR(INDEX('Task Tracker'!J:J,ROW()),"")</f>
        <v/>
      </c>
    </row>
    <row r="41">
      <c r="A41" s="8">
        <f>IFERROR(INDEX('Task Tracker'!A:A,ROW()),"")</f>
        <v/>
      </c>
      <c r="B41" s="8">
        <f>IFERROR(INDEX('Task Tracker'!B:B,ROW()),"")</f>
        <v/>
      </c>
      <c r="C41" s="8">
        <f>IFERROR(INDEX('Task Tracker'!C:C,ROW()),"")</f>
        <v/>
      </c>
      <c r="D41" s="8">
        <f>IFERROR(INDEX('Task Tracker'!D:D,ROW()),"")</f>
        <v/>
      </c>
      <c r="E41" s="8">
        <f>IFERROR(INDEX('Task Tracker'!E:E,ROW()),"")</f>
        <v/>
      </c>
      <c r="F41" s="8">
        <f>IFERROR(INDEX('Task Tracker'!F:F,ROW()),"")</f>
        <v/>
      </c>
      <c r="G41" s="8">
        <f>IFERROR(INDEX('Task Tracker'!G:G,ROW()),"")</f>
        <v/>
      </c>
      <c r="H41" s="8">
        <f>IFERROR(INDEX('Task Tracker'!H:H,ROW()),"")</f>
        <v/>
      </c>
      <c r="I41" s="8">
        <f>IFERROR(INDEX('Task Tracker'!I:I,ROW()),"")</f>
        <v/>
      </c>
      <c r="J41" s="8">
        <f>IFERROR(INDEX('Task Tracker'!J:J,ROW()),"")</f>
        <v/>
      </c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</sheetData>
  <autoFilter ref="A1:J120"/>
  <conditionalFormatting sqref="K2:BJ120">
    <cfRule type="expression" priority="1" dxfId="0">
      <formula>AND($F2&lt;&gt;"",K$1&gt;=$F2,K$1&lt;=$G2)</formula>
    </cfRule>
    <cfRule type="expression" priority="2" dxfId="1">
      <formula>AND($J2&gt;0,K$1&gt;$G2,K$1&lt;=TODAY())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9" customWidth="1" min="4" max="4"/>
    <col width="14" customWidth="1" min="5" max="5"/>
    <col width="34" customWidth="1" min="6" max="6"/>
    <col width="20" customWidth="1" min="7" max="7"/>
    <col width="19" customWidth="1" min="8" max="8"/>
    <col width="18" customWidth="1" min="9" max="9"/>
    <col width="13" customWidth="1" min="10" max="10"/>
    <col width="16" customWidth="1" min="11" max="11"/>
    <col width="17" customWidth="1" min="12" max="12"/>
    <col width="14" customWidth="1" min="13" max="13"/>
    <col width="34" customWidth="1" min="14" max="14"/>
  </cols>
  <sheetData>
    <row r="1">
      <c r="A1" s="6" t="inlineStr">
        <is>
          <t>Project ID</t>
        </is>
      </c>
      <c r="B1" s="6" t="inlineStr">
        <is>
          <t>Project Name</t>
        </is>
      </c>
      <c r="C1" s="6" t="inlineStr">
        <is>
          <t>Client / Bank Name</t>
        </is>
      </c>
      <c r="D1" s="6" t="inlineStr">
        <is>
          <t>Project Manager</t>
        </is>
      </c>
      <c r="E1" s="6" t="inlineStr">
        <is>
          <t>Start Date</t>
        </is>
      </c>
      <c r="F1" s="6" t="inlineStr">
        <is>
          <t>Planned End Date</t>
        </is>
      </c>
      <c r="G1" s="6" t="inlineStr">
        <is>
          <t>Revised End Date</t>
        </is>
      </c>
      <c r="H1" s="6" t="inlineStr">
        <is>
          <t>Actual End Date</t>
        </is>
      </c>
      <c r="I1" s="6" t="inlineStr">
        <is>
          <t>Project Status</t>
        </is>
      </c>
      <c r="J1" s="6" t="inlineStr">
        <is>
          <t>Priority</t>
        </is>
      </c>
      <c r="K1" s="6" t="inlineStr">
        <is>
          <t>Completion %</t>
        </is>
      </c>
      <c r="L1" s="6" t="inlineStr">
        <is>
          <t>Current Phase</t>
        </is>
      </c>
      <c r="M1" s="6" t="inlineStr">
        <is>
          <t>Risk Level</t>
        </is>
      </c>
      <c r="N1" s="6" t="inlineStr">
        <is>
          <t>Remarks</t>
        </is>
      </c>
    </row>
    <row r="2">
      <c r="A2" s="8" t="inlineStr">
        <is>
          <t>PRJ-001</t>
        </is>
      </c>
      <c r="B2" s="8" t="inlineStr">
        <is>
          <t>Mobile Banking Revamp</t>
        </is>
      </c>
      <c r="C2" s="8" t="inlineStr">
        <is>
          <t>Apex Bank</t>
        </is>
      </c>
      <c r="D2" s="8" t="inlineStr">
        <is>
          <t>Ananya Rao</t>
        </is>
      </c>
      <c r="E2" s="9" t="n">
        <v>46028</v>
      </c>
      <c r="F2" s="9" t="n">
        <v>46201</v>
      </c>
      <c r="G2" s="9" t="n">
        <v>46215</v>
      </c>
      <c r="H2" s="9" t="inlineStr"/>
      <c r="I2" s="8" t="inlineStr">
        <is>
          <t>Active</t>
        </is>
      </c>
      <c r="J2" s="8" t="inlineStr">
        <is>
          <t>High</t>
        </is>
      </c>
      <c r="K2" s="10">
        <f>IF(A2="","",IFERROR(AVERAGEIF('Task Tracker'!B:B,A2,'Task Tracker'!L:L),0))</f>
        <v/>
      </c>
      <c r="L2" s="8" t="inlineStr">
        <is>
          <t>UAT</t>
        </is>
      </c>
      <c r="M2" s="8" t="inlineStr">
        <is>
          <t>High</t>
        </is>
      </c>
      <c r="N2" s="8" t="inlineStr">
        <is>
          <t>UAT defects under triage</t>
        </is>
      </c>
    </row>
    <row r="3">
      <c r="A3" s="8" t="inlineStr">
        <is>
          <t>PRJ-002</t>
        </is>
      </c>
      <c r="B3" s="8" t="inlineStr">
        <is>
          <t>Loan Origination Workflow</t>
        </is>
      </c>
      <c r="C3" s="8" t="inlineStr">
        <is>
          <t>Crescent Finance</t>
        </is>
      </c>
      <c r="D3" s="8" t="inlineStr">
        <is>
          <t>Rohit Menon</t>
        </is>
      </c>
      <c r="E3" s="9" t="n">
        <v>46056</v>
      </c>
      <c r="F3" s="9" t="n">
        <v>46249</v>
      </c>
      <c r="G3" s="9" t="inlineStr"/>
      <c r="H3" s="9" t="inlineStr"/>
      <c r="I3" s="8" t="inlineStr">
        <is>
          <t>Active</t>
        </is>
      </c>
      <c r="J3" s="8" t="inlineStr">
        <is>
          <t>Critical</t>
        </is>
      </c>
      <c r="K3" s="10">
        <f>IF(A3="","",IFERROR(AVERAGEIF('Task Tracker'!B:B,A3,'Task Tracker'!L:L),0))</f>
        <v/>
      </c>
      <c r="L3" s="8" t="inlineStr">
        <is>
          <t>Development</t>
        </is>
      </c>
      <c r="M3" s="8" t="inlineStr">
        <is>
          <t>Critical</t>
        </is>
      </c>
      <c r="N3" s="8" t="inlineStr">
        <is>
          <t>Integration dependency with CBS</t>
        </is>
      </c>
    </row>
    <row r="4">
      <c r="A4" s="8" t="inlineStr">
        <is>
          <t>PRJ-003</t>
        </is>
      </c>
      <c r="B4" s="8" t="inlineStr">
        <is>
          <t>Regulatory Reporting Portal</t>
        </is>
      </c>
      <c r="C4" s="8" t="inlineStr">
        <is>
          <t>Northstar Bank</t>
        </is>
      </c>
      <c r="D4" s="8" t="inlineStr">
        <is>
          <t>Meera Iyer</t>
        </is>
      </c>
      <c r="E4" s="9" t="n">
        <v>45971</v>
      </c>
      <c r="F4" s="9" t="n">
        <v>46142</v>
      </c>
      <c r="G4" s="9" t="n">
        <v>46150</v>
      </c>
      <c r="H4" s="9" t="n">
        <v>46148</v>
      </c>
      <c r="I4" s="8" t="inlineStr">
        <is>
          <t>Completed</t>
        </is>
      </c>
      <c r="J4" s="8" t="inlineStr">
        <is>
          <t>High</t>
        </is>
      </c>
      <c r="K4" s="10">
        <f>IF(A4="","",IFERROR(AVERAGEIF('Task Tracker'!B:B,A4,'Task Tracker'!L:L),0))</f>
        <v/>
      </c>
      <c r="L4" s="8" t="inlineStr">
        <is>
          <t>Closed</t>
        </is>
      </c>
      <c r="M4" s="8" t="inlineStr">
        <is>
          <t>Medium</t>
        </is>
      </c>
      <c r="N4" s="8" t="inlineStr">
        <is>
          <t>Delivered</t>
        </is>
      </c>
    </row>
    <row r="5">
      <c r="A5" s="8" t="inlineStr">
        <is>
          <t>PRJ-004</t>
        </is>
      </c>
      <c r="B5" s="8" t="inlineStr">
        <is>
          <t>Customer Onboarding App</t>
        </is>
      </c>
      <c r="C5" s="8" t="inlineStr">
        <is>
          <t>Horizon Credit Union</t>
        </is>
      </c>
      <c r="D5" s="8" t="inlineStr">
        <is>
          <t>Vikram Shah</t>
        </is>
      </c>
      <c r="E5" s="9" t="n">
        <v>46098</v>
      </c>
      <c r="F5" s="9" t="n">
        <v>46234</v>
      </c>
      <c r="G5" s="9" t="n">
        <v>46255</v>
      </c>
      <c r="H5" s="9" t="inlineStr"/>
      <c r="I5" s="8" t="inlineStr">
        <is>
          <t>Delayed</t>
        </is>
      </c>
      <c r="J5" s="8" t="inlineStr">
        <is>
          <t>High</t>
        </is>
      </c>
      <c r="K5" s="10">
        <f>IF(A5="","",IFERROR(AVERAGEIF('Task Tracker'!B:B,A5,'Task Tracker'!L:L),0))</f>
        <v/>
      </c>
      <c r="L5" s="8" t="inlineStr">
        <is>
          <t>Testing</t>
        </is>
      </c>
      <c r="M5" s="8" t="inlineStr">
        <is>
          <t>High</t>
        </is>
      </c>
      <c r="N5" s="8" t="inlineStr">
        <is>
          <t>API performance issue open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>
        <f>IF(A6="","",IFERROR(AVERAGEIF('Task Tracker'!B:B,A6,'Task Tracker'!L:L),0))</f>
        <v/>
      </c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>
        <f>IF(A7="","",IFERROR(AVERAGEIF('Task Tracker'!B:B,A7,'Task Tracker'!L:L),0))</f>
        <v/>
      </c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>
        <f>IF(A8="","",IFERROR(AVERAGEIF('Task Tracker'!B:B,A8,'Task Tracker'!L:L),0))</f>
        <v/>
      </c>
      <c r="L8" s="8" t="n"/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>
        <f>IF(A9="","",IFERROR(AVERAGEIF('Task Tracker'!B:B,A9,'Task Tracker'!L:L),0))</f>
        <v/>
      </c>
      <c r="L9" s="8" t="n"/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>
        <f>IF(A10="","",IFERROR(AVERAGEIF('Task Tracker'!B:B,A10,'Task Tracker'!L:L),0))</f>
        <v/>
      </c>
      <c r="L10" s="8" t="n"/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>
        <f>IF(A11="","",IFERROR(AVERAGEIF('Task Tracker'!B:B,A11,'Task Tracker'!L:L),0))</f>
        <v/>
      </c>
      <c r="L11" s="8" t="n"/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>
        <f>IF(A12="","",IFERROR(AVERAGEIF('Task Tracker'!B:B,A12,'Task Tracker'!L:L),0))</f>
        <v/>
      </c>
      <c r="L12" s="8" t="n"/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>
        <f>IF(A13="","",IFERROR(AVERAGEIF('Task Tracker'!B:B,A13,'Task Tracker'!L:L),0))</f>
        <v/>
      </c>
      <c r="L13" s="8" t="n"/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>
        <f>IF(A14="","",IFERROR(AVERAGEIF('Task Tracker'!B:B,A14,'Task Tracker'!L:L),0))</f>
        <v/>
      </c>
      <c r="L14" s="8" t="n"/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>
        <f>IF(A15="","",IFERROR(AVERAGEIF('Task Tracker'!B:B,A15,'Task Tracker'!L:L),0))</f>
        <v/>
      </c>
      <c r="L15" s="8" t="n"/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>
        <f>IF(A16="","",IFERROR(AVERAGEIF('Task Tracker'!B:B,A16,'Task Tracker'!L:L),0))</f>
        <v/>
      </c>
      <c r="L16" s="8" t="n"/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>
        <f>IF(A17="","",IFERROR(AVERAGEIF('Task Tracker'!B:B,A17,'Task Tracker'!L:L),0))</f>
        <v/>
      </c>
      <c r="L17" s="8" t="n"/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>
        <f>IF(A18="","",IFERROR(AVERAGEIF('Task Tracker'!B:B,A18,'Task Tracker'!L:L),0))</f>
        <v/>
      </c>
      <c r="L18" s="8" t="n"/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>
        <f>IF(A19="","",IFERROR(AVERAGEIF('Task Tracker'!B:B,A19,'Task Tracker'!L:L),0))</f>
        <v/>
      </c>
      <c r="L19" s="8" t="n"/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>
        <f>IF(A20="","",IFERROR(AVERAGEIF('Task Tracker'!B:B,A20,'Task Tracker'!L:L),0))</f>
        <v/>
      </c>
      <c r="L20" s="8" t="n"/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>
        <f>IF(A21="","",IFERROR(AVERAGEIF('Task Tracker'!B:B,A21,'Task Tracker'!L:L),0))</f>
        <v/>
      </c>
      <c r="L21" s="8" t="n"/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>
        <f>IF(A22="","",IFERROR(AVERAGEIF('Task Tracker'!B:B,A22,'Task Tracker'!L:L),0))</f>
        <v/>
      </c>
      <c r="L22" s="8" t="n"/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>
        <f>IF(A23="","",IFERROR(AVERAGEIF('Task Tracker'!B:B,A23,'Task Tracker'!L:L),0))</f>
        <v/>
      </c>
      <c r="L23" s="8" t="n"/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>
        <f>IF(A24="","",IFERROR(AVERAGEIF('Task Tracker'!B:B,A24,'Task Tracker'!L:L),0))</f>
        <v/>
      </c>
      <c r="L24" s="8" t="n"/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>
        <f>IF(A25="","",IFERROR(AVERAGEIF('Task Tracker'!B:B,A25,'Task Tracker'!L:L),0))</f>
        <v/>
      </c>
      <c r="L25" s="8" t="n"/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>
        <f>IF(A26="","",IFERROR(AVERAGEIF('Task Tracker'!B:B,A26,'Task Tracker'!L:L),0))</f>
        <v/>
      </c>
      <c r="L26" s="8" t="n"/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>
        <f>IF(A27="","",IFERROR(AVERAGEIF('Task Tracker'!B:B,A27,'Task Tracker'!L:L),0))</f>
        <v/>
      </c>
      <c r="L27" s="8" t="n"/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>
        <f>IF(A28="","",IFERROR(AVERAGEIF('Task Tracker'!B:B,A28,'Task Tracker'!L:L),0))</f>
        <v/>
      </c>
      <c r="L28" s="8" t="n"/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>
        <f>IF(A29="","",IFERROR(AVERAGEIF('Task Tracker'!B:B,A29,'Task Tracker'!L:L),0))</f>
        <v/>
      </c>
      <c r="L29" s="8" t="n"/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>
        <f>IF(A30="","",IFERROR(AVERAGEIF('Task Tracker'!B:B,A30,'Task Tracker'!L:L),0))</f>
        <v/>
      </c>
      <c r="L30" s="8" t="n"/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>
        <f>IF(A31="","",IFERROR(AVERAGEIF('Task Tracker'!B:B,A31,'Task Tracker'!L:L),0))</f>
        <v/>
      </c>
      <c r="L31" s="8" t="n"/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>
        <f>IF(A32="","",IFERROR(AVERAGEIF('Task Tracker'!B:B,A32,'Task Tracker'!L:L),0))</f>
        <v/>
      </c>
      <c r="L32" s="8" t="n"/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>
        <f>IF(A33="","",IFERROR(AVERAGEIF('Task Tracker'!B:B,A33,'Task Tracker'!L:L),0))</f>
        <v/>
      </c>
      <c r="L33" s="8" t="n"/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>
        <f>IF(A34="","",IFERROR(AVERAGEIF('Task Tracker'!B:B,A34,'Task Tracker'!L:L),0))</f>
        <v/>
      </c>
      <c r="L34" s="8" t="n"/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>
        <f>IF(A35="","",IFERROR(AVERAGEIF('Task Tracker'!B:B,A35,'Task Tracker'!L:L),0))</f>
        <v/>
      </c>
      <c r="L35" s="8" t="n"/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>
        <f>IF(A36="","",IFERROR(AVERAGEIF('Task Tracker'!B:B,A36,'Task Tracker'!L:L),0))</f>
        <v/>
      </c>
      <c r="L36" s="8" t="n"/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>
        <f>IF(A37="","",IFERROR(AVERAGEIF('Task Tracker'!B:B,A37,'Task Tracker'!L:L),0))</f>
        <v/>
      </c>
      <c r="L37" s="8" t="n"/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>
        <f>IF(A38="","",IFERROR(AVERAGEIF('Task Tracker'!B:B,A38,'Task Tracker'!L:L),0))</f>
        <v/>
      </c>
      <c r="L38" s="8" t="n"/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>
        <f>IF(A39="","",IFERROR(AVERAGEIF('Task Tracker'!B:B,A39,'Task Tracker'!L:L),0))</f>
        <v/>
      </c>
      <c r="L39" s="8" t="n"/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>
        <f>IF(A40="","",IFERROR(AVERAGEIF('Task Tracker'!B:B,A40,'Task Tracker'!L:L),0))</f>
        <v/>
      </c>
      <c r="L40" s="8" t="n"/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>
        <f>IF(A41="","",IFERROR(AVERAGEIF('Task Tracker'!B:B,A41,'Task Tracker'!L:L),0))</f>
        <v/>
      </c>
      <c r="L41" s="8" t="n"/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>
        <f>IF(A42="","",IFERROR(AVERAGEIF('Task Tracker'!B:B,A42,'Task Tracker'!L:L),0))</f>
        <v/>
      </c>
      <c r="L42" s="8" t="n"/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>
        <f>IF(A43="","",IFERROR(AVERAGEIF('Task Tracker'!B:B,A43,'Task Tracker'!L:L),0))</f>
        <v/>
      </c>
      <c r="L43" s="8" t="n"/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>
        <f>IF(A44="","",IFERROR(AVERAGEIF('Task Tracker'!B:B,A44,'Task Tracker'!L:L),0))</f>
        <v/>
      </c>
      <c r="L44" s="8" t="n"/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>
        <f>IF(A45="","",IFERROR(AVERAGEIF('Task Tracker'!B:B,A45,'Task Tracker'!L:L),0))</f>
        <v/>
      </c>
      <c r="L45" s="8" t="n"/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>
        <f>IF(A46="","",IFERROR(AVERAGEIF('Task Tracker'!B:B,A46,'Task Tracker'!L:L),0))</f>
        <v/>
      </c>
      <c r="L46" s="8" t="n"/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>
        <f>IF(A47="","",IFERROR(AVERAGEIF('Task Tracker'!B:B,A47,'Task Tracker'!L:L),0))</f>
        <v/>
      </c>
      <c r="L47" s="8" t="n"/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>
        <f>IF(A48="","",IFERROR(AVERAGEIF('Task Tracker'!B:B,A48,'Task Tracker'!L:L),0))</f>
        <v/>
      </c>
      <c r="L48" s="8" t="n"/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>
        <f>IF(A49="","",IFERROR(AVERAGEIF('Task Tracker'!B:B,A49,'Task Tracker'!L:L),0))</f>
        <v/>
      </c>
      <c r="L49" s="8" t="n"/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>
        <f>IF(A50="","",IFERROR(AVERAGEIF('Task Tracker'!B:B,A50,'Task Tracker'!L:L),0))</f>
        <v/>
      </c>
      <c r="L50" s="8" t="n"/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>
        <f>IF(A51="","",IFERROR(AVERAGEIF('Task Tracker'!B:B,A51,'Task Tracker'!L:L),0))</f>
        <v/>
      </c>
      <c r="L51" s="8" t="n"/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>
        <f>IF(A52="","",IFERROR(AVERAGEIF('Task Tracker'!B:B,A52,'Task Tracker'!L:L),0))</f>
        <v/>
      </c>
      <c r="L52" s="8" t="n"/>
      <c r="M52" s="8" t="n"/>
      <c r="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>
        <f>IF(A53="","",IFERROR(AVERAGEIF('Task Tracker'!B:B,A53,'Task Tracker'!L:L),0))</f>
        <v/>
      </c>
      <c r="L53" s="8" t="n"/>
      <c r="M53" s="8" t="n"/>
      <c r="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>
        <f>IF(A54="","",IFERROR(AVERAGEIF('Task Tracker'!B:B,A54,'Task Tracker'!L:L),0))</f>
        <v/>
      </c>
      <c r="L54" s="8" t="n"/>
      <c r="M54" s="8" t="n"/>
      <c r="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>
        <f>IF(A55="","",IFERROR(AVERAGEIF('Task Tracker'!B:B,A55,'Task Tracker'!L:L),0))</f>
        <v/>
      </c>
      <c r="L55" s="8" t="n"/>
      <c r="M55" s="8" t="n"/>
      <c r="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>
        <f>IF(A56="","",IFERROR(AVERAGEIF('Task Tracker'!B:B,A56,'Task Tracker'!L:L),0))</f>
        <v/>
      </c>
      <c r="L56" s="8" t="n"/>
      <c r="M56" s="8" t="n"/>
      <c r="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>
        <f>IF(A57="","",IFERROR(AVERAGEIF('Task Tracker'!B:B,A57,'Task Tracker'!L:L),0))</f>
        <v/>
      </c>
      <c r="L57" s="8" t="n"/>
      <c r="M57" s="8" t="n"/>
      <c r="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>
        <f>IF(A58="","",IFERROR(AVERAGEIF('Task Tracker'!B:B,A58,'Task Tracker'!L:L),0))</f>
        <v/>
      </c>
      <c r="L58" s="8" t="n"/>
      <c r="M58" s="8" t="n"/>
      <c r="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>
        <f>IF(A59="","",IFERROR(AVERAGEIF('Task Tracker'!B:B,A59,'Task Tracker'!L:L),0))</f>
        <v/>
      </c>
      <c r="L59" s="8" t="n"/>
      <c r="M59" s="8" t="n"/>
      <c r="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>
        <f>IF(A60="","",IFERROR(AVERAGEIF('Task Tracker'!B:B,A60,'Task Tracker'!L:L),0))</f>
        <v/>
      </c>
      <c r="L60" s="8" t="n"/>
      <c r="M60" s="8" t="n"/>
      <c r="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>
        <f>IF(A61="","",IFERROR(AVERAGEIF('Task Tracker'!B:B,A61,'Task Tracker'!L:L),0))</f>
        <v/>
      </c>
      <c r="L61" s="8" t="n"/>
      <c r="M61" s="8" t="n"/>
      <c r="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>
        <f>IF(A62="","",IFERROR(AVERAGEIF('Task Tracker'!B:B,A62,'Task Tracker'!L:L),0))</f>
        <v/>
      </c>
      <c r="L62" s="8" t="n"/>
      <c r="M62" s="8" t="n"/>
      <c r="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>
        <f>IF(A63="","",IFERROR(AVERAGEIF('Task Tracker'!B:B,A63,'Task Tracker'!L:L),0))</f>
        <v/>
      </c>
      <c r="L63" s="8" t="n"/>
      <c r="M63" s="8" t="n"/>
      <c r="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>
        <f>IF(A64="","",IFERROR(AVERAGEIF('Task Tracker'!B:B,A64,'Task Tracker'!L:L),0))</f>
        <v/>
      </c>
      <c r="L64" s="8" t="n"/>
      <c r="M64" s="8" t="n"/>
      <c r="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>
        <f>IF(A65="","",IFERROR(AVERAGEIF('Task Tracker'!B:B,A65,'Task Tracker'!L:L),0))</f>
        <v/>
      </c>
      <c r="L65" s="8" t="n"/>
      <c r="M65" s="8" t="n"/>
      <c r="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>
        <f>IF(A66="","",IFERROR(AVERAGEIF('Task Tracker'!B:B,A66,'Task Tracker'!L:L),0))</f>
        <v/>
      </c>
      <c r="L66" s="8" t="n"/>
      <c r="M66" s="8" t="n"/>
      <c r="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>
        <f>IF(A67="","",IFERROR(AVERAGEIF('Task Tracker'!B:B,A67,'Task Tracker'!L:L),0))</f>
        <v/>
      </c>
      <c r="L67" s="8" t="n"/>
      <c r="M67" s="8" t="n"/>
      <c r="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>
        <f>IF(A68="","",IFERROR(AVERAGEIF('Task Tracker'!B:B,A68,'Task Tracker'!L:L),0))</f>
        <v/>
      </c>
      <c r="L68" s="8" t="n"/>
      <c r="M68" s="8" t="n"/>
      <c r="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>
        <f>IF(A69="","",IFERROR(AVERAGEIF('Task Tracker'!B:B,A69,'Task Tracker'!L:L),0))</f>
        <v/>
      </c>
      <c r="L69" s="8" t="n"/>
      <c r="M69" s="8" t="n"/>
      <c r="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>
        <f>IF(A70="","",IFERROR(AVERAGEIF('Task Tracker'!B:B,A70,'Task Tracker'!L:L),0))</f>
        <v/>
      </c>
      <c r="L70" s="8" t="n"/>
      <c r="M70" s="8" t="n"/>
      <c r="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>
        <f>IF(A71="","",IFERROR(AVERAGEIF('Task Tracker'!B:B,A71,'Task Tracker'!L:L),0))</f>
        <v/>
      </c>
      <c r="L71" s="8" t="n"/>
      <c r="M71" s="8" t="n"/>
      <c r="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>
        <f>IF(A72="","",IFERROR(AVERAGEIF('Task Tracker'!B:B,A72,'Task Tracker'!L:L),0))</f>
        <v/>
      </c>
      <c r="L72" s="8" t="n"/>
      <c r="M72" s="8" t="n"/>
      <c r="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>
        <f>IF(A73="","",IFERROR(AVERAGEIF('Task Tracker'!B:B,A73,'Task Tracker'!L:L),0))</f>
        <v/>
      </c>
      <c r="L73" s="8" t="n"/>
      <c r="M73" s="8" t="n"/>
      <c r="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>
        <f>IF(A74="","",IFERROR(AVERAGEIF('Task Tracker'!B:B,A74,'Task Tracker'!L:L),0))</f>
        <v/>
      </c>
      <c r="L74" s="8" t="n"/>
      <c r="M74" s="8" t="n"/>
      <c r="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>
        <f>IF(A75="","",IFERROR(AVERAGEIF('Task Tracker'!B:B,A75,'Task Tracker'!L:L),0))</f>
        <v/>
      </c>
      <c r="L75" s="8" t="n"/>
      <c r="M75" s="8" t="n"/>
      <c r="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>
        <f>IF(A76="","",IFERROR(AVERAGEIF('Task Tracker'!B:B,A76,'Task Tracker'!L:L),0))</f>
        <v/>
      </c>
      <c r="L76" s="8" t="n"/>
      <c r="M76" s="8" t="n"/>
      <c r="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>
        <f>IF(A77="","",IFERROR(AVERAGEIF('Task Tracker'!B:B,A77,'Task Tracker'!L:L),0))</f>
        <v/>
      </c>
      <c r="L77" s="8" t="n"/>
      <c r="M77" s="8" t="n"/>
      <c r="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>
        <f>IF(A78="","",IFERROR(AVERAGEIF('Task Tracker'!B:B,A78,'Task Tracker'!L:L),0))</f>
        <v/>
      </c>
      <c r="L78" s="8" t="n"/>
      <c r="M78" s="8" t="n"/>
      <c r="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>
        <f>IF(A79="","",IFERROR(AVERAGEIF('Task Tracker'!B:B,A79,'Task Tracker'!L:L),0))</f>
        <v/>
      </c>
      <c r="L79" s="8" t="n"/>
      <c r="M79" s="8" t="n"/>
      <c r="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>
        <f>IF(A80="","",IFERROR(AVERAGEIF('Task Tracker'!B:B,A80,'Task Tracker'!L:L),0))</f>
        <v/>
      </c>
      <c r="L80" s="8" t="n"/>
      <c r="M80" s="8" t="n"/>
      <c r="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>
        <f>IF(A81="","",IFERROR(AVERAGEIF('Task Tracker'!B:B,A81,'Task Tracker'!L:L),0))</f>
        <v/>
      </c>
      <c r="L81" s="8" t="n"/>
      <c r="M81" s="8" t="n"/>
      <c r="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>
        <f>IF(A82="","",IFERROR(AVERAGEIF('Task Tracker'!B:B,A82,'Task Tracker'!L:L),0))</f>
        <v/>
      </c>
      <c r="L82" s="8" t="n"/>
      <c r="M82" s="8" t="n"/>
      <c r="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>
        <f>IF(A83="","",IFERROR(AVERAGEIF('Task Tracker'!B:B,A83,'Task Tracker'!L:L),0))</f>
        <v/>
      </c>
      <c r="L83" s="8" t="n"/>
      <c r="M83" s="8" t="n"/>
      <c r="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>
        <f>IF(A84="","",IFERROR(AVERAGEIF('Task Tracker'!B:B,A84,'Task Tracker'!L:L),0))</f>
        <v/>
      </c>
      <c r="L84" s="8" t="n"/>
      <c r="M84" s="8" t="n"/>
      <c r="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>
        <f>IF(A85="","",IFERROR(AVERAGEIF('Task Tracker'!B:B,A85,'Task Tracker'!L:L),0))</f>
        <v/>
      </c>
      <c r="L85" s="8" t="n"/>
      <c r="M85" s="8" t="n"/>
      <c r="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>
        <f>IF(A86="","",IFERROR(AVERAGEIF('Task Tracker'!B:B,A86,'Task Tracker'!L:L),0))</f>
        <v/>
      </c>
      <c r="L86" s="8" t="n"/>
      <c r="M86" s="8" t="n"/>
      <c r="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>
        <f>IF(A87="","",IFERROR(AVERAGEIF('Task Tracker'!B:B,A87,'Task Tracker'!L:L),0))</f>
        <v/>
      </c>
      <c r="L87" s="8" t="n"/>
      <c r="M87" s="8" t="n"/>
      <c r="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>
        <f>IF(A88="","",IFERROR(AVERAGEIF('Task Tracker'!B:B,A88,'Task Tracker'!L:L),0))</f>
        <v/>
      </c>
      <c r="L88" s="8" t="n"/>
      <c r="M88" s="8" t="n"/>
      <c r="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>
        <f>IF(A89="","",IFERROR(AVERAGEIF('Task Tracker'!B:B,A89,'Task Tracker'!L:L),0))</f>
        <v/>
      </c>
      <c r="L89" s="8" t="n"/>
      <c r="M89" s="8" t="n"/>
      <c r="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>
        <f>IF(A90="","",IFERROR(AVERAGEIF('Task Tracker'!B:B,A90,'Task Tracker'!L:L),0))</f>
        <v/>
      </c>
      <c r="L90" s="8" t="n"/>
      <c r="M90" s="8" t="n"/>
      <c r="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>
        <f>IF(A91="","",IFERROR(AVERAGEIF('Task Tracker'!B:B,A91,'Task Tracker'!L:L),0))</f>
        <v/>
      </c>
      <c r="L91" s="8" t="n"/>
      <c r="M91" s="8" t="n"/>
      <c r="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>
        <f>IF(A92="","",IFERROR(AVERAGEIF('Task Tracker'!B:B,A92,'Task Tracker'!L:L),0))</f>
        <v/>
      </c>
      <c r="L92" s="8" t="n"/>
      <c r="M92" s="8" t="n"/>
      <c r="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>
        <f>IF(A93="","",IFERROR(AVERAGEIF('Task Tracker'!B:B,A93,'Task Tracker'!L:L),0))</f>
        <v/>
      </c>
      <c r="L93" s="8" t="n"/>
      <c r="M93" s="8" t="n"/>
      <c r="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>
        <f>IF(A94="","",IFERROR(AVERAGEIF('Task Tracker'!B:B,A94,'Task Tracker'!L:L),0))</f>
        <v/>
      </c>
      <c r="L94" s="8" t="n"/>
      <c r="M94" s="8" t="n"/>
      <c r="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>
        <f>IF(A95="","",IFERROR(AVERAGEIF('Task Tracker'!B:B,A95,'Task Tracker'!L:L),0))</f>
        <v/>
      </c>
      <c r="L95" s="8" t="n"/>
      <c r="M95" s="8" t="n"/>
      <c r="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>
        <f>IF(A96="","",IFERROR(AVERAGEIF('Task Tracker'!B:B,A96,'Task Tracker'!L:L),0))</f>
        <v/>
      </c>
      <c r="L96" s="8" t="n"/>
      <c r="M96" s="8" t="n"/>
      <c r="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>
        <f>IF(A97="","",IFERROR(AVERAGEIF('Task Tracker'!B:B,A97,'Task Tracker'!L:L),0))</f>
        <v/>
      </c>
      <c r="L97" s="8" t="n"/>
      <c r="M97" s="8" t="n"/>
      <c r="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>
        <f>IF(A98="","",IFERROR(AVERAGEIF('Task Tracker'!B:B,A98,'Task Tracker'!L:L),0))</f>
        <v/>
      </c>
      <c r="L98" s="8" t="n"/>
      <c r="M98" s="8" t="n"/>
      <c r="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>
        <f>IF(A99="","",IFERROR(AVERAGEIF('Task Tracker'!B:B,A99,'Task Tracker'!L:L),0))</f>
        <v/>
      </c>
      <c r="L99" s="8" t="n"/>
      <c r="M99" s="8" t="n"/>
      <c r="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>
        <f>IF(A100="","",IFERROR(AVERAGEIF('Task Tracker'!B:B,A100,'Task Tracker'!L:L),0))</f>
        <v/>
      </c>
      <c r="L100" s="8" t="n"/>
      <c r="M100" s="8" t="n"/>
      <c r="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>
        <f>IF(A101="","",IFERROR(AVERAGEIF('Task Tracker'!B:B,A101,'Task Tracker'!L:L),0))</f>
        <v/>
      </c>
      <c r="L101" s="8" t="n"/>
      <c r="M101" s="8" t="n"/>
      <c r="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>
        <f>IF(A102="","",IFERROR(AVERAGEIF('Task Tracker'!B:B,A102,'Task Tracker'!L:L),0))</f>
        <v/>
      </c>
      <c r="L102" s="8" t="n"/>
      <c r="M102" s="8" t="n"/>
      <c r="N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>
        <f>IF(A103="","",IFERROR(AVERAGEIF('Task Tracker'!B:B,A103,'Task Tracker'!L:L),0))</f>
        <v/>
      </c>
      <c r="L103" s="8" t="n"/>
      <c r="M103" s="8" t="n"/>
      <c r="N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>
        <f>IF(A104="","",IFERROR(AVERAGEIF('Task Tracker'!B:B,A104,'Task Tracker'!L:L),0))</f>
        <v/>
      </c>
      <c r="L104" s="8" t="n"/>
      <c r="M104" s="8" t="n"/>
      <c r="N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>
        <f>IF(A105="","",IFERROR(AVERAGEIF('Task Tracker'!B:B,A105,'Task Tracker'!L:L),0))</f>
        <v/>
      </c>
      <c r="L105" s="8" t="n"/>
      <c r="M105" s="8" t="n"/>
      <c r="N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>
        <f>IF(A106="","",IFERROR(AVERAGEIF('Task Tracker'!B:B,A106,'Task Tracker'!L:L),0))</f>
        <v/>
      </c>
      <c r="L106" s="8" t="n"/>
      <c r="M106" s="8" t="n"/>
      <c r="N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>
        <f>IF(A107="","",IFERROR(AVERAGEIF('Task Tracker'!B:B,A107,'Task Tracker'!L:L),0))</f>
        <v/>
      </c>
      <c r="L107" s="8" t="n"/>
      <c r="M107" s="8" t="n"/>
      <c r="N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>
        <f>IF(A108="","",IFERROR(AVERAGEIF('Task Tracker'!B:B,A108,'Task Tracker'!L:L),0))</f>
        <v/>
      </c>
      <c r="L108" s="8" t="n"/>
      <c r="M108" s="8" t="n"/>
      <c r="N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>
        <f>IF(A109="","",IFERROR(AVERAGEIF('Task Tracker'!B:B,A109,'Task Tracker'!L:L),0))</f>
        <v/>
      </c>
      <c r="L109" s="8" t="n"/>
      <c r="M109" s="8" t="n"/>
      <c r="N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>
        <f>IF(A110="","",IFERROR(AVERAGEIF('Task Tracker'!B:B,A110,'Task Tracker'!L:L),0))</f>
        <v/>
      </c>
      <c r="L110" s="8" t="n"/>
      <c r="M110" s="8" t="n"/>
      <c r="N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>
        <f>IF(A111="","",IFERROR(AVERAGEIF('Task Tracker'!B:B,A111,'Task Tracker'!L:L),0))</f>
        <v/>
      </c>
      <c r="L111" s="8" t="n"/>
      <c r="M111" s="8" t="n"/>
      <c r="N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>
        <f>IF(A112="","",IFERROR(AVERAGEIF('Task Tracker'!B:B,A112,'Task Tracker'!L:L),0))</f>
        <v/>
      </c>
      <c r="L112" s="8" t="n"/>
      <c r="M112" s="8" t="n"/>
      <c r="N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>
        <f>IF(A113="","",IFERROR(AVERAGEIF('Task Tracker'!B:B,A113,'Task Tracker'!L:L),0))</f>
        <v/>
      </c>
      <c r="L113" s="8" t="n"/>
      <c r="M113" s="8" t="n"/>
      <c r="N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>
        <f>IF(A114="","",IFERROR(AVERAGEIF('Task Tracker'!B:B,A114,'Task Tracker'!L:L),0))</f>
        <v/>
      </c>
      <c r="L114" s="8" t="n"/>
      <c r="M114" s="8" t="n"/>
      <c r="N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>
        <f>IF(A115="","",IFERROR(AVERAGEIF('Task Tracker'!B:B,A115,'Task Tracker'!L:L),0))</f>
        <v/>
      </c>
      <c r="L115" s="8" t="n"/>
      <c r="M115" s="8" t="n"/>
      <c r="N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>
        <f>IF(A116="","",IFERROR(AVERAGEIF('Task Tracker'!B:B,A116,'Task Tracker'!L:L),0))</f>
        <v/>
      </c>
      <c r="L116" s="8" t="n"/>
      <c r="M116" s="8" t="n"/>
      <c r="N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>
        <f>IF(A117="","",IFERROR(AVERAGEIF('Task Tracker'!B:B,A117,'Task Tracker'!L:L),0))</f>
        <v/>
      </c>
      <c r="L117" s="8" t="n"/>
      <c r="M117" s="8" t="n"/>
      <c r="N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>
        <f>IF(A118="","",IFERROR(AVERAGEIF('Task Tracker'!B:B,A118,'Task Tracker'!L:L),0))</f>
        <v/>
      </c>
      <c r="L118" s="8" t="n"/>
      <c r="M118" s="8" t="n"/>
      <c r="N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>
        <f>IF(A119="","",IFERROR(AVERAGEIF('Task Tracker'!B:B,A119,'Task Tracker'!L:L),0))</f>
        <v/>
      </c>
      <c r="L119" s="8" t="n"/>
      <c r="M119" s="8" t="n"/>
      <c r="N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>
        <f>IF(A120="","",IFERROR(AVERAGEIF('Task Tracker'!B:B,A120,'Task Tracker'!L:L),0))</f>
        <v/>
      </c>
      <c r="L120" s="8" t="n"/>
      <c r="M120" s="8" t="n"/>
      <c r="N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>
        <f>IF(A121="","",IFERROR(AVERAGEIF('Task Tracker'!B:B,A121,'Task Tracker'!L:L),0))</f>
        <v/>
      </c>
      <c r="L121" s="8" t="n"/>
      <c r="M121" s="8" t="n"/>
      <c r="N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>
        <f>IF(A122="","",IFERROR(AVERAGEIF('Task Tracker'!B:B,A122,'Task Tracker'!L:L),0))</f>
        <v/>
      </c>
      <c r="L122" s="8" t="n"/>
      <c r="M122" s="8" t="n"/>
      <c r="N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>
        <f>IF(A123="","",IFERROR(AVERAGEIF('Task Tracker'!B:B,A123,'Task Tracker'!L:L),0))</f>
        <v/>
      </c>
      <c r="L123" s="8" t="n"/>
      <c r="M123" s="8" t="n"/>
      <c r="N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>
        <f>IF(A124="","",IFERROR(AVERAGEIF('Task Tracker'!B:B,A124,'Task Tracker'!L:L),0))</f>
        <v/>
      </c>
      <c r="L124" s="8" t="n"/>
      <c r="M124" s="8" t="n"/>
      <c r="N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>
        <f>IF(A125="","",IFERROR(AVERAGEIF('Task Tracker'!B:B,A125,'Task Tracker'!L:L),0))</f>
        <v/>
      </c>
      <c r="L125" s="8" t="n"/>
      <c r="M125" s="8" t="n"/>
      <c r="N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>
        <f>IF(A126="","",IFERROR(AVERAGEIF('Task Tracker'!B:B,A126,'Task Tracker'!L:L),0))</f>
        <v/>
      </c>
      <c r="L126" s="8" t="n"/>
      <c r="M126" s="8" t="n"/>
      <c r="N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>
        <f>IF(A127="","",IFERROR(AVERAGEIF('Task Tracker'!B:B,A127,'Task Tracker'!L:L),0))</f>
        <v/>
      </c>
      <c r="L127" s="8" t="n"/>
      <c r="M127" s="8" t="n"/>
      <c r="N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>
        <f>IF(A128="","",IFERROR(AVERAGEIF('Task Tracker'!B:B,A128,'Task Tracker'!L:L),0))</f>
        <v/>
      </c>
      <c r="L128" s="8" t="n"/>
      <c r="M128" s="8" t="n"/>
      <c r="N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>
        <f>IF(A129="","",IFERROR(AVERAGEIF('Task Tracker'!B:B,A129,'Task Tracker'!L:L),0))</f>
        <v/>
      </c>
      <c r="L129" s="8" t="n"/>
      <c r="M129" s="8" t="n"/>
      <c r="N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>
        <f>IF(A130="","",IFERROR(AVERAGEIF('Task Tracker'!B:B,A130,'Task Tracker'!L:L),0))</f>
        <v/>
      </c>
      <c r="L130" s="8" t="n"/>
      <c r="M130" s="8" t="n"/>
      <c r="N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>
        <f>IF(A131="","",IFERROR(AVERAGEIF('Task Tracker'!B:B,A131,'Task Tracker'!L:L),0))</f>
        <v/>
      </c>
      <c r="L131" s="8" t="n"/>
      <c r="M131" s="8" t="n"/>
      <c r="N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>
        <f>IF(A132="","",IFERROR(AVERAGEIF('Task Tracker'!B:B,A132,'Task Tracker'!L:L),0))</f>
        <v/>
      </c>
      <c r="L132" s="8" t="n"/>
      <c r="M132" s="8" t="n"/>
      <c r="N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>
        <f>IF(A133="","",IFERROR(AVERAGEIF('Task Tracker'!B:B,A133,'Task Tracker'!L:L),0))</f>
        <v/>
      </c>
      <c r="L133" s="8" t="n"/>
      <c r="M133" s="8" t="n"/>
      <c r="N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>
        <f>IF(A134="","",IFERROR(AVERAGEIF('Task Tracker'!B:B,A134,'Task Tracker'!L:L),0))</f>
        <v/>
      </c>
      <c r="L134" s="8" t="n"/>
      <c r="M134" s="8" t="n"/>
      <c r="N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>
        <f>IF(A135="","",IFERROR(AVERAGEIF('Task Tracker'!B:B,A135,'Task Tracker'!L:L),0))</f>
        <v/>
      </c>
      <c r="L135" s="8" t="n"/>
      <c r="M135" s="8" t="n"/>
      <c r="N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>
        <f>IF(A136="","",IFERROR(AVERAGEIF('Task Tracker'!B:B,A136,'Task Tracker'!L:L),0))</f>
        <v/>
      </c>
      <c r="L136" s="8" t="n"/>
      <c r="M136" s="8" t="n"/>
      <c r="N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>
        <f>IF(A137="","",IFERROR(AVERAGEIF('Task Tracker'!B:B,A137,'Task Tracker'!L:L),0))</f>
        <v/>
      </c>
      <c r="L137" s="8" t="n"/>
      <c r="M137" s="8" t="n"/>
      <c r="N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>
        <f>IF(A138="","",IFERROR(AVERAGEIF('Task Tracker'!B:B,A138,'Task Tracker'!L:L),0))</f>
        <v/>
      </c>
      <c r="L138" s="8" t="n"/>
      <c r="M138" s="8" t="n"/>
      <c r="N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>
        <f>IF(A139="","",IFERROR(AVERAGEIF('Task Tracker'!B:B,A139,'Task Tracker'!L:L),0))</f>
        <v/>
      </c>
      <c r="L139" s="8" t="n"/>
      <c r="M139" s="8" t="n"/>
      <c r="N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>
        <f>IF(A140="","",IFERROR(AVERAGEIF('Task Tracker'!B:B,A140,'Task Tracker'!L:L),0))</f>
        <v/>
      </c>
      <c r="L140" s="8" t="n"/>
      <c r="M140" s="8" t="n"/>
      <c r="N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>
        <f>IF(A141="","",IFERROR(AVERAGEIF('Task Tracker'!B:B,A141,'Task Tracker'!L:L),0))</f>
        <v/>
      </c>
      <c r="L141" s="8" t="n"/>
      <c r="M141" s="8" t="n"/>
      <c r="N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>
        <f>IF(A142="","",IFERROR(AVERAGEIF('Task Tracker'!B:B,A142,'Task Tracker'!L:L),0))</f>
        <v/>
      </c>
      <c r="L142" s="8" t="n"/>
      <c r="M142" s="8" t="n"/>
      <c r="N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>
        <f>IF(A143="","",IFERROR(AVERAGEIF('Task Tracker'!B:B,A143,'Task Tracker'!L:L),0))</f>
        <v/>
      </c>
      <c r="L143" s="8" t="n"/>
      <c r="M143" s="8" t="n"/>
      <c r="N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>
        <f>IF(A144="","",IFERROR(AVERAGEIF('Task Tracker'!B:B,A144,'Task Tracker'!L:L),0))</f>
        <v/>
      </c>
      <c r="L144" s="8" t="n"/>
      <c r="M144" s="8" t="n"/>
      <c r="N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>
        <f>IF(A145="","",IFERROR(AVERAGEIF('Task Tracker'!B:B,A145,'Task Tracker'!L:L),0))</f>
        <v/>
      </c>
      <c r="L145" s="8" t="n"/>
      <c r="M145" s="8" t="n"/>
      <c r="N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>
        <f>IF(A146="","",IFERROR(AVERAGEIF('Task Tracker'!B:B,A146,'Task Tracker'!L:L),0))</f>
        <v/>
      </c>
      <c r="L146" s="8" t="n"/>
      <c r="M146" s="8" t="n"/>
      <c r="N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>
        <f>IF(A147="","",IFERROR(AVERAGEIF('Task Tracker'!B:B,A147,'Task Tracker'!L:L),0))</f>
        <v/>
      </c>
      <c r="L147" s="8" t="n"/>
      <c r="M147" s="8" t="n"/>
      <c r="N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>
        <f>IF(A148="","",IFERROR(AVERAGEIF('Task Tracker'!B:B,A148,'Task Tracker'!L:L),0))</f>
        <v/>
      </c>
      <c r="L148" s="8" t="n"/>
      <c r="M148" s="8" t="n"/>
      <c r="N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>
        <f>IF(A149="","",IFERROR(AVERAGEIF('Task Tracker'!B:B,A149,'Task Tracker'!L:L),0))</f>
        <v/>
      </c>
      <c r="L149" s="8" t="n"/>
      <c r="M149" s="8" t="n"/>
      <c r="N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>
        <f>IF(A150="","",IFERROR(AVERAGEIF('Task Tracker'!B:B,A150,'Task Tracker'!L:L),0))</f>
        <v/>
      </c>
      <c r="L150" s="8" t="n"/>
      <c r="M150" s="8" t="n"/>
      <c r="N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>
        <f>IF(A151="","",IFERROR(AVERAGEIF('Task Tracker'!B:B,A151,'Task Tracker'!L:L),0))</f>
        <v/>
      </c>
      <c r="L151" s="8" t="n"/>
      <c r="M151" s="8" t="n"/>
      <c r="N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>
        <f>IF(A152="","",IFERROR(AVERAGEIF('Task Tracker'!B:B,A152,'Task Tracker'!L:L),0))</f>
        <v/>
      </c>
      <c r="L152" s="8" t="n"/>
      <c r="M152" s="8" t="n"/>
      <c r="N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>
        <f>IF(A153="","",IFERROR(AVERAGEIF('Task Tracker'!B:B,A153,'Task Tracker'!L:L),0))</f>
        <v/>
      </c>
      <c r="L153" s="8" t="n"/>
      <c r="M153" s="8" t="n"/>
      <c r="N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>
        <f>IF(A154="","",IFERROR(AVERAGEIF('Task Tracker'!B:B,A154,'Task Tracker'!L:L),0))</f>
        <v/>
      </c>
      <c r="L154" s="8" t="n"/>
      <c r="M154" s="8" t="n"/>
      <c r="N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>
        <f>IF(A155="","",IFERROR(AVERAGEIF('Task Tracker'!B:B,A155,'Task Tracker'!L:L),0))</f>
        <v/>
      </c>
      <c r="L155" s="8" t="n"/>
      <c r="M155" s="8" t="n"/>
      <c r="N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>
        <f>IF(A156="","",IFERROR(AVERAGEIF('Task Tracker'!B:B,A156,'Task Tracker'!L:L),0))</f>
        <v/>
      </c>
      <c r="L156" s="8" t="n"/>
      <c r="M156" s="8" t="n"/>
      <c r="N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>
        <f>IF(A157="","",IFERROR(AVERAGEIF('Task Tracker'!B:B,A157,'Task Tracker'!L:L),0))</f>
        <v/>
      </c>
      <c r="L157" s="8" t="n"/>
      <c r="M157" s="8" t="n"/>
      <c r="N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>
        <f>IF(A158="","",IFERROR(AVERAGEIF('Task Tracker'!B:B,A158,'Task Tracker'!L:L),0))</f>
        <v/>
      </c>
      <c r="L158" s="8" t="n"/>
      <c r="M158" s="8" t="n"/>
      <c r="N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>
        <f>IF(A159="","",IFERROR(AVERAGEIF('Task Tracker'!B:B,A159,'Task Tracker'!L:L),0))</f>
        <v/>
      </c>
      <c r="L159" s="8" t="n"/>
      <c r="M159" s="8" t="n"/>
      <c r="N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>
        <f>IF(A160="","",IFERROR(AVERAGEIF('Task Tracker'!B:B,A160,'Task Tracker'!L:L),0))</f>
        <v/>
      </c>
      <c r="L160" s="8" t="n"/>
      <c r="M160" s="8" t="n"/>
      <c r="N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>
        <f>IF(A161="","",IFERROR(AVERAGEIF('Task Tracker'!B:B,A161,'Task Tracker'!L:L),0))</f>
        <v/>
      </c>
      <c r="L161" s="8" t="n"/>
      <c r="M161" s="8" t="n"/>
      <c r="N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>
        <f>IF(A162="","",IFERROR(AVERAGEIF('Task Tracker'!B:B,A162,'Task Tracker'!L:L),0))</f>
        <v/>
      </c>
      <c r="L162" s="8" t="n"/>
      <c r="M162" s="8" t="n"/>
      <c r="N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>
        <f>IF(A163="","",IFERROR(AVERAGEIF('Task Tracker'!B:B,A163,'Task Tracker'!L:L),0))</f>
        <v/>
      </c>
      <c r="L163" s="8" t="n"/>
      <c r="M163" s="8" t="n"/>
      <c r="N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>
        <f>IF(A164="","",IFERROR(AVERAGEIF('Task Tracker'!B:B,A164,'Task Tracker'!L:L),0))</f>
        <v/>
      </c>
      <c r="L164" s="8" t="n"/>
      <c r="M164" s="8" t="n"/>
      <c r="N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>
        <f>IF(A165="","",IFERROR(AVERAGEIF('Task Tracker'!B:B,A165,'Task Tracker'!L:L),0))</f>
        <v/>
      </c>
      <c r="L165" s="8" t="n"/>
      <c r="M165" s="8" t="n"/>
      <c r="N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>
        <f>IF(A166="","",IFERROR(AVERAGEIF('Task Tracker'!B:B,A166,'Task Tracker'!L:L),0))</f>
        <v/>
      </c>
      <c r="L166" s="8" t="n"/>
      <c r="M166" s="8" t="n"/>
      <c r="N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>
        <f>IF(A167="","",IFERROR(AVERAGEIF('Task Tracker'!B:B,A167,'Task Tracker'!L:L),0))</f>
        <v/>
      </c>
      <c r="L167" s="8" t="n"/>
      <c r="M167" s="8" t="n"/>
      <c r="N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>
        <f>IF(A168="","",IFERROR(AVERAGEIF('Task Tracker'!B:B,A168,'Task Tracker'!L:L),0))</f>
        <v/>
      </c>
      <c r="L168" s="8" t="n"/>
      <c r="M168" s="8" t="n"/>
      <c r="N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>
        <f>IF(A169="","",IFERROR(AVERAGEIF('Task Tracker'!B:B,A169,'Task Tracker'!L:L),0))</f>
        <v/>
      </c>
      <c r="L169" s="8" t="n"/>
      <c r="M169" s="8" t="n"/>
      <c r="N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>
        <f>IF(A170="","",IFERROR(AVERAGEIF('Task Tracker'!B:B,A170,'Task Tracker'!L:L),0))</f>
        <v/>
      </c>
      <c r="L170" s="8" t="n"/>
      <c r="M170" s="8" t="n"/>
      <c r="N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>
        <f>IF(A171="","",IFERROR(AVERAGEIF('Task Tracker'!B:B,A171,'Task Tracker'!L:L),0))</f>
        <v/>
      </c>
      <c r="L171" s="8" t="n"/>
      <c r="M171" s="8" t="n"/>
      <c r="N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>
        <f>IF(A172="","",IFERROR(AVERAGEIF('Task Tracker'!B:B,A172,'Task Tracker'!L:L),0))</f>
        <v/>
      </c>
      <c r="L172" s="8" t="n"/>
      <c r="M172" s="8" t="n"/>
      <c r="N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>
        <f>IF(A173="","",IFERROR(AVERAGEIF('Task Tracker'!B:B,A173,'Task Tracker'!L:L),0))</f>
        <v/>
      </c>
      <c r="L173" s="8" t="n"/>
      <c r="M173" s="8" t="n"/>
      <c r="N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>
        <f>IF(A174="","",IFERROR(AVERAGEIF('Task Tracker'!B:B,A174,'Task Tracker'!L:L),0))</f>
        <v/>
      </c>
      <c r="L174" s="8" t="n"/>
      <c r="M174" s="8" t="n"/>
      <c r="N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>
        <f>IF(A175="","",IFERROR(AVERAGEIF('Task Tracker'!B:B,A175,'Task Tracker'!L:L),0))</f>
        <v/>
      </c>
      <c r="L175" s="8" t="n"/>
      <c r="M175" s="8" t="n"/>
      <c r="N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>
        <f>IF(A176="","",IFERROR(AVERAGEIF('Task Tracker'!B:B,A176,'Task Tracker'!L:L),0))</f>
        <v/>
      </c>
      <c r="L176" s="8" t="n"/>
      <c r="M176" s="8" t="n"/>
      <c r="N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>
        <f>IF(A177="","",IFERROR(AVERAGEIF('Task Tracker'!B:B,A177,'Task Tracker'!L:L),0))</f>
        <v/>
      </c>
      <c r="L177" s="8" t="n"/>
      <c r="M177" s="8" t="n"/>
      <c r="N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>
        <f>IF(A178="","",IFERROR(AVERAGEIF('Task Tracker'!B:B,A178,'Task Tracker'!L:L),0))</f>
        <v/>
      </c>
      <c r="L178" s="8" t="n"/>
      <c r="M178" s="8" t="n"/>
      <c r="N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>
        <f>IF(A179="","",IFERROR(AVERAGEIF('Task Tracker'!B:B,A179,'Task Tracker'!L:L),0))</f>
        <v/>
      </c>
      <c r="L179" s="8" t="n"/>
      <c r="M179" s="8" t="n"/>
      <c r="N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>
        <f>IF(A180="","",IFERROR(AVERAGEIF('Task Tracker'!B:B,A180,'Task Tracker'!L:L),0))</f>
        <v/>
      </c>
      <c r="L180" s="8" t="n"/>
      <c r="M180" s="8" t="n"/>
      <c r="N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>
        <f>IF(A181="","",IFERROR(AVERAGEIF('Task Tracker'!B:B,A181,'Task Tracker'!L:L),0))</f>
        <v/>
      </c>
      <c r="L181" s="8" t="n"/>
      <c r="M181" s="8" t="n"/>
      <c r="N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>
        <f>IF(A182="","",IFERROR(AVERAGEIF('Task Tracker'!B:B,A182,'Task Tracker'!L:L),0))</f>
        <v/>
      </c>
      <c r="L182" s="8" t="n"/>
      <c r="M182" s="8" t="n"/>
      <c r="N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>
        <f>IF(A183="","",IFERROR(AVERAGEIF('Task Tracker'!B:B,A183,'Task Tracker'!L:L),0))</f>
        <v/>
      </c>
      <c r="L183" s="8" t="n"/>
      <c r="M183" s="8" t="n"/>
      <c r="N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>
        <f>IF(A184="","",IFERROR(AVERAGEIF('Task Tracker'!B:B,A184,'Task Tracker'!L:L),0))</f>
        <v/>
      </c>
      <c r="L184" s="8" t="n"/>
      <c r="M184" s="8" t="n"/>
      <c r="N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>
        <f>IF(A185="","",IFERROR(AVERAGEIF('Task Tracker'!B:B,A185,'Task Tracker'!L:L),0))</f>
        <v/>
      </c>
      <c r="L185" s="8" t="n"/>
      <c r="M185" s="8" t="n"/>
      <c r="N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>
        <f>IF(A186="","",IFERROR(AVERAGEIF('Task Tracker'!B:B,A186,'Task Tracker'!L:L),0))</f>
        <v/>
      </c>
      <c r="L186" s="8" t="n"/>
      <c r="M186" s="8" t="n"/>
      <c r="N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>
        <f>IF(A187="","",IFERROR(AVERAGEIF('Task Tracker'!B:B,A187,'Task Tracker'!L:L),0))</f>
        <v/>
      </c>
      <c r="L187" s="8" t="n"/>
      <c r="M187" s="8" t="n"/>
      <c r="N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>
        <f>IF(A188="","",IFERROR(AVERAGEIF('Task Tracker'!B:B,A188,'Task Tracker'!L:L),0))</f>
        <v/>
      </c>
      <c r="L188" s="8" t="n"/>
      <c r="M188" s="8" t="n"/>
      <c r="N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>
        <f>IF(A189="","",IFERROR(AVERAGEIF('Task Tracker'!B:B,A189,'Task Tracker'!L:L),0))</f>
        <v/>
      </c>
      <c r="L189" s="8" t="n"/>
      <c r="M189" s="8" t="n"/>
      <c r="N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>
        <f>IF(A190="","",IFERROR(AVERAGEIF('Task Tracker'!B:B,A190,'Task Tracker'!L:L),0))</f>
        <v/>
      </c>
      <c r="L190" s="8" t="n"/>
      <c r="M190" s="8" t="n"/>
      <c r="N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>
        <f>IF(A191="","",IFERROR(AVERAGEIF('Task Tracker'!B:B,A191,'Task Tracker'!L:L),0))</f>
        <v/>
      </c>
      <c r="L191" s="8" t="n"/>
      <c r="M191" s="8" t="n"/>
      <c r="N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>
        <f>IF(A192="","",IFERROR(AVERAGEIF('Task Tracker'!B:B,A192,'Task Tracker'!L:L),0))</f>
        <v/>
      </c>
      <c r="L192" s="8" t="n"/>
      <c r="M192" s="8" t="n"/>
      <c r="N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>
        <f>IF(A193="","",IFERROR(AVERAGEIF('Task Tracker'!B:B,A193,'Task Tracker'!L:L),0))</f>
        <v/>
      </c>
      <c r="L193" s="8" t="n"/>
      <c r="M193" s="8" t="n"/>
      <c r="N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>
        <f>IF(A194="","",IFERROR(AVERAGEIF('Task Tracker'!B:B,A194,'Task Tracker'!L:L),0))</f>
        <v/>
      </c>
      <c r="L194" s="8" t="n"/>
      <c r="M194" s="8" t="n"/>
      <c r="N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>
        <f>IF(A195="","",IFERROR(AVERAGEIF('Task Tracker'!B:B,A195,'Task Tracker'!L:L),0))</f>
        <v/>
      </c>
      <c r="L195" s="8" t="n"/>
      <c r="M195" s="8" t="n"/>
      <c r="N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>
        <f>IF(A196="","",IFERROR(AVERAGEIF('Task Tracker'!B:B,A196,'Task Tracker'!L:L),0))</f>
        <v/>
      </c>
      <c r="L196" s="8" t="n"/>
      <c r="M196" s="8" t="n"/>
      <c r="N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>
        <f>IF(A197="","",IFERROR(AVERAGEIF('Task Tracker'!B:B,A197,'Task Tracker'!L:L),0))</f>
        <v/>
      </c>
      <c r="L197" s="8" t="n"/>
      <c r="M197" s="8" t="n"/>
      <c r="N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>
        <f>IF(A198="","",IFERROR(AVERAGEIF('Task Tracker'!B:B,A198,'Task Tracker'!L:L),0))</f>
        <v/>
      </c>
      <c r="L198" s="8" t="n"/>
      <c r="M198" s="8" t="n"/>
      <c r="N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>
        <f>IF(A199="","",IFERROR(AVERAGEIF('Task Tracker'!B:B,A199,'Task Tracker'!L:L),0))</f>
        <v/>
      </c>
      <c r="L199" s="8" t="n"/>
      <c r="M199" s="8" t="n"/>
      <c r="N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>
        <f>IF(A200="","",IFERROR(AVERAGEIF('Task Tracker'!B:B,A200,'Task Tracker'!L:L),0))</f>
        <v/>
      </c>
      <c r="L200" s="8" t="n"/>
      <c r="M200" s="8" t="n"/>
      <c r="N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>
        <f>IF(A201="","",IFERROR(AVERAGEIF('Task Tracker'!B:B,A201,'Task Tracker'!L:L),0))</f>
        <v/>
      </c>
      <c r="L201" s="8" t="n"/>
      <c r="M201" s="8" t="n"/>
      <c r="N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>
        <f>IF(A202="","",IFERROR(AVERAGEIF('Task Tracker'!B:B,A202,'Task Tracker'!L:L),0))</f>
        <v/>
      </c>
      <c r="L202" s="8" t="n"/>
      <c r="M202" s="8" t="n"/>
      <c r="N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>
        <f>IF(A203="","",IFERROR(AVERAGEIF('Task Tracker'!B:B,A203,'Task Tracker'!L:L),0))</f>
        <v/>
      </c>
      <c r="L203" s="8" t="n"/>
      <c r="M203" s="8" t="n"/>
      <c r="N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>
        <f>IF(A204="","",IFERROR(AVERAGEIF('Task Tracker'!B:B,A204,'Task Tracker'!L:L),0))</f>
        <v/>
      </c>
      <c r="L204" s="8" t="n"/>
      <c r="M204" s="8" t="n"/>
      <c r="N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>
        <f>IF(A205="","",IFERROR(AVERAGEIF('Task Tracker'!B:B,A205,'Task Tracker'!L:L),0))</f>
        <v/>
      </c>
      <c r="L205" s="8" t="n"/>
      <c r="M205" s="8" t="n"/>
      <c r="N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>
        <f>IF(A206="","",IFERROR(AVERAGEIF('Task Tracker'!B:B,A206,'Task Tracker'!L:L),0))</f>
        <v/>
      </c>
      <c r="L206" s="8" t="n"/>
      <c r="M206" s="8" t="n"/>
      <c r="N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>
        <f>IF(A207="","",IFERROR(AVERAGEIF('Task Tracker'!B:B,A207,'Task Tracker'!L:L),0))</f>
        <v/>
      </c>
      <c r="L207" s="8" t="n"/>
      <c r="M207" s="8" t="n"/>
      <c r="N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>
        <f>IF(A208="","",IFERROR(AVERAGEIF('Task Tracker'!B:B,A208,'Task Tracker'!L:L),0))</f>
        <v/>
      </c>
      <c r="L208" s="8" t="n"/>
      <c r="M208" s="8" t="n"/>
      <c r="N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>
        <f>IF(A209="","",IFERROR(AVERAGEIF('Task Tracker'!B:B,A209,'Task Tracker'!L:L),0))</f>
        <v/>
      </c>
      <c r="L209" s="8" t="n"/>
      <c r="M209" s="8" t="n"/>
      <c r="N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>
        <f>IF(A210="","",IFERROR(AVERAGEIF('Task Tracker'!B:B,A210,'Task Tracker'!L:L),0))</f>
        <v/>
      </c>
      <c r="L210" s="8" t="n"/>
      <c r="M210" s="8" t="n"/>
      <c r="N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>
        <f>IF(A211="","",IFERROR(AVERAGEIF('Task Tracker'!B:B,A211,'Task Tracker'!L:L),0))</f>
        <v/>
      </c>
      <c r="L211" s="8" t="n"/>
      <c r="M211" s="8" t="n"/>
      <c r="N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>
        <f>IF(A212="","",IFERROR(AVERAGEIF('Task Tracker'!B:B,A212,'Task Tracker'!L:L),0))</f>
        <v/>
      </c>
      <c r="L212" s="8" t="n"/>
      <c r="M212" s="8" t="n"/>
      <c r="N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>
        <f>IF(A213="","",IFERROR(AVERAGEIF('Task Tracker'!B:B,A213,'Task Tracker'!L:L),0))</f>
        <v/>
      </c>
      <c r="L213" s="8" t="n"/>
      <c r="M213" s="8" t="n"/>
      <c r="N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>
        <f>IF(A214="","",IFERROR(AVERAGEIF('Task Tracker'!B:B,A214,'Task Tracker'!L:L),0))</f>
        <v/>
      </c>
      <c r="L214" s="8" t="n"/>
      <c r="M214" s="8" t="n"/>
      <c r="N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>
        <f>IF(A215="","",IFERROR(AVERAGEIF('Task Tracker'!B:B,A215,'Task Tracker'!L:L),0))</f>
        <v/>
      </c>
      <c r="L215" s="8" t="n"/>
      <c r="M215" s="8" t="n"/>
      <c r="N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>
        <f>IF(A216="","",IFERROR(AVERAGEIF('Task Tracker'!B:B,A216,'Task Tracker'!L:L),0))</f>
        <v/>
      </c>
      <c r="L216" s="8" t="n"/>
      <c r="M216" s="8" t="n"/>
      <c r="N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>
        <f>IF(A217="","",IFERROR(AVERAGEIF('Task Tracker'!B:B,A217,'Task Tracker'!L:L),0))</f>
        <v/>
      </c>
      <c r="L217" s="8" t="n"/>
      <c r="M217" s="8" t="n"/>
      <c r="N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>
        <f>IF(A218="","",IFERROR(AVERAGEIF('Task Tracker'!B:B,A218,'Task Tracker'!L:L),0))</f>
        <v/>
      </c>
      <c r="L218" s="8" t="n"/>
      <c r="M218" s="8" t="n"/>
      <c r="N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>
        <f>IF(A219="","",IFERROR(AVERAGEIF('Task Tracker'!B:B,A219,'Task Tracker'!L:L),0))</f>
        <v/>
      </c>
      <c r="L219" s="8" t="n"/>
      <c r="M219" s="8" t="n"/>
      <c r="N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>
        <f>IF(A220="","",IFERROR(AVERAGEIF('Task Tracker'!B:B,A220,'Task Tracker'!L:L),0))</f>
        <v/>
      </c>
      <c r="L220" s="8" t="n"/>
      <c r="M220" s="8" t="n"/>
      <c r="N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>
        <f>IF(A221="","",IFERROR(AVERAGEIF('Task Tracker'!B:B,A221,'Task Tracker'!L:L),0))</f>
        <v/>
      </c>
      <c r="L221" s="8" t="n"/>
      <c r="M221" s="8" t="n"/>
      <c r="N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>
        <f>IF(A222="","",IFERROR(AVERAGEIF('Task Tracker'!B:B,A222,'Task Tracker'!L:L),0))</f>
        <v/>
      </c>
      <c r="L222" s="8" t="n"/>
      <c r="M222" s="8" t="n"/>
      <c r="N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>
        <f>IF(A223="","",IFERROR(AVERAGEIF('Task Tracker'!B:B,A223,'Task Tracker'!L:L),0))</f>
        <v/>
      </c>
      <c r="L223" s="8" t="n"/>
      <c r="M223" s="8" t="n"/>
      <c r="N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>
        <f>IF(A224="","",IFERROR(AVERAGEIF('Task Tracker'!B:B,A224,'Task Tracker'!L:L),0))</f>
        <v/>
      </c>
      <c r="L224" s="8" t="n"/>
      <c r="M224" s="8" t="n"/>
      <c r="N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>
        <f>IF(A225="","",IFERROR(AVERAGEIF('Task Tracker'!B:B,A225,'Task Tracker'!L:L),0))</f>
        <v/>
      </c>
      <c r="L225" s="8" t="n"/>
      <c r="M225" s="8" t="n"/>
      <c r="N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>
        <f>IF(A226="","",IFERROR(AVERAGEIF('Task Tracker'!B:B,A226,'Task Tracker'!L:L),0))</f>
        <v/>
      </c>
      <c r="L226" s="8" t="n"/>
      <c r="M226" s="8" t="n"/>
      <c r="N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>
        <f>IF(A227="","",IFERROR(AVERAGEIF('Task Tracker'!B:B,A227,'Task Tracker'!L:L),0))</f>
        <v/>
      </c>
      <c r="L227" s="8" t="n"/>
      <c r="M227" s="8" t="n"/>
      <c r="N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>
        <f>IF(A228="","",IFERROR(AVERAGEIF('Task Tracker'!B:B,A228,'Task Tracker'!L:L),0))</f>
        <v/>
      </c>
      <c r="L228" s="8" t="n"/>
      <c r="M228" s="8" t="n"/>
      <c r="N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>
        <f>IF(A229="","",IFERROR(AVERAGEIF('Task Tracker'!B:B,A229,'Task Tracker'!L:L),0))</f>
        <v/>
      </c>
      <c r="L229" s="8" t="n"/>
      <c r="M229" s="8" t="n"/>
      <c r="N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>
        <f>IF(A230="","",IFERROR(AVERAGEIF('Task Tracker'!B:B,A230,'Task Tracker'!L:L),0))</f>
        <v/>
      </c>
      <c r="L230" s="8" t="n"/>
      <c r="M230" s="8" t="n"/>
      <c r="N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>
        <f>IF(A231="","",IFERROR(AVERAGEIF('Task Tracker'!B:B,A231,'Task Tracker'!L:L),0))</f>
        <v/>
      </c>
      <c r="L231" s="8" t="n"/>
      <c r="M231" s="8" t="n"/>
      <c r="N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>
        <f>IF(A232="","",IFERROR(AVERAGEIF('Task Tracker'!B:B,A232,'Task Tracker'!L:L),0))</f>
        <v/>
      </c>
      <c r="L232" s="8" t="n"/>
      <c r="M232" s="8" t="n"/>
      <c r="N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>
        <f>IF(A233="","",IFERROR(AVERAGEIF('Task Tracker'!B:B,A233,'Task Tracker'!L:L),0))</f>
        <v/>
      </c>
      <c r="L233" s="8" t="n"/>
      <c r="M233" s="8" t="n"/>
      <c r="N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>
        <f>IF(A234="","",IFERROR(AVERAGEIF('Task Tracker'!B:B,A234,'Task Tracker'!L:L),0))</f>
        <v/>
      </c>
      <c r="L234" s="8" t="n"/>
      <c r="M234" s="8" t="n"/>
      <c r="N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>
        <f>IF(A235="","",IFERROR(AVERAGEIF('Task Tracker'!B:B,A235,'Task Tracker'!L:L),0))</f>
        <v/>
      </c>
      <c r="L235" s="8" t="n"/>
      <c r="M235" s="8" t="n"/>
      <c r="N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>
        <f>IF(A236="","",IFERROR(AVERAGEIF('Task Tracker'!B:B,A236,'Task Tracker'!L:L),0))</f>
        <v/>
      </c>
      <c r="L236" s="8" t="n"/>
      <c r="M236" s="8" t="n"/>
      <c r="N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>
        <f>IF(A237="","",IFERROR(AVERAGEIF('Task Tracker'!B:B,A237,'Task Tracker'!L:L),0))</f>
        <v/>
      </c>
      <c r="L237" s="8" t="n"/>
      <c r="M237" s="8" t="n"/>
      <c r="N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>
        <f>IF(A238="","",IFERROR(AVERAGEIF('Task Tracker'!B:B,A238,'Task Tracker'!L:L),0))</f>
        <v/>
      </c>
      <c r="L238" s="8" t="n"/>
      <c r="M238" s="8" t="n"/>
      <c r="N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>
        <f>IF(A239="","",IFERROR(AVERAGEIF('Task Tracker'!B:B,A239,'Task Tracker'!L:L),0))</f>
        <v/>
      </c>
      <c r="L239" s="8" t="n"/>
      <c r="M239" s="8" t="n"/>
      <c r="N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>
        <f>IF(A240="","",IFERROR(AVERAGEIF('Task Tracker'!B:B,A240,'Task Tracker'!L:L),0))</f>
        <v/>
      </c>
      <c r="L240" s="8" t="n"/>
      <c r="M240" s="8" t="n"/>
      <c r="N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>
        <f>IF(A241="","",IFERROR(AVERAGEIF('Task Tracker'!B:B,A241,'Task Tracker'!L:L),0))</f>
        <v/>
      </c>
      <c r="L241" s="8" t="n"/>
      <c r="M241" s="8" t="n"/>
      <c r="N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>
        <f>IF(A242="","",IFERROR(AVERAGEIF('Task Tracker'!B:B,A242,'Task Tracker'!L:L),0))</f>
        <v/>
      </c>
      <c r="L242" s="8" t="n"/>
      <c r="M242" s="8" t="n"/>
      <c r="N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>
        <f>IF(A243="","",IFERROR(AVERAGEIF('Task Tracker'!B:B,A243,'Task Tracker'!L:L),0))</f>
        <v/>
      </c>
      <c r="L243" s="8" t="n"/>
      <c r="M243" s="8" t="n"/>
      <c r="N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>
        <f>IF(A244="","",IFERROR(AVERAGEIF('Task Tracker'!B:B,A244,'Task Tracker'!L:L),0))</f>
        <v/>
      </c>
      <c r="L244" s="8" t="n"/>
      <c r="M244" s="8" t="n"/>
      <c r="N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>
        <f>IF(A245="","",IFERROR(AVERAGEIF('Task Tracker'!B:B,A245,'Task Tracker'!L:L),0))</f>
        <v/>
      </c>
      <c r="L245" s="8" t="n"/>
      <c r="M245" s="8" t="n"/>
      <c r="N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>
        <f>IF(A246="","",IFERROR(AVERAGEIF('Task Tracker'!B:B,A246,'Task Tracker'!L:L),0))</f>
        <v/>
      </c>
      <c r="L246" s="8" t="n"/>
      <c r="M246" s="8" t="n"/>
      <c r="N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>
        <f>IF(A247="","",IFERROR(AVERAGEIF('Task Tracker'!B:B,A247,'Task Tracker'!L:L),0))</f>
        <v/>
      </c>
      <c r="L247" s="8" t="n"/>
      <c r="M247" s="8" t="n"/>
      <c r="N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>
        <f>IF(A248="","",IFERROR(AVERAGEIF('Task Tracker'!B:B,A248,'Task Tracker'!L:L),0))</f>
        <v/>
      </c>
      <c r="L248" s="8" t="n"/>
      <c r="M248" s="8" t="n"/>
      <c r="N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>
        <f>IF(A249="","",IFERROR(AVERAGEIF('Task Tracker'!B:B,A249,'Task Tracker'!L:L),0))</f>
        <v/>
      </c>
      <c r="L249" s="8" t="n"/>
      <c r="M249" s="8" t="n"/>
      <c r="N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>
        <f>IF(A250="","",IFERROR(AVERAGEIF('Task Tracker'!B:B,A250,'Task Tracker'!L:L),0))</f>
        <v/>
      </c>
      <c r="L250" s="8" t="n"/>
      <c r="M250" s="8" t="n"/>
      <c r="N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>
        <f>IF(A251="","",IFERROR(AVERAGEIF('Task Tracker'!B:B,A251,'Task Tracker'!L:L),0))</f>
        <v/>
      </c>
      <c r="L251" s="8" t="n"/>
      <c r="M251" s="8" t="n"/>
      <c r="N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>
        <f>IF(A252="","",IFERROR(AVERAGEIF('Task Tracker'!B:B,A252,'Task Tracker'!L:L),0))</f>
        <v/>
      </c>
      <c r="L252" s="8" t="n"/>
      <c r="M252" s="8" t="n"/>
      <c r="N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>
        <f>IF(A253="","",IFERROR(AVERAGEIF('Task Tracker'!B:B,A253,'Task Tracker'!L:L),0))</f>
        <v/>
      </c>
      <c r="L253" s="8" t="n"/>
      <c r="M253" s="8" t="n"/>
      <c r="N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>
        <f>IF(A254="","",IFERROR(AVERAGEIF('Task Tracker'!B:B,A254,'Task Tracker'!L:L),0))</f>
        <v/>
      </c>
      <c r="L254" s="8" t="n"/>
      <c r="M254" s="8" t="n"/>
      <c r="N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>
        <f>IF(A255="","",IFERROR(AVERAGEIF('Task Tracker'!B:B,A255,'Task Tracker'!L:L),0))</f>
        <v/>
      </c>
      <c r="L255" s="8" t="n"/>
      <c r="M255" s="8" t="n"/>
      <c r="N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>
        <f>IF(A256="","",IFERROR(AVERAGEIF('Task Tracker'!B:B,A256,'Task Tracker'!L:L),0))</f>
        <v/>
      </c>
      <c r="L256" s="8" t="n"/>
      <c r="M256" s="8" t="n"/>
      <c r="N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>
        <f>IF(A257="","",IFERROR(AVERAGEIF('Task Tracker'!B:B,A257,'Task Tracker'!L:L),0))</f>
        <v/>
      </c>
      <c r="L257" s="8" t="n"/>
      <c r="M257" s="8" t="n"/>
      <c r="N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>
        <f>IF(A258="","",IFERROR(AVERAGEIF('Task Tracker'!B:B,A258,'Task Tracker'!L:L),0))</f>
        <v/>
      </c>
      <c r="L258" s="8" t="n"/>
      <c r="M258" s="8" t="n"/>
      <c r="N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>
        <f>IF(A259="","",IFERROR(AVERAGEIF('Task Tracker'!B:B,A259,'Task Tracker'!L:L),0))</f>
        <v/>
      </c>
      <c r="L259" s="8" t="n"/>
      <c r="M259" s="8" t="n"/>
      <c r="N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>
        <f>IF(A260="","",IFERROR(AVERAGEIF('Task Tracker'!B:B,A260,'Task Tracker'!L:L),0))</f>
        <v/>
      </c>
      <c r="L260" s="8" t="n"/>
      <c r="M260" s="8" t="n"/>
      <c r="N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>
        <f>IF(A261="","",IFERROR(AVERAGEIF('Task Tracker'!B:B,A261,'Task Tracker'!L:L),0))</f>
        <v/>
      </c>
      <c r="L261" s="8" t="n"/>
      <c r="M261" s="8" t="n"/>
      <c r="N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>
        <f>IF(A262="","",IFERROR(AVERAGEIF('Task Tracker'!B:B,A262,'Task Tracker'!L:L),0))</f>
        <v/>
      </c>
      <c r="L262" s="8" t="n"/>
      <c r="M262" s="8" t="n"/>
      <c r="N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>
        <f>IF(A263="","",IFERROR(AVERAGEIF('Task Tracker'!B:B,A263,'Task Tracker'!L:L),0))</f>
        <v/>
      </c>
      <c r="L263" s="8" t="n"/>
      <c r="M263" s="8" t="n"/>
      <c r="N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>
        <f>IF(A264="","",IFERROR(AVERAGEIF('Task Tracker'!B:B,A264,'Task Tracker'!L:L),0))</f>
        <v/>
      </c>
      <c r="L264" s="8" t="n"/>
      <c r="M264" s="8" t="n"/>
      <c r="N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>
        <f>IF(A265="","",IFERROR(AVERAGEIF('Task Tracker'!B:B,A265,'Task Tracker'!L:L),0))</f>
        <v/>
      </c>
      <c r="L265" s="8" t="n"/>
      <c r="M265" s="8" t="n"/>
      <c r="N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>
        <f>IF(A266="","",IFERROR(AVERAGEIF('Task Tracker'!B:B,A266,'Task Tracker'!L:L),0))</f>
        <v/>
      </c>
      <c r="L266" s="8" t="n"/>
      <c r="M266" s="8" t="n"/>
      <c r="N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>
        <f>IF(A267="","",IFERROR(AVERAGEIF('Task Tracker'!B:B,A267,'Task Tracker'!L:L),0))</f>
        <v/>
      </c>
      <c r="L267" s="8" t="n"/>
      <c r="M267" s="8" t="n"/>
      <c r="N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>
        <f>IF(A268="","",IFERROR(AVERAGEIF('Task Tracker'!B:B,A268,'Task Tracker'!L:L),0))</f>
        <v/>
      </c>
      <c r="L268" s="8" t="n"/>
      <c r="M268" s="8" t="n"/>
      <c r="N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>
        <f>IF(A269="","",IFERROR(AVERAGEIF('Task Tracker'!B:B,A269,'Task Tracker'!L:L),0))</f>
        <v/>
      </c>
      <c r="L269" s="8" t="n"/>
      <c r="M269" s="8" t="n"/>
      <c r="N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>
        <f>IF(A270="","",IFERROR(AVERAGEIF('Task Tracker'!B:B,A270,'Task Tracker'!L:L),0))</f>
        <v/>
      </c>
      <c r="L270" s="8" t="n"/>
      <c r="M270" s="8" t="n"/>
      <c r="N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>
        <f>IF(A271="","",IFERROR(AVERAGEIF('Task Tracker'!B:B,A271,'Task Tracker'!L:L),0))</f>
        <v/>
      </c>
      <c r="L271" s="8" t="n"/>
      <c r="M271" s="8" t="n"/>
      <c r="N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>
        <f>IF(A272="","",IFERROR(AVERAGEIF('Task Tracker'!B:B,A272,'Task Tracker'!L:L),0))</f>
        <v/>
      </c>
      <c r="L272" s="8" t="n"/>
      <c r="M272" s="8" t="n"/>
      <c r="N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>
        <f>IF(A273="","",IFERROR(AVERAGEIF('Task Tracker'!B:B,A273,'Task Tracker'!L:L),0))</f>
        <v/>
      </c>
      <c r="L273" s="8" t="n"/>
      <c r="M273" s="8" t="n"/>
      <c r="N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>
        <f>IF(A274="","",IFERROR(AVERAGEIF('Task Tracker'!B:B,A274,'Task Tracker'!L:L),0))</f>
        <v/>
      </c>
      <c r="L274" s="8" t="n"/>
      <c r="M274" s="8" t="n"/>
      <c r="N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>
        <f>IF(A275="","",IFERROR(AVERAGEIF('Task Tracker'!B:B,A275,'Task Tracker'!L:L),0))</f>
        <v/>
      </c>
      <c r="L275" s="8" t="n"/>
      <c r="M275" s="8" t="n"/>
      <c r="N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>
        <f>IF(A276="","",IFERROR(AVERAGEIF('Task Tracker'!B:B,A276,'Task Tracker'!L:L),0))</f>
        <v/>
      </c>
      <c r="L276" s="8" t="n"/>
      <c r="M276" s="8" t="n"/>
      <c r="N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>
        <f>IF(A277="","",IFERROR(AVERAGEIF('Task Tracker'!B:B,A277,'Task Tracker'!L:L),0))</f>
        <v/>
      </c>
      <c r="L277" s="8" t="n"/>
      <c r="M277" s="8" t="n"/>
      <c r="N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>
        <f>IF(A278="","",IFERROR(AVERAGEIF('Task Tracker'!B:B,A278,'Task Tracker'!L:L),0))</f>
        <v/>
      </c>
      <c r="L278" s="8" t="n"/>
      <c r="M278" s="8" t="n"/>
      <c r="N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>
        <f>IF(A279="","",IFERROR(AVERAGEIF('Task Tracker'!B:B,A279,'Task Tracker'!L:L),0))</f>
        <v/>
      </c>
      <c r="L279" s="8" t="n"/>
      <c r="M279" s="8" t="n"/>
      <c r="N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>
        <f>IF(A280="","",IFERROR(AVERAGEIF('Task Tracker'!B:B,A280,'Task Tracker'!L:L),0))</f>
        <v/>
      </c>
      <c r="L280" s="8" t="n"/>
      <c r="M280" s="8" t="n"/>
      <c r="N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>
        <f>IF(A281="","",IFERROR(AVERAGEIF('Task Tracker'!B:B,A281,'Task Tracker'!L:L),0))</f>
        <v/>
      </c>
      <c r="L281" s="8" t="n"/>
      <c r="M281" s="8" t="n"/>
      <c r="N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>
        <f>IF(A282="","",IFERROR(AVERAGEIF('Task Tracker'!B:B,A282,'Task Tracker'!L:L),0))</f>
        <v/>
      </c>
      <c r="L282" s="8" t="n"/>
      <c r="M282" s="8" t="n"/>
      <c r="N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>
        <f>IF(A283="","",IFERROR(AVERAGEIF('Task Tracker'!B:B,A283,'Task Tracker'!L:L),0))</f>
        <v/>
      </c>
      <c r="L283" s="8" t="n"/>
      <c r="M283" s="8" t="n"/>
      <c r="N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>
        <f>IF(A284="","",IFERROR(AVERAGEIF('Task Tracker'!B:B,A284,'Task Tracker'!L:L),0))</f>
        <v/>
      </c>
      <c r="L284" s="8" t="n"/>
      <c r="M284" s="8" t="n"/>
      <c r="N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>
        <f>IF(A285="","",IFERROR(AVERAGEIF('Task Tracker'!B:B,A285,'Task Tracker'!L:L),0))</f>
        <v/>
      </c>
      <c r="L285" s="8" t="n"/>
      <c r="M285" s="8" t="n"/>
      <c r="N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>
        <f>IF(A286="","",IFERROR(AVERAGEIF('Task Tracker'!B:B,A286,'Task Tracker'!L:L),0))</f>
        <v/>
      </c>
      <c r="L286" s="8" t="n"/>
      <c r="M286" s="8" t="n"/>
      <c r="N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>
        <f>IF(A287="","",IFERROR(AVERAGEIF('Task Tracker'!B:B,A287,'Task Tracker'!L:L),0))</f>
        <v/>
      </c>
      <c r="L287" s="8" t="n"/>
      <c r="M287" s="8" t="n"/>
      <c r="N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>
        <f>IF(A288="","",IFERROR(AVERAGEIF('Task Tracker'!B:B,A288,'Task Tracker'!L:L),0))</f>
        <v/>
      </c>
      <c r="L288" s="8" t="n"/>
      <c r="M288" s="8" t="n"/>
      <c r="N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>
        <f>IF(A289="","",IFERROR(AVERAGEIF('Task Tracker'!B:B,A289,'Task Tracker'!L:L),0))</f>
        <v/>
      </c>
      <c r="L289" s="8" t="n"/>
      <c r="M289" s="8" t="n"/>
      <c r="N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>
        <f>IF(A290="","",IFERROR(AVERAGEIF('Task Tracker'!B:B,A290,'Task Tracker'!L:L),0))</f>
        <v/>
      </c>
      <c r="L290" s="8" t="n"/>
      <c r="M290" s="8" t="n"/>
      <c r="N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>
        <f>IF(A291="","",IFERROR(AVERAGEIF('Task Tracker'!B:B,A291,'Task Tracker'!L:L),0))</f>
        <v/>
      </c>
      <c r="L291" s="8" t="n"/>
      <c r="M291" s="8" t="n"/>
      <c r="N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>
        <f>IF(A292="","",IFERROR(AVERAGEIF('Task Tracker'!B:B,A292,'Task Tracker'!L:L),0))</f>
        <v/>
      </c>
      <c r="L292" s="8" t="n"/>
      <c r="M292" s="8" t="n"/>
      <c r="N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>
        <f>IF(A293="","",IFERROR(AVERAGEIF('Task Tracker'!B:B,A293,'Task Tracker'!L:L),0))</f>
        <v/>
      </c>
      <c r="L293" s="8" t="n"/>
      <c r="M293" s="8" t="n"/>
      <c r="N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>
        <f>IF(A294="","",IFERROR(AVERAGEIF('Task Tracker'!B:B,A294,'Task Tracker'!L:L),0))</f>
        <v/>
      </c>
      <c r="L294" s="8" t="n"/>
      <c r="M294" s="8" t="n"/>
      <c r="N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>
        <f>IF(A295="","",IFERROR(AVERAGEIF('Task Tracker'!B:B,A295,'Task Tracker'!L:L),0))</f>
        <v/>
      </c>
      <c r="L295" s="8" t="n"/>
      <c r="M295" s="8" t="n"/>
      <c r="N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>
        <f>IF(A296="","",IFERROR(AVERAGEIF('Task Tracker'!B:B,A296,'Task Tracker'!L:L),0))</f>
        <v/>
      </c>
      <c r="L296" s="8" t="n"/>
      <c r="M296" s="8" t="n"/>
      <c r="N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>
        <f>IF(A297="","",IFERROR(AVERAGEIF('Task Tracker'!B:B,A297,'Task Tracker'!L:L),0))</f>
        <v/>
      </c>
      <c r="L297" s="8" t="n"/>
      <c r="M297" s="8" t="n"/>
      <c r="N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>
        <f>IF(A298="","",IFERROR(AVERAGEIF('Task Tracker'!B:B,A298,'Task Tracker'!L:L),0))</f>
        <v/>
      </c>
      <c r="L298" s="8" t="n"/>
      <c r="M298" s="8" t="n"/>
      <c r="N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>
        <f>IF(A299="","",IFERROR(AVERAGEIF('Task Tracker'!B:B,A299,'Task Tracker'!L:L),0))</f>
        <v/>
      </c>
      <c r="L299" s="8" t="n"/>
      <c r="M299" s="8" t="n"/>
      <c r="N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>
        <f>IF(A300="","",IFERROR(AVERAGEIF('Task Tracker'!B:B,A300,'Task Tracker'!L:L),0))</f>
        <v/>
      </c>
      <c r="L300" s="8" t="n"/>
      <c r="M300" s="8" t="n"/>
      <c r="N300" s="8" t="n"/>
    </row>
  </sheetData>
  <autoFilter ref="A1:N300"/>
  <conditionalFormatting sqref="A2:N300">
    <cfRule type="expression" priority="1" dxfId="2">
      <formula>$I2="Completed"</formula>
    </cfRule>
    <cfRule type="expression" priority="2" dxfId="1">
      <formula>OR($I2="Delayed",$I2="Blocked",$I2="Open")</formula>
    </cfRule>
    <cfRule type="expression" priority="3" dxfId="3">
      <formula>OR($I2="At Risk",$I2="In Progress")</formula>
    </cfRule>
  </conditionalFormatting>
  <dataValidations count="6">
    <dataValidation sqref="A2:A300" showDropDown="0" showInputMessage="0" showErrorMessage="1" allowBlank="1" errorTitle="Invalid selection" error="Select from the dropdown list." type="list">
      <formula1>"PRJ-001,PRJ-002,PRJ-003,PRJ-004"</formula1>
    </dataValidation>
    <dataValidation sqref="D2:D300" showDropDown="0" showInputMessage="0" showErrorMessage="1" allowBlank="1" errorTitle="Invalid selection" error="Select from the dropdown list." type="list">
      <formula1>"Priya Nair,Arjun Patel,Leena Das,Nikhil Verma,Imran Ali,Riya Sen,Sara Thomas,Ananya Rao,Rohit Menon,Meera Iyer,Vikram Shah"</formula1>
    </dataValidation>
    <dataValidation sqref="I2:I300" showDropDown="0" showInputMessage="0" showErrorMessage="1" allowBlank="1" errorTitle="Invalid selection" error="Select from the dropdown list." type="list">
      <formula1>"Not Started,Active,On Hold,Completed,Delayed,Cancelled"</formula1>
    </dataValidation>
    <dataValidation sqref="J2:J300" showDropDown="0" showInputMessage="0" showErrorMessage="1" allowBlank="1" errorTitle="Invalid selection" error="Select from the dropdown list." type="list">
      <formula1>"Low,Medium,High,Critical"</formula1>
    </dataValidation>
    <dataValidation sqref="L2:L300" showDropDown="0" showInputMessage="0" showErrorMessage="1" allowBlank="1" errorTitle="Invalid selection" error="Select from the dropdown list." type="list">
      <formula1>"Initiation,Requirements,Design,Development,Testing,UAT,Deployment,Hypercare,Closed"</formula1>
    </dataValidation>
    <dataValidation sqref="M2:M300" showDropDown="0" showInputMessage="0" showErrorMessage="1" allowBlank="1" errorTitle="Invalid selection" error="Select from the dropdown list.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4" customWidth="1" min="4" max="4"/>
    <col width="15" customWidth="1" min="5" max="5"/>
    <col width="14" customWidth="1" min="6" max="6"/>
    <col width="13" customWidth="1" min="7" max="7"/>
    <col width="25" customWidth="1" min="8" max="8"/>
    <col width="13" customWidth="1" min="9" max="9"/>
    <col width="13" customWidth="1" min="10" max="10"/>
    <col width="14" customWidth="1" min="11" max="11"/>
    <col width="16" customWidth="1" min="12" max="12"/>
    <col width="14" customWidth="1" min="13" max="13"/>
    <col width="34" customWidth="1" min="14" max="14"/>
  </cols>
  <sheetData>
    <row r="1">
      <c r="A1" s="6" t="inlineStr">
        <is>
          <t>Task ID</t>
        </is>
      </c>
      <c r="B1" s="6" t="inlineStr">
        <is>
          <t>Project ID</t>
        </is>
      </c>
      <c r="C1" s="6" t="inlineStr">
        <is>
          <t>Module Name</t>
        </is>
      </c>
      <c r="D1" s="6" t="inlineStr">
        <is>
          <t>Task Description</t>
        </is>
      </c>
      <c r="E1" s="6" t="inlineStr">
        <is>
          <t>Assigned To</t>
        </is>
      </c>
      <c r="F1" s="6" t="inlineStr">
        <is>
          <t>Start Date</t>
        </is>
      </c>
      <c r="G1" s="6" t="inlineStr">
        <is>
          <t>Due Date</t>
        </is>
      </c>
      <c r="H1" s="6" t="inlineStr">
        <is>
          <t>Actual Completion Date</t>
        </is>
      </c>
      <c r="I1" s="6" t="inlineStr">
        <is>
          <t>Status</t>
        </is>
      </c>
      <c r="J1" s="6" t="inlineStr">
        <is>
          <t>Priority</t>
        </is>
      </c>
      <c r="K1" s="6" t="inlineStr">
        <is>
          <t>Dependency</t>
        </is>
      </c>
      <c r="L1" s="6" t="inlineStr">
        <is>
          <t>Completion %</t>
        </is>
      </c>
      <c r="M1" s="6" t="inlineStr">
        <is>
          <t>Delay Days</t>
        </is>
      </c>
      <c r="N1" s="6" t="inlineStr">
        <is>
          <t>Remarks</t>
        </is>
      </c>
    </row>
    <row r="2">
      <c r="A2" s="8" t="inlineStr">
        <is>
          <t>TSK-001</t>
        </is>
      </c>
      <c r="B2" s="8" t="inlineStr">
        <is>
          <t>PRJ-001</t>
        </is>
      </c>
      <c r="C2" s="8" t="inlineStr">
        <is>
          <t>Login</t>
        </is>
      </c>
      <c r="D2" s="8" t="inlineStr">
        <is>
          <t>Implement biometric login</t>
        </is>
      </c>
      <c r="E2" s="8" t="inlineStr">
        <is>
          <t>Priya Nair</t>
        </is>
      </c>
      <c r="F2" s="9" t="n">
        <v>46042</v>
      </c>
      <c r="G2" s="9" t="n">
        <v>46091</v>
      </c>
      <c r="H2" s="9" t="n">
        <v>46089</v>
      </c>
      <c r="I2" s="8" t="inlineStr">
        <is>
          <t>Completed</t>
        </is>
      </c>
      <c r="J2" s="8" t="inlineStr">
        <is>
          <t>High</t>
        </is>
      </c>
      <c r="K2" s="8" t="inlineStr"/>
      <c r="L2" s="10" t="n">
        <v>1</v>
      </c>
      <c r="M2" s="8">
        <f>IF(G2="","",MAX(0,IF(H2&lt;&gt;"",H2-G2,IF(I2="Completed",0,TODAY()-G2))))</f>
        <v/>
      </c>
      <c r="N2" s="8" t="inlineStr">
        <is>
          <t>Released</t>
        </is>
      </c>
    </row>
    <row r="3">
      <c r="A3" s="8" t="inlineStr">
        <is>
          <t>TSK-002</t>
        </is>
      </c>
      <c r="B3" s="8" t="inlineStr">
        <is>
          <t>PRJ-001</t>
        </is>
      </c>
      <c r="C3" s="8" t="inlineStr">
        <is>
          <t>Payments</t>
        </is>
      </c>
      <c r="D3" s="8" t="inlineStr">
        <is>
          <t>UPI limit enhancement</t>
        </is>
      </c>
      <c r="E3" s="8" t="inlineStr">
        <is>
          <t>Arjun Patel</t>
        </is>
      </c>
      <c r="F3" s="9" t="n">
        <v>46096</v>
      </c>
      <c r="G3" s="9" t="n">
        <v>46172</v>
      </c>
      <c r="H3" s="9" t="inlineStr"/>
      <c r="I3" s="8" t="inlineStr">
        <is>
          <t>In Progress</t>
        </is>
      </c>
      <c r="J3" s="8" t="inlineStr">
        <is>
          <t>High</t>
        </is>
      </c>
      <c r="K3" s="8" t="inlineStr">
        <is>
          <t>TSK-001</t>
        </is>
      </c>
      <c r="L3" s="10" t="n">
        <v>0.78</v>
      </c>
      <c r="M3" s="8">
        <f>IF(G3="","",MAX(0,IF(H3&lt;&gt;"",H3-G3,IF(I3="Completed",0,TODAY()-G3))))</f>
        <v/>
      </c>
      <c r="N3" s="8" t="inlineStr">
        <is>
          <t>Awaiting review</t>
        </is>
      </c>
    </row>
    <row r="4">
      <c r="A4" s="8" t="inlineStr">
        <is>
          <t>TSK-003</t>
        </is>
      </c>
      <c r="B4" s="8" t="inlineStr">
        <is>
          <t>PRJ-002</t>
        </is>
      </c>
      <c r="C4" s="8" t="inlineStr">
        <is>
          <t>Workflow</t>
        </is>
      </c>
      <c r="D4" s="8" t="inlineStr">
        <is>
          <t>Credit approval rules engine</t>
        </is>
      </c>
      <c r="E4" s="8" t="inlineStr">
        <is>
          <t>Leena Das</t>
        </is>
      </c>
      <c r="F4" s="9" t="n">
        <v>46068</v>
      </c>
      <c r="G4" s="9" t="n">
        <v>46178</v>
      </c>
      <c r="H4" s="9" t="inlineStr"/>
      <c r="I4" s="8" t="inlineStr">
        <is>
          <t>Delayed</t>
        </is>
      </c>
      <c r="J4" s="8" t="inlineStr">
        <is>
          <t>Critical</t>
        </is>
      </c>
      <c r="K4" s="8" t="inlineStr"/>
      <c r="L4" s="10" t="n">
        <v>0.64</v>
      </c>
      <c r="M4" s="8">
        <f>IF(G4="","",MAX(0,IF(H4&lt;&gt;"",H4-G4,IF(I4="Completed",0,TODAY()-G4))))</f>
        <v/>
      </c>
      <c r="N4" s="8" t="inlineStr">
        <is>
          <t>Slow migration</t>
        </is>
      </c>
    </row>
    <row r="5">
      <c r="A5" s="8" t="inlineStr">
        <is>
          <t>TSK-004</t>
        </is>
      </c>
      <c r="B5" s="8" t="inlineStr">
        <is>
          <t>PRJ-004</t>
        </is>
      </c>
      <c r="C5" s="8" t="inlineStr">
        <is>
          <t>Onboarding</t>
        </is>
      </c>
      <c r="D5" s="8" t="inlineStr">
        <is>
          <t>KYC OCR validation</t>
        </is>
      </c>
      <c r="E5" s="8" t="inlineStr">
        <is>
          <t>Imran Ali</t>
        </is>
      </c>
      <c r="F5" s="9" t="n">
        <v>46113</v>
      </c>
      <c r="G5" s="9" t="n">
        <v>46167</v>
      </c>
      <c r="H5" s="9" t="inlineStr"/>
      <c r="I5" s="8" t="inlineStr">
        <is>
          <t>Delayed</t>
        </is>
      </c>
      <c r="J5" s="8" t="inlineStr">
        <is>
          <t>High</t>
        </is>
      </c>
      <c r="K5" s="8" t="inlineStr"/>
      <c r="L5" s="10" t="n">
        <v>0.7</v>
      </c>
      <c r="M5" s="8">
        <f>IF(G5="","",MAX(0,IF(H5&lt;&gt;"",H5-G5,IF(I5="Completed",0,TODAY()-G5))))</f>
        <v/>
      </c>
      <c r="N5" s="8" t="inlineStr">
        <is>
          <t>Accuracy issue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>
        <f>IF(G6="","",MAX(0,IF(H6&lt;&gt;"",H6-G6,IF(I6="Completed",0,TODAY()-G6))))</f>
        <v/>
      </c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>
        <f>IF(G7="","",MAX(0,IF(H7&lt;&gt;"",H7-G7,IF(I7="Completed",0,TODAY()-G7))))</f>
        <v/>
      </c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>
        <f>IF(G8="","",MAX(0,IF(H8&lt;&gt;"",H8-G8,IF(I8="Completed",0,TODAY()-G8))))</f>
        <v/>
      </c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>
        <f>IF(G9="","",MAX(0,IF(H9&lt;&gt;"",H9-G9,IF(I9="Completed",0,TODAY()-G9))))</f>
        <v/>
      </c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>
        <f>IF(G10="","",MAX(0,IF(H10&lt;&gt;"",H10-G10,IF(I10="Completed",0,TODAY()-G10))))</f>
        <v/>
      </c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>
        <f>IF(G11="","",MAX(0,IF(H11&lt;&gt;"",H11-G11,IF(I11="Completed",0,TODAY()-G11))))</f>
        <v/>
      </c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>
        <f>IF(G12="","",MAX(0,IF(H12&lt;&gt;"",H12-G12,IF(I12="Completed",0,TODAY()-G12))))</f>
        <v/>
      </c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>
        <f>IF(G13="","",MAX(0,IF(H13&lt;&gt;"",H13-G13,IF(I13="Completed",0,TODAY()-G13))))</f>
        <v/>
      </c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>
        <f>IF(G14="","",MAX(0,IF(H14&lt;&gt;"",H14-G14,IF(I14="Completed",0,TODAY()-G14))))</f>
        <v/>
      </c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>
        <f>IF(G15="","",MAX(0,IF(H15&lt;&gt;"",H15-G15,IF(I15="Completed",0,TODAY()-G15))))</f>
        <v/>
      </c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>
        <f>IF(G16="","",MAX(0,IF(H16&lt;&gt;"",H16-G16,IF(I16="Completed",0,TODAY()-G16))))</f>
        <v/>
      </c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>
        <f>IF(G17="","",MAX(0,IF(H17&lt;&gt;"",H17-G17,IF(I17="Completed",0,TODAY()-G17))))</f>
        <v/>
      </c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>
        <f>IF(G18="","",MAX(0,IF(H18&lt;&gt;"",H18-G18,IF(I18="Completed",0,TODAY()-G18))))</f>
        <v/>
      </c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>
        <f>IF(G19="","",MAX(0,IF(H19&lt;&gt;"",H19-G19,IF(I19="Completed",0,TODAY()-G19))))</f>
        <v/>
      </c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>
        <f>IF(G20="","",MAX(0,IF(H20&lt;&gt;"",H20-G20,IF(I20="Completed",0,TODAY()-G20))))</f>
        <v/>
      </c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>
        <f>IF(G21="","",MAX(0,IF(H21&lt;&gt;"",H21-G21,IF(I21="Completed",0,TODAY()-G21))))</f>
        <v/>
      </c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>
        <f>IF(G22="","",MAX(0,IF(H22&lt;&gt;"",H22-G22,IF(I22="Completed",0,TODAY()-G22))))</f>
        <v/>
      </c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>
        <f>IF(G23="","",MAX(0,IF(H23&lt;&gt;"",H23-G23,IF(I23="Completed",0,TODAY()-G23))))</f>
        <v/>
      </c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>
        <f>IF(G24="","",MAX(0,IF(H24&lt;&gt;"",H24-G24,IF(I24="Completed",0,TODAY()-G24))))</f>
        <v/>
      </c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>
        <f>IF(G25="","",MAX(0,IF(H25&lt;&gt;"",H25-G25,IF(I25="Completed",0,TODAY()-G25))))</f>
        <v/>
      </c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>
        <f>IF(G26="","",MAX(0,IF(H26&lt;&gt;"",H26-G26,IF(I26="Completed",0,TODAY()-G26))))</f>
        <v/>
      </c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>
        <f>IF(G27="","",MAX(0,IF(H27&lt;&gt;"",H27-G27,IF(I27="Completed",0,TODAY()-G27))))</f>
        <v/>
      </c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>
        <f>IF(G28="","",MAX(0,IF(H28&lt;&gt;"",H28-G28,IF(I28="Completed",0,TODAY()-G28))))</f>
        <v/>
      </c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>
        <f>IF(G29="","",MAX(0,IF(H29&lt;&gt;"",H29-G29,IF(I29="Completed",0,TODAY()-G29))))</f>
        <v/>
      </c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>
        <f>IF(G30="","",MAX(0,IF(H30&lt;&gt;"",H30-G30,IF(I30="Completed",0,TODAY()-G30))))</f>
        <v/>
      </c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>
        <f>IF(G31="","",MAX(0,IF(H31&lt;&gt;"",H31-G31,IF(I31="Completed",0,TODAY()-G31))))</f>
        <v/>
      </c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>
        <f>IF(G32="","",MAX(0,IF(H32&lt;&gt;"",H32-G32,IF(I32="Completed",0,TODAY()-G32))))</f>
        <v/>
      </c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>
        <f>IF(G33="","",MAX(0,IF(H33&lt;&gt;"",H33-G33,IF(I33="Completed",0,TODAY()-G33))))</f>
        <v/>
      </c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>
        <f>IF(G34="","",MAX(0,IF(H34&lt;&gt;"",H34-G34,IF(I34="Completed",0,TODAY()-G34))))</f>
        <v/>
      </c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>
        <f>IF(G35="","",MAX(0,IF(H35&lt;&gt;"",H35-G35,IF(I35="Completed",0,TODAY()-G35))))</f>
        <v/>
      </c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>
        <f>IF(G36="","",MAX(0,IF(H36&lt;&gt;"",H36-G36,IF(I36="Completed",0,TODAY()-G36))))</f>
        <v/>
      </c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>
        <f>IF(G37="","",MAX(0,IF(H37&lt;&gt;"",H37-G37,IF(I37="Completed",0,TODAY()-G37))))</f>
        <v/>
      </c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>
        <f>IF(G38="","",MAX(0,IF(H38&lt;&gt;"",H38-G38,IF(I38="Completed",0,TODAY()-G38))))</f>
        <v/>
      </c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>
        <f>IF(G39="","",MAX(0,IF(H39&lt;&gt;"",H39-G39,IF(I39="Completed",0,TODAY()-G39))))</f>
        <v/>
      </c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>
        <f>IF(G40="","",MAX(0,IF(H40&lt;&gt;"",H40-G40,IF(I40="Completed",0,TODAY()-G40))))</f>
        <v/>
      </c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>
        <f>IF(G41="","",MAX(0,IF(H41&lt;&gt;"",H41-G41,IF(I41="Completed",0,TODAY()-G41))))</f>
        <v/>
      </c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>
        <f>IF(G42="","",MAX(0,IF(H42&lt;&gt;"",H42-G42,IF(I42="Completed",0,TODAY()-G42))))</f>
        <v/>
      </c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>
        <f>IF(G43="","",MAX(0,IF(H43&lt;&gt;"",H43-G43,IF(I43="Completed",0,TODAY()-G43))))</f>
        <v/>
      </c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>
        <f>IF(G44="","",MAX(0,IF(H44&lt;&gt;"",H44-G44,IF(I44="Completed",0,TODAY()-G44))))</f>
        <v/>
      </c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>
        <f>IF(G45="","",MAX(0,IF(H45&lt;&gt;"",H45-G45,IF(I45="Completed",0,TODAY()-G45))))</f>
        <v/>
      </c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>
        <f>IF(G46="","",MAX(0,IF(H46&lt;&gt;"",H46-G46,IF(I46="Completed",0,TODAY()-G46))))</f>
        <v/>
      </c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>
        <f>IF(G47="","",MAX(0,IF(H47&lt;&gt;"",H47-G47,IF(I47="Completed",0,TODAY()-G47))))</f>
        <v/>
      </c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>
        <f>IF(G48="","",MAX(0,IF(H48&lt;&gt;"",H48-G48,IF(I48="Completed",0,TODAY()-G48))))</f>
        <v/>
      </c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>
        <f>IF(G49="","",MAX(0,IF(H49&lt;&gt;"",H49-G49,IF(I49="Completed",0,TODAY()-G49))))</f>
        <v/>
      </c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>
        <f>IF(G50="","",MAX(0,IF(H50&lt;&gt;"",H50-G50,IF(I50="Completed",0,TODAY()-G50))))</f>
        <v/>
      </c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>
        <f>IF(G51="","",MAX(0,IF(H51&lt;&gt;"",H51-G51,IF(I51="Completed",0,TODAY()-G51))))</f>
        <v/>
      </c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>
        <f>IF(G52="","",MAX(0,IF(H52&lt;&gt;"",H52-G52,IF(I52="Completed",0,TODAY()-G52))))</f>
        <v/>
      </c>
      <c r="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>
        <f>IF(G53="","",MAX(0,IF(H53&lt;&gt;"",H53-G53,IF(I53="Completed",0,TODAY()-G53))))</f>
        <v/>
      </c>
      <c r="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>
        <f>IF(G54="","",MAX(0,IF(H54&lt;&gt;"",H54-G54,IF(I54="Completed",0,TODAY()-G54))))</f>
        <v/>
      </c>
      <c r="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>
        <f>IF(G55="","",MAX(0,IF(H55&lt;&gt;"",H55-G55,IF(I55="Completed",0,TODAY()-G55))))</f>
        <v/>
      </c>
      <c r="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>
        <f>IF(G56="","",MAX(0,IF(H56&lt;&gt;"",H56-G56,IF(I56="Completed",0,TODAY()-G56))))</f>
        <v/>
      </c>
      <c r="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>
        <f>IF(G57="","",MAX(0,IF(H57&lt;&gt;"",H57-G57,IF(I57="Completed",0,TODAY()-G57))))</f>
        <v/>
      </c>
      <c r="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>
        <f>IF(G58="","",MAX(0,IF(H58&lt;&gt;"",H58-G58,IF(I58="Completed",0,TODAY()-G58))))</f>
        <v/>
      </c>
      <c r="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>
        <f>IF(G59="","",MAX(0,IF(H59&lt;&gt;"",H59-G59,IF(I59="Completed",0,TODAY()-G59))))</f>
        <v/>
      </c>
      <c r="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>
        <f>IF(G60="","",MAX(0,IF(H60&lt;&gt;"",H60-G60,IF(I60="Completed",0,TODAY()-G60))))</f>
        <v/>
      </c>
      <c r="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>
        <f>IF(G61="","",MAX(0,IF(H61&lt;&gt;"",H61-G61,IF(I61="Completed",0,TODAY()-G61))))</f>
        <v/>
      </c>
      <c r="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>
        <f>IF(G62="","",MAX(0,IF(H62&lt;&gt;"",H62-G62,IF(I62="Completed",0,TODAY()-G62))))</f>
        <v/>
      </c>
      <c r="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>
        <f>IF(G63="","",MAX(0,IF(H63&lt;&gt;"",H63-G63,IF(I63="Completed",0,TODAY()-G63))))</f>
        <v/>
      </c>
      <c r="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>
        <f>IF(G64="","",MAX(0,IF(H64&lt;&gt;"",H64-G64,IF(I64="Completed",0,TODAY()-G64))))</f>
        <v/>
      </c>
      <c r="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>
        <f>IF(G65="","",MAX(0,IF(H65&lt;&gt;"",H65-G65,IF(I65="Completed",0,TODAY()-G65))))</f>
        <v/>
      </c>
      <c r="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>
        <f>IF(G66="","",MAX(0,IF(H66&lt;&gt;"",H66-G66,IF(I66="Completed",0,TODAY()-G66))))</f>
        <v/>
      </c>
      <c r="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>
        <f>IF(G67="","",MAX(0,IF(H67&lt;&gt;"",H67-G67,IF(I67="Completed",0,TODAY()-G67))))</f>
        <v/>
      </c>
      <c r="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>
        <f>IF(G68="","",MAX(0,IF(H68&lt;&gt;"",H68-G68,IF(I68="Completed",0,TODAY()-G68))))</f>
        <v/>
      </c>
      <c r="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>
        <f>IF(G69="","",MAX(0,IF(H69&lt;&gt;"",H69-G69,IF(I69="Completed",0,TODAY()-G69))))</f>
        <v/>
      </c>
      <c r="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>
        <f>IF(G70="","",MAX(0,IF(H70&lt;&gt;"",H70-G70,IF(I70="Completed",0,TODAY()-G70))))</f>
        <v/>
      </c>
      <c r="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>
        <f>IF(G71="","",MAX(0,IF(H71&lt;&gt;"",H71-G71,IF(I71="Completed",0,TODAY()-G71))))</f>
        <v/>
      </c>
      <c r="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>
        <f>IF(G72="","",MAX(0,IF(H72&lt;&gt;"",H72-G72,IF(I72="Completed",0,TODAY()-G72))))</f>
        <v/>
      </c>
      <c r="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>
        <f>IF(G73="","",MAX(0,IF(H73&lt;&gt;"",H73-G73,IF(I73="Completed",0,TODAY()-G73))))</f>
        <v/>
      </c>
      <c r="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>
        <f>IF(G74="","",MAX(0,IF(H74&lt;&gt;"",H74-G74,IF(I74="Completed",0,TODAY()-G74))))</f>
        <v/>
      </c>
      <c r="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>
        <f>IF(G75="","",MAX(0,IF(H75&lt;&gt;"",H75-G75,IF(I75="Completed",0,TODAY()-G75))))</f>
        <v/>
      </c>
      <c r="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>
        <f>IF(G76="","",MAX(0,IF(H76&lt;&gt;"",H76-G76,IF(I76="Completed",0,TODAY()-G76))))</f>
        <v/>
      </c>
      <c r="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>
        <f>IF(G77="","",MAX(0,IF(H77&lt;&gt;"",H77-G77,IF(I77="Completed",0,TODAY()-G77))))</f>
        <v/>
      </c>
      <c r="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>
        <f>IF(G78="","",MAX(0,IF(H78&lt;&gt;"",H78-G78,IF(I78="Completed",0,TODAY()-G78))))</f>
        <v/>
      </c>
      <c r="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>
        <f>IF(G79="","",MAX(0,IF(H79&lt;&gt;"",H79-G79,IF(I79="Completed",0,TODAY()-G79))))</f>
        <v/>
      </c>
      <c r="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>
        <f>IF(G80="","",MAX(0,IF(H80&lt;&gt;"",H80-G80,IF(I80="Completed",0,TODAY()-G80))))</f>
        <v/>
      </c>
      <c r="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>
        <f>IF(G81="","",MAX(0,IF(H81&lt;&gt;"",H81-G81,IF(I81="Completed",0,TODAY()-G81))))</f>
        <v/>
      </c>
      <c r="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>
        <f>IF(G82="","",MAX(0,IF(H82&lt;&gt;"",H82-G82,IF(I82="Completed",0,TODAY()-G82))))</f>
        <v/>
      </c>
      <c r="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>
        <f>IF(G83="","",MAX(0,IF(H83&lt;&gt;"",H83-G83,IF(I83="Completed",0,TODAY()-G83))))</f>
        <v/>
      </c>
      <c r="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>
        <f>IF(G84="","",MAX(0,IF(H84&lt;&gt;"",H84-G84,IF(I84="Completed",0,TODAY()-G84))))</f>
        <v/>
      </c>
      <c r="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>
        <f>IF(G85="","",MAX(0,IF(H85&lt;&gt;"",H85-G85,IF(I85="Completed",0,TODAY()-G85))))</f>
        <v/>
      </c>
      <c r="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>
        <f>IF(G86="","",MAX(0,IF(H86&lt;&gt;"",H86-G86,IF(I86="Completed",0,TODAY()-G86))))</f>
        <v/>
      </c>
      <c r="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>
        <f>IF(G87="","",MAX(0,IF(H87&lt;&gt;"",H87-G87,IF(I87="Completed",0,TODAY()-G87))))</f>
        <v/>
      </c>
      <c r="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>
        <f>IF(G88="","",MAX(0,IF(H88&lt;&gt;"",H88-G88,IF(I88="Completed",0,TODAY()-G88))))</f>
        <v/>
      </c>
      <c r="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>
        <f>IF(G89="","",MAX(0,IF(H89&lt;&gt;"",H89-G89,IF(I89="Completed",0,TODAY()-G89))))</f>
        <v/>
      </c>
      <c r="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>
        <f>IF(G90="","",MAX(0,IF(H90&lt;&gt;"",H90-G90,IF(I90="Completed",0,TODAY()-G90))))</f>
        <v/>
      </c>
      <c r="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>
        <f>IF(G91="","",MAX(0,IF(H91&lt;&gt;"",H91-G91,IF(I91="Completed",0,TODAY()-G91))))</f>
        <v/>
      </c>
      <c r="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>
        <f>IF(G92="","",MAX(0,IF(H92&lt;&gt;"",H92-G92,IF(I92="Completed",0,TODAY()-G92))))</f>
        <v/>
      </c>
      <c r="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>
        <f>IF(G93="","",MAX(0,IF(H93&lt;&gt;"",H93-G93,IF(I93="Completed",0,TODAY()-G93))))</f>
        <v/>
      </c>
      <c r="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>
        <f>IF(G94="","",MAX(0,IF(H94&lt;&gt;"",H94-G94,IF(I94="Completed",0,TODAY()-G94))))</f>
        <v/>
      </c>
      <c r="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>
        <f>IF(G95="","",MAX(0,IF(H95&lt;&gt;"",H95-G95,IF(I95="Completed",0,TODAY()-G95))))</f>
        <v/>
      </c>
      <c r="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>
        <f>IF(G96="","",MAX(0,IF(H96&lt;&gt;"",H96-G96,IF(I96="Completed",0,TODAY()-G96))))</f>
        <v/>
      </c>
      <c r="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>
        <f>IF(G97="","",MAX(0,IF(H97&lt;&gt;"",H97-G97,IF(I97="Completed",0,TODAY()-G97))))</f>
        <v/>
      </c>
      <c r="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>
        <f>IF(G98="","",MAX(0,IF(H98&lt;&gt;"",H98-G98,IF(I98="Completed",0,TODAY()-G98))))</f>
        <v/>
      </c>
      <c r="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>
        <f>IF(G99="","",MAX(0,IF(H99&lt;&gt;"",H99-G99,IF(I99="Completed",0,TODAY()-G99))))</f>
        <v/>
      </c>
      <c r="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>
        <f>IF(G100="","",MAX(0,IF(H100&lt;&gt;"",H100-G100,IF(I100="Completed",0,TODAY()-G100))))</f>
        <v/>
      </c>
      <c r="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>
        <f>IF(G101="","",MAX(0,IF(H101&lt;&gt;"",H101-G101,IF(I101="Completed",0,TODAY()-G101))))</f>
        <v/>
      </c>
      <c r="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>
        <f>IF(G102="","",MAX(0,IF(H102&lt;&gt;"",H102-G102,IF(I102="Completed",0,TODAY()-G102))))</f>
        <v/>
      </c>
      <c r="N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>
        <f>IF(G103="","",MAX(0,IF(H103&lt;&gt;"",H103-G103,IF(I103="Completed",0,TODAY()-G103))))</f>
        <v/>
      </c>
      <c r="N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>
        <f>IF(G104="","",MAX(0,IF(H104&lt;&gt;"",H104-G104,IF(I104="Completed",0,TODAY()-G104))))</f>
        <v/>
      </c>
      <c r="N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>
        <f>IF(G105="","",MAX(0,IF(H105&lt;&gt;"",H105-G105,IF(I105="Completed",0,TODAY()-G105))))</f>
        <v/>
      </c>
      <c r="N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>
        <f>IF(G106="","",MAX(0,IF(H106&lt;&gt;"",H106-G106,IF(I106="Completed",0,TODAY()-G106))))</f>
        <v/>
      </c>
      <c r="N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>
        <f>IF(G107="","",MAX(0,IF(H107&lt;&gt;"",H107-G107,IF(I107="Completed",0,TODAY()-G107))))</f>
        <v/>
      </c>
      <c r="N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>
        <f>IF(G108="","",MAX(0,IF(H108&lt;&gt;"",H108-G108,IF(I108="Completed",0,TODAY()-G108))))</f>
        <v/>
      </c>
      <c r="N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>
        <f>IF(G109="","",MAX(0,IF(H109&lt;&gt;"",H109-G109,IF(I109="Completed",0,TODAY()-G109))))</f>
        <v/>
      </c>
      <c r="N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>
        <f>IF(G110="","",MAX(0,IF(H110&lt;&gt;"",H110-G110,IF(I110="Completed",0,TODAY()-G110))))</f>
        <v/>
      </c>
      <c r="N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>
        <f>IF(G111="","",MAX(0,IF(H111&lt;&gt;"",H111-G111,IF(I111="Completed",0,TODAY()-G111))))</f>
        <v/>
      </c>
      <c r="N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>
        <f>IF(G112="","",MAX(0,IF(H112&lt;&gt;"",H112-G112,IF(I112="Completed",0,TODAY()-G112))))</f>
        <v/>
      </c>
      <c r="N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>
        <f>IF(G113="","",MAX(0,IF(H113&lt;&gt;"",H113-G113,IF(I113="Completed",0,TODAY()-G113))))</f>
        <v/>
      </c>
      <c r="N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>
        <f>IF(G114="","",MAX(0,IF(H114&lt;&gt;"",H114-G114,IF(I114="Completed",0,TODAY()-G114))))</f>
        <v/>
      </c>
      <c r="N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>
        <f>IF(G115="","",MAX(0,IF(H115&lt;&gt;"",H115-G115,IF(I115="Completed",0,TODAY()-G115))))</f>
        <v/>
      </c>
      <c r="N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>
        <f>IF(G116="","",MAX(0,IF(H116&lt;&gt;"",H116-G116,IF(I116="Completed",0,TODAY()-G116))))</f>
        <v/>
      </c>
      <c r="N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>
        <f>IF(G117="","",MAX(0,IF(H117&lt;&gt;"",H117-G117,IF(I117="Completed",0,TODAY()-G117))))</f>
        <v/>
      </c>
      <c r="N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>
        <f>IF(G118="","",MAX(0,IF(H118&lt;&gt;"",H118-G118,IF(I118="Completed",0,TODAY()-G118))))</f>
        <v/>
      </c>
      <c r="N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>
        <f>IF(G119="","",MAX(0,IF(H119&lt;&gt;"",H119-G119,IF(I119="Completed",0,TODAY()-G119))))</f>
        <v/>
      </c>
      <c r="N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>
        <f>IF(G120="","",MAX(0,IF(H120&lt;&gt;"",H120-G120,IF(I120="Completed",0,TODAY()-G120))))</f>
        <v/>
      </c>
      <c r="N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>
        <f>IF(G121="","",MAX(0,IF(H121&lt;&gt;"",H121-G121,IF(I121="Completed",0,TODAY()-G121))))</f>
        <v/>
      </c>
      <c r="N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>
        <f>IF(G122="","",MAX(0,IF(H122&lt;&gt;"",H122-G122,IF(I122="Completed",0,TODAY()-G122))))</f>
        <v/>
      </c>
      <c r="N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>
        <f>IF(G123="","",MAX(0,IF(H123&lt;&gt;"",H123-G123,IF(I123="Completed",0,TODAY()-G123))))</f>
        <v/>
      </c>
      <c r="N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>
        <f>IF(G124="","",MAX(0,IF(H124&lt;&gt;"",H124-G124,IF(I124="Completed",0,TODAY()-G124))))</f>
        <v/>
      </c>
      <c r="N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>
        <f>IF(G125="","",MAX(0,IF(H125&lt;&gt;"",H125-G125,IF(I125="Completed",0,TODAY()-G125))))</f>
        <v/>
      </c>
      <c r="N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>
        <f>IF(G126="","",MAX(0,IF(H126&lt;&gt;"",H126-G126,IF(I126="Completed",0,TODAY()-G126))))</f>
        <v/>
      </c>
      <c r="N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>
        <f>IF(G127="","",MAX(0,IF(H127&lt;&gt;"",H127-G127,IF(I127="Completed",0,TODAY()-G127))))</f>
        <v/>
      </c>
      <c r="N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>
        <f>IF(G128="","",MAX(0,IF(H128&lt;&gt;"",H128-G128,IF(I128="Completed",0,TODAY()-G128))))</f>
        <v/>
      </c>
      <c r="N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>
        <f>IF(G129="","",MAX(0,IF(H129&lt;&gt;"",H129-G129,IF(I129="Completed",0,TODAY()-G129))))</f>
        <v/>
      </c>
      <c r="N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>
        <f>IF(G130="","",MAX(0,IF(H130&lt;&gt;"",H130-G130,IF(I130="Completed",0,TODAY()-G130))))</f>
        <v/>
      </c>
      <c r="N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>
        <f>IF(G131="","",MAX(0,IF(H131&lt;&gt;"",H131-G131,IF(I131="Completed",0,TODAY()-G131))))</f>
        <v/>
      </c>
      <c r="N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>
        <f>IF(G132="","",MAX(0,IF(H132&lt;&gt;"",H132-G132,IF(I132="Completed",0,TODAY()-G132))))</f>
        <v/>
      </c>
      <c r="N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>
        <f>IF(G133="","",MAX(0,IF(H133&lt;&gt;"",H133-G133,IF(I133="Completed",0,TODAY()-G133))))</f>
        <v/>
      </c>
      <c r="N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>
        <f>IF(G134="","",MAX(0,IF(H134&lt;&gt;"",H134-G134,IF(I134="Completed",0,TODAY()-G134))))</f>
        <v/>
      </c>
      <c r="N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>
        <f>IF(G135="","",MAX(0,IF(H135&lt;&gt;"",H135-G135,IF(I135="Completed",0,TODAY()-G135))))</f>
        <v/>
      </c>
      <c r="N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>
        <f>IF(G136="","",MAX(0,IF(H136&lt;&gt;"",H136-G136,IF(I136="Completed",0,TODAY()-G136))))</f>
        <v/>
      </c>
      <c r="N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>
        <f>IF(G137="","",MAX(0,IF(H137&lt;&gt;"",H137-G137,IF(I137="Completed",0,TODAY()-G137))))</f>
        <v/>
      </c>
      <c r="N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>
        <f>IF(G138="","",MAX(0,IF(H138&lt;&gt;"",H138-G138,IF(I138="Completed",0,TODAY()-G138))))</f>
        <v/>
      </c>
      <c r="N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>
        <f>IF(G139="","",MAX(0,IF(H139&lt;&gt;"",H139-G139,IF(I139="Completed",0,TODAY()-G139))))</f>
        <v/>
      </c>
      <c r="N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>
        <f>IF(G140="","",MAX(0,IF(H140&lt;&gt;"",H140-G140,IF(I140="Completed",0,TODAY()-G140))))</f>
        <v/>
      </c>
      <c r="N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>
        <f>IF(G141="","",MAX(0,IF(H141&lt;&gt;"",H141-G141,IF(I141="Completed",0,TODAY()-G141))))</f>
        <v/>
      </c>
      <c r="N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>
        <f>IF(G142="","",MAX(0,IF(H142&lt;&gt;"",H142-G142,IF(I142="Completed",0,TODAY()-G142))))</f>
        <v/>
      </c>
      <c r="N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>
        <f>IF(G143="","",MAX(0,IF(H143&lt;&gt;"",H143-G143,IF(I143="Completed",0,TODAY()-G143))))</f>
        <v/>
      </c>
      <c r="N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>
        <f>IF(G144="","",MAX(0,IF(H144&lt;&gt;"",H144-G144,IF(I144="Completed",0,TODAY()-G144))))</f>
        <v/>
      </c>
      <c r="N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>
        <f>IF(G145="","",MAX(0,IF(H145&lt;&gt;"",H145-G145,IF(I145="Completed",0,TODAY()-G145))))</f>
        <v/>
      </c>
      <c r="N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>
        <f>IF(G146="","",MAX(0,IF(H146&lt;&gt;"",H146-G146,IF(I146="Completed",0,TODAY()-G146))))</f>
        <v/>
      </c>
      <c r="N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>
        <f>IF(G147="","",MAX(0,IF(H147&lt;&gt;"",H147-G147,IF(I147="Completed",0,TODAY()-G147))))</f>
        <v/>
      </c>
      <c r="N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>
        <f>IF(G148="","",MAX(0,IF(H148&lt;&gt;"",H148-G148,IF(I148="Completed",0,TODAY()-G148))))</f>
        <v/>
      </c>
      <c r="N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>
        <f>IF(G149="","",MAX(0,IF(H149&lt;&gt;"",H149-G149,IF(I149="Completed",0,TODAY()-G149))))</f>
        <v/>
      </c>
      <c r="N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>
        <f>IF(G150="","",MAX(0,IF(H150&lt;&gt;"",H150-G150,IF(I150="Completed",0,TODAY()-G150))))</f>
        <v/>
      </c>
      <c r="N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>
        <f>IF(G151="","",MAX(0,IF(H151&lt;&gt;"",H151-G151,IF(I151="Completed",0,TODAY()-G151))))</f>
        <v/>
      </c>
      <c r="N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>
        <f>IF(G152="","",MAX(0,IF(H152&lt;&gt;"",H152-G152,IF(I152="Completed",0,TODAY()-G152))))</f>
        <v/>
      </c>
      <c r="N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>
        <f>IF(G153="","",MAX(0,IF(H153&lt;&gt;"",H153-G153,IF(I153="Completed",0,TODAY()-G153))))</f>
        <v/>
      </c>
      <c r="N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>
        <f>IF(G154="","",MAX(0,IF(H154&lt;&gt;"",H154-G154,IF(I154="Completed",0,TODAY()-G154))))</f>
        <v/>
      </c>
      <c r="N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>
        <f>IF(G155="","",MAX(0,IF(H155&lt;&gt;"",H155-G155,IF(I155="Completed",0,TODAY()-G155))))</f>
        <v/>
      </c>
      <c r="N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>
        <f>IF(G156="","",MAX(0,IF(H156&lt;&gt;"",H156-G156,IF(I156="Completed",0,TODAY()-G156))))</f>
        <v/>
      </c>
      <c r="N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>
        <f>IF(G157="","",MAX(0,IF(H157&lt;&gt;"",H157-G157,IF(I157="Completed",0,TODAY()-G157))))</f>
        <v/>
      </c>
      <c r="N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>
        <f>IF(G158="","",MAX(0,IF(H158&lt;&gt;"",H158-G158,IF(I158="Completed",0,TODAY()-G158))))</f>
        <v/>
      </c>
      <c r="N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>
        <f>IF(G159="","",MAX(0,IF(H159&lt;&gt;"",H159-G159,IF(I159="Completed",0,TODAY()-G159))))</f>
        <v/>
      </c>
      <c r="N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>
        <f>IF(G160="","",MAX(0,IF(H160&lt;&gt;"",H160-G160,IF(I160="Completed",0,TODAY()-G160))))</f>
        <v/>
      </c>
      <c r="N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>
        <f>IF(G161="","",MAX(0,IF(H161&lt;&gt;"",H161-G161,IF(I161="Completed",0,TODAY()-G161))))</f>
        <v/>
      </c>
      <c r="N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>
        <f>IF(G162="","",MAX(0,IF(H162&lt;&gt;"",H162-G162,IF(I162="Completed",0,TODAY()-G162))))</f>
        <v/>
      </c>
      <c r="N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>
        <f>IF(G163="","",MAX(0,IF(H163&lt;&gt;"",H163-G163,IF(I163="Completed",0,TODAY()-G163))))</f>
        <v/>
      </c>
      <c r="N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>
        <f>IF(G164="","",MAX(0,IF(H164&lt;&gt;"",H164-G164,IF(I164="Completed",0,TODAY()-G164))))</f>
        <v/>
      </c>
      <c r="N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>
        <f>IF(G165="","",MAX(0,IF(H165&lt;&gt;"",H165-G165,IF(I165="Completed",0,TODAY()-G165))))</f>
        <v/>
      </c>
      <c r="N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>
        <f>IF(G166="","",MAX(0,IF(H166&lt;&gt;"",H166-G166,IF(I166="Completed",0,TODAY()-G166))))</f>
        <v/>
      </c>
      <c r="N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>
        <f>IF(G167="","",MAX(0,IF(H167&lt;&gt;"",H167-G167,IF(I167="Completed",0,TODAY()-G167))))</f>
        <v/>
      </c>
      <c r="N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>
        <f>IF(G168="","",MAX(0,IF(H168&lt;&gt;"",H168-G168,IF(I168="Completed",0,TODAY()-G168))))</f>
        <v/>
      </c>
      <c r="N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>
        <f>IF(G169="","",MAX(0,IF(H169&lt;&gt;"",H169-G169,IF(I169="Completed",0,TODAY()-G169))))</f>
        <v/>
      </c>
      <c r="N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>
        <f>IF(G170="","",MAX(0,IF(H170&lt;&gt;"",H170-G170,IF(I170="Completed",0,TODAY()-G170))))</f>
        <v/>
      </c>
      <c r="N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>
        <f>IF(G171="","",MAX(0,IF(H171&lt;&gt;"",H171-G171,IF(I171="Completed",0,TODAY()-G171))))</f>
        <v/>
      </c>
      <c r="N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>
        <f>IF(G172="","",MAX(0,IF(H172&lt;&gt;"",H172-G172,IF(I172="Completed",0,TODAY()-G172))))</f>
        <v/>
      </c>
      <c r="N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>
        <f>IF(G173="","",MAX(0,IF(H173&lt;&gt;"",H173-G173,IF(I173="Completed",0,TODAY()-G173))))</f>
        <v/>
      </c>
      <c r="N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>
        <f>IF(G174="","",MAX(0,IF(H174&lt;&gt;"",H174-G174,IF(I174="Completed",0,TODAY()-G174))))</f>
        <v/>
      </c>
      <c r="N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>
        <f>IF(G175="","",MAX(0,IF(H175&lt;&gt;"",H175-G175,IF(I175="Completed",0,TODAY()-G175))))</f>
        <v/>
      </c>
      <c r="N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>
        <f>IF(G176="","",MAX(0,IF(H176&lt;&gt;"",H176-G176,IF(I176="Completed",0,TODAY()-G176))))</f>
        <v/>
      </c>
      <c r="N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>
        <f>IF(G177="","",MAX(0,IF(H177&lt;&gt;"",H177-G177,IF(I177="Completed",0,TODAY()-G177))))</f>
        <v/>
      </c>
      <c r="N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>
        <f>IF(G178="","",MAX(0,IF(H178&lt;&gt;"",H178-G178,IF(I178="Completed",0,TODAY()-G178))))</f>
        <v/>
      </c>
      <c r="N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>
        <f>IF(G179="","",MAX(0,IF(H179&lt;&gt;"",H179-G179,IF(I179="Completed",0,TODAY()-G179))))</f>
        <v/>
      </c>
      <c r="N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>
        <f>IF(G180="","",MAX(0,IF(H180&lt;&gt;"",H180-G180,IF(I180="Completed",0,TODAY()-G180))))</f>
        <v/>
      </c>
      <c r="N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>
        <f>IF(G181="","",MAX(0,IF(H181&lt;&gt;"",H181-G181,IF(I181="Completed",0,TODAY()-G181))))</f>
        <v/>
      </c>
      <c r="N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>
        <f>IF(G182="","",MAX(0,IF(H182&lt;&gt;"",H182-G182,IF(I182="Completed",0,TODAY()-G182))))</f>
        <v/>
      </c>
      <c r="N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>
        <f>IF(G183="","",MAX(0,IF(H183&lt;&gt;"",H183-G183,IF(I183="Completed",0,TODAY()-G183))))</f>
        <v/>
      </c>
      <c r="N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>
        <f>IF(G184="","",MAX(0,IF(H184&lt;&gt;"",H184-G184,IF(I184="Completed",0,TODAY()-G184))))</f>
        <v/>
      </c>
      <c r="N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>
        <f>IF(G185="","",MAX(0,IF(H185&lt;&gt;"",H185-G185,IF(I185="Completed",0,TODAY()-G185))))</f>
        <v/>
      </c>
      <c r="N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>
        <f>IF(G186="","",MAX(0,IF(H186&lt;&gt;"",H186-G186,IF(I186="Completed",0,TODAY()-G186))))</f>
        <v/>
      </c>
      <c r="N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>
        <f>IF(G187="","",MAX(0,IF(H187&lt;&gt;"",H187-G187,IF(I187="Completed",0,TODAY()-G187))))</f>
        <v/>
      </c>
      <c r="N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>
        <f>IF(G188="","",MAX(0,IF(H188&lt;&gt;"",H188-G188,IF(I188="Completed",0,TODAY()-G188))))</f>
        <v/>
      </c>
      <c r="N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>
        <f>IF(G189="","",MAX(0,IF(H189&lt;&gt;"",H189-G189,IF(I189="Completed",0,TODAY()-G189))))</f>
        <v/>
      </c>
      <c r="N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>
        <f>IF(G190="","",MAX(0,IF(H190&lt;&gt;"",H190-G190,IF(I190="Completed",0,TODAY()-G190))))</f>
        <v/>
      </c>
      <c r="N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>
        <f>IF(G191="","",MAX(0,IF(H191&lt;&gt;"",H191-G191,IF(I191="Completed",0,TODAY()-G191))))</f>
        <v/>
      </c>
      <c r="N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>
        <f>IF(G192="","",MAX(0,IF(H192&lt;&gt;"",H192-G192,IF(I192="Completed",0,TODAY()-G192))))</f>
        <v/>
      </c>
      <c r="N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>
        <f>IF(G193="","",MAX(0,IF(H193&lt;&gt;"",H193-G193,IF(I193="Completed",0,TODAY()-G193))))</f>
        <v/>
      </c>
      <c r="N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>
        <f>IF(G194="","",MAX(0,IF(H194&lt;&gt;"",H194-G194,IF(I194="Completed",0,TODAY()-G194))))</f>
        <v/>
      </c>
      <c r="N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>
        <f>IF(G195="","",MAX(0,IF(H195&lt;&gt;"",H195-G195,IF(I195="Completed",0,TODAY()-G195))))</f>
        <v/>
      </c>
      <c r="N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>
        <f>IF(G196="","",MAX(0,IF(H196&lt;&gt;"",H196-G196,IF(I196="Completed",0,TODAY()-G196))))</f>
        <v/>
      </c>
      <c r="N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>
        <f>IF(G197="","",MAX(0,IF(H197&lt;&gt;"",H197-G197,IF(I197="Completed",0,TODAY()-G197))))</f>
        <v/>
      </c>
      <c r="N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>
        <f>IF(G198="","",MAX(0,IF(H198&lt;&gt;"",H198-G198,IF(I198="Completed",0,TODAY()-G198))))</f>
        <v/>
      </c>
      <c r="N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>
        <f>IF(G199="","",MAX(0,IF(H199&lt;&gt;"",H199-G199,IF(I199="Completed",0,TODAY()-G199))))</f>
        <v/>
      </c>
      <c r="N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>
        <f>IF(G200="","",MAX(0,IF(H200&lt;&gt;"",H200-G200,IF(I200="Completed",0,TODAY()-G200))))</f>
        <v/>
      </c>
      <c r="N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>
        <f>IF(G201="","",MAX(0,IF(H201&lt;&gt;"",H201-G201,IF(I201="Completed",0,TODAY()-G201))))</f>
        <v/>
      </c>
      <c r="N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>
        <f>IF(G202="","",MAX(0,IF(H202&lt;&gt;"",H202-G202,IF(I202="Completed",0,TODAY()-G202))))</f>
        <v/>
      </c>
      <c r="N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>
        <f>IF(G203="","",MAX(0,IF(H203&lt;&gt;"",H203-G203,IF(I203="Completed",0,TODAY()-G203))))</f>
        <v/>
      </c>
      <c r="N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>
        <f>IF(G204="","",MAX(0,IF(H204&lt;&gt;"",H204-G204,IF(I204="Completed",0,TODAY()-G204))))</f>
        <v/>
      </c>
      <c r="N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>
        <f>IF(G205="","",MAX(0,IF(H205&lt;&gt;"",H205-G205,IF(I205="Completed",0,TODAY()-G205))))</f>
        <v/>
      </c>
      <c r="N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>
        <f>IF(G206="","",MAX(0,IF(H206&lt;&gt;"",H206-G206,IF(I206="Completed",0,TODAY()-G206))))</f>
        <v/>
      </c>
      <c r="N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>
        <f>IF(G207="","",MAX(0,IF(H207&lt;&gt;"",H207-G207,IF(I207="Completed",0,TODAY()-G207))))</f>
        <v/>
      </c>
      <c r="N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>
        <f>IF(G208="","",MAX(0,IF(H208&lt;&gt;"",H208-G208,IF(I208="Completed",0,TODAY()-G208))))</f>
        <v/>
      </c>
      <c r="N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>
        <f>IF(G209="","",MAX(0,IF(H209&lt;&gt;"",H209-G209,IF(I209="Completed",0,TODAY()-G209))))</f>
        <v/>
      </c>
      <c r="N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>
        <f>IF(G210="","",MAX(0,IF(H210&lt;&gt;"",H210-G210,IF(I210="Completed",0,TODAY()-G210))))</f>
        <v/>
      </c>
      <c r="N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>
        <f>IF(G211="","",MAX(0,IF(H211&lt;&gt;"",H211-G211,IF(I211="Completed",0,TODAY()-G211))))</f>
        <v/>
      </c>
      <c r="N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>
        <f>IF(G212="","",MAX(0,IF(H212&lt;&gt;"",H212-G212,IF(I212="Completed",0,TODAY()-G212))))</f>
        <v/>
      </c>
      <c r="N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>
        <f>IF(G213="","",MAX(0,IF(H213&lt;&gt;"",H213-G213,IF(I213="Completed",0,TODAY()-G213))))</f>
        <v/>
      </c>
      <c r="N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>
        <f>IF(G214="","",MAX(0,IF(H214&lt;&gt;"",H214-G214,IF(I214="Completed",0,TODAY()-G214))))</f>
        <v/>
      </c>
      <c r="N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>
        <f>IF(G215="","",MAX(0,IF(H215&lt;&gt;"",H215-G215,IF(I215="Completed",0,TODAY()-G215))))</f>
        <v/>
      </c>
      <c r="N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>
        <f>IF(G216="","",MAX(0,IF(H216&lt;&gt;"",H216-G216,IF(I216="Completed",0,TODAY()-G216))))</f>
        <v/>
      </c>
      <c r="N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>
        <f>IF(G217="","",MAX(0,IF(H217&lt;&gt;"",H217-G217,IF(I217="Completed",0,TODAY()-G217))))</f>
        <v/>
      </c>
      <c r="N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>
        <f>IF(G218="","",MAX(0,IF(H218&lt;&gt;"",H218-G218,IF(I218="Completed",0,TODAY()-G218))))</f>
        <v/>
      </c>
      <c r="N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>
        <f>IF(G219="","",MAX(0,IF(H219&lt;&gt;"",H219-G219,IF(I219="Completed",0,TODAY()-G219))))</f>
        <v/>
      </c>
      <c r="N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>
        <f>IF(G220="","",MAX(0,IF(H220&lt;&gt;"",H220-G220,IF(I220="Completed",0,TODAY()-G220))))</f>
        <v/>
      </c>
      <c r="N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>
        <f>IF(G221="","",MAX(0,IF(H221&lt;&gt;"",H221-G221,IF(I221="Completed",0,TODAY()-G221))))</f>
        <v/>
      </c>
      <c r="N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>
        <f>IF(G222="","",MAX(0,IF(H222&lt;&gt;"",H222-G222,IF(I222="Completed",0,TODAY()-G222))))</f>
        <v/>
      </c>
      <c r="N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>
        <f>IF(G223="","",MAX(0,IF(H223&lt;&gt;"",H223-G223,IF(I223="Completed",0,TODAY()-G223))))</f>
        <v/>
      </c>
      <c r="N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>
        <f>IF(G224="","",MAX(0,IF(H224&lt;&gt;"",H224-G224,IF(I224="Completed",0,TODAY()-G224))))</f>
        <v/>
      </c>
      <c r="N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>
        <f>IF(G225="","",MAX(0,IF(H225&lt;&gt;"",H225-G225,IF(I225="Completed",0,TODAY()-G225))))</f>
        <v/>
      </c>
      <c r="N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>
        <f>IF(G226="","",MAX(0,IF(H226&lt;&gt;"",H226-G226,IF(I226="Completed",0,TODAY()-G226))))</f>
        <v/>
      </c>
      <c r="N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>
        <f>IF(G227="","",MAX(0,IF(H227&lt;&gt;"",H227-G227,IF(I227="Completed",0,TODAY()-G227))))</f>
        <v/>
      </c>
      <c r="N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>
        <f>IF(G228="","",MAX(0,IF(H228&lt;&gt;"",H228-G228,IF(I228="Completed",0,TODAY()-G228))))</f>
        <v/>
      </c>
      <c r="N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>
        <f>IF(G229="","",MAX(0,IF(H229&lt;&gt;"",H229-G229,IF(I229="Completed",0,TODAY()-G229))))</f>
        <v/>
      </c>
      <c r="N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>
        <f>IF(G230="","",MAX(0,IF(H230&lt;&gt;"",H230-G230,IF(I230="Completed",0,TODAY()-G230))))</f>
        <v/>
      </c>
      <c r="N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>
        <f>IF(G231="","",MAX(0,IF(H231&lt;&gt;"",H231-G231,IF(I231="Completed",0,TODAY()-G231))))</f>
        <v/>
      </c>
      <c r="N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>
        <f>IF(G232="","",MAX(0,IF(H232&lt;&gt;"",H232-G232,IF(I232="Completed",0,TODAY()-G232))))</f>
        <v/>
      </c>
      <c r="N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>
        <f>IF(G233="","",MAX(0,IF(H233&lt;&gt;"",H233-G233,IF(I233="Completed",0,TODAY()-G233))))</f>
        <v/>
      </c>
      <c r="N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>
        <f>IF(G234="","",MAX(0,IF(H234&lt;&gt;"",H234-G234,IF(I234="Completed",0,TODAY()-G234))))</f>
        <v/>
      </c>
      <c r="N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>
        <f>IF(G235="","",MAX(0,IF(H235&lt;&gt;"",H235-G235,IF(I235="Completed",0,TODAY()-G235))))</f>
        <v/>
      </c>
      <c r="N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>
        <f>IF(G236="","",MAX(0,IF(H236&lt;&gt;"",H236-G236,IF(I236="Completed",0,TODAY()-G236))))</f>
        <v/>
      </c>
      <c r="N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>
        <f>IF(G237="","",MAX(0,IF(H237&lt;&gt;"",H237-G237,IF(I237="Completed",0,TODAY()-G237))))</f>
        <v/>
      </c>
      <c r="N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>
        <f>IF(G238="","",MAX(0,IF(H238&lt;&gt;"",H238-G238,IF(I238="Completed",0,TODAY()-G238))))</f>
        <v/>
      </c>
      <c r="N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>
        <f>IF(G239="","",MAX(0,IF(H239&lt;&gt;"",H239-G239,IF(I239="Completed",0,TODAY()-G239))))</f>
        <v/>
      </c>
      <c r="N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>
        <f>IF(G240="","",MAX(0,IF(H240&lt;&gt;"",H240-G240,IF(I240="Completed",0,TODAY()-G240))))</f>
        <v/>
      </c>
      <c r="N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>
        <f>IF(G241="","",MAX(0,IF(H241&lt;&gt;"",H241-G241,IF(I241="Completed",0,TODAY()-G241))))</f>
        <v/>
      </c>
      <c r="N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>
        <f>IF(G242="","",MAX(0,IF(H242&lt;&gt;"",H242-G242,IF(I242="Completed",0,TODAY()-G242))))</f>
        <v/>
      </c>
      <c r="N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>
        <f>IF(G243="","",MAX(0,IF(H243&lt;&gt;"",H243-G243,IF(I243="Completed",0,TODAY()-G243))))</f>
        <v/>
      </c>
      <c r="N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>
        <f>IF(G244="","",MAX(0,IF(H244&lt;&gt;"",H244-G244,IF(I244="Completed",0,TODAY()-G244))))</f>
        <v/>
      </c>
      <c r="N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>
        <f>IF(G245="","",MAX(0,IF(H245&lt;&gt;"",H245-G245,IF(I245="Completed",0,TODAY()-G245))))</f>
        <v/>
      </c>
      <c r="N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>
        <f>IF(G246="","",MAX(0,IF(H246&lt;&gt;"",H246-G246,IF(I246="Completed",0,TODAY()-G246))))</f>
        <v/>
      </c>
      <c r="N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>
        <f>IF(G247="","",MAX(0,IF(H247&lt;&gt;"",H247-G247,IF(I247="Completed",0,TODAY()-G247))))</f>
        <v/>
      </c>
      <c r="N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>
        <f>IF(G248="","",MAX(0,IF(H248&lt;&gt;"",H248-G248,IF(I248="Completed",0,TODAY()-G248))))</f>
        <v/>
      </c>
      <c r="N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>
        <f>IF(G249="","",MAX(0,IF(H249&lt;&gt;"",H249-G249,IF(I249="Completed",0,TODAY()-G249))))</f>
        <v/>
      </c>
      <c r="N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>
        <f>IF(G250="","",MAX(0,IF(H250&lt;&gt;"",H250-G250,IF(I250="Completed",0,TODAY()-G250))))</f>
        <v/>
      </c>
      <c r="N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>
        <f>IF(G251="","",MAX(0,IF(H251&lt;&gt;"",H251-G251,IF(I251="Completed",0,TODAY()-G251))))</f>
        <v/>
      </c>
      <c r="N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>
        <f>IF(G252="","",MAX(0,IF(H252&lt;&gt;"",H252-G252,IF(I252="Completed",0,TODAY()-G252))))</f>
        <v/>
      </c>
      <c r="N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>
        <f>IF(G253="","",MAX(0,IF(H253&lt;&gt;"",H253-G253,IF(I253="Completed",0,TODAY()-G253))))</f>
        <v/>
      </c>
      <c r="N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>
        <f>IF(G254="","",MAX(0,IF(H254&lt;&gt;"",H254-G254,IF(I254="Completed",0,TODAY()-G254))))</f>
        <v/>
      </c>
      <c r="N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>
        <f>IF(G255="","",MAX(0,IF(H255&lt;&gt;"",H255-G255,IF(I255="Completed",0,TODAY()-G255))))</f>
        <v/>
      </c>
      <c r="N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>
        <f>IF(G256="","",MAX(0,IF(H256&lt;&gt;"",H256-G256,IF(I256="Completed",0,TODAY()-G256))))</f>
        <v/>
      </c>
      <c r="N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>
        <f>IF(G257="","",MAX(0,IF(H257&lt;&gt;"",H257-G257,IF(I257="Completed",0,TODAY()-G257))))</f>
        <v/>
      </c>
      <c r="N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>
        <f>IF(G258="","",MAX(0,IF(H258&lt;&gt;"",H258-G258,IF(I258="Completed",0,TODAY()-G258))))</f>
        <v/>
      </c>
      <c r="N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>
        <f>IF(G259="","",MAX(0,IF(H259&lt;&gt;"",H259-G259,IF(I259="Completed",0,TODAY()-G259))))</f>
        <v/>
      </c>
      <c r="N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>
        <f>IF(G260="","",MAX(0,IF(H260&lt;&gt;"",H260-G260,IF(I260="Completed",0,TODAY()-G260))))</f>
        <v/>
      </c>
      <c r="N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>
        <f>IF(G261="","",MAX(0,IF(H261&lt;&gt;"",H261-G261,IF(I261="Completed",0,TODAY()-G261))))</f>
        <v/>
      </c>
      <c r="N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>
        <f>IF(G262="","",MAX(0,IF(H262&lt;&gt;"",H262-G262,IF(I262="Completed",0,TODAY()-G262))))</f>
        <v/>
      </c>
      <c r="N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>
        <f>IF(G263="","",MAX(0,IF(H263&lt;&gt;"",H263-G263,IF(I263="Completed",0,TODAY()-G263))))</f>
        <v/>
      </c>
      <c r="N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>
        <f>IF(G264="","",MAX(0,IF(H264&lt;&gt;"",H264-G264,IF(I264="Completed",0,TODAY()-G264))))</f>
        <v/>
      </c>
      <c r="N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>
        <f>IF(G265="","",MAX(0,IF(H265&lt;&gt;"",H265-G265,IF(I265="Completed",0,TODAY()-G265))))</f>
        <v/>
      </c>
      <c r="N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>
        <f>IF(G266="","",MAX(0,IF(H266&lt;&gt;"",H266-G266,IF(I266="Completed",0,TODAY()-G266))))</f>
        <v/>
      </c>
      <c r="N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>
        <f>IF(G267="","",MAX(0,IF(H267&lt;&gt;"",H267-G267,IF(I267="Completed",0,TODAY()-G267))))</f>
        <v/>
      </c>
      <c r="N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>
        <f>IF(G268="","",MAX(0,IF(H268&lt;&gt;"",H268-G268,IF(I268="Completed",0,TODAY()-G268))))</f>
        <v/>
      </c>
      <c r="N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>
        <f>IF(G269="","",MAX(0,IF(H269&lt;&gt;"",H269-G269,IF(I269="Completed",0,TODAY()-G269))))</f>
        <v/>
      </c>
      <c r="N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>
        <f>IF(G270="","",MAX(0,IF(H270&lt;&gt;"",H270-G270,IF(I270="Completed",0,TODAY()-G270))))</f>
        <v/>
      </c>
      <c r="N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>
        <f>IF(G271="","",MAX(0,IF(H271&lt;&gt;"",H271-G271,IF(I271="Completed",0,TODAY()-G271))))</f>
        <v/>
      </c>
      <c r="N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>
        <f>IF(G272="","",MAX(0,IF(H272&lt;&gt;"",H272-G272,IF(I272="Completed",0,TODAY()-G272))))</f>
        <v/>
      </c>
      <c r="N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>
        <f>IF(G273="","",MAX(0,IF(H273&lt;&gt;"",H273-G273,IF(I273="Completed",0,TODAY()-G273))))</f>
        <v/>
      </c>
      <c r="N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>
        <f>IF(G274="","",MAX(0,IF(H274&lt;&gt;"",H274-G274,IF(I274="Completed",0,TODAY()-G274))))</f>
        <v/>
      </c>
      <c r="N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>
        <f>IF(G275="","",MAX(0,IF(H275&lt;&gt;"",H275-G275,IF(I275="Completed",0,TODAY()-G275))))</f>
        <v/>
      </c>
      <c r="N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>
        <f>IF(G276="","",MAX(0,IF(H276&lt;&gt;"",H276-G276,IF(I276="Completed",0,TODAY()-G276))))</f>
        <v/>
      </c>
      <c r="N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>
        <f>IF(G277="","",MAX(0,IF(H277&lt;&gt;"",H277-G277,IF(I277="Completed",0,TODAY()-G277))))</f>
        <v/>
      </c>
      <c r="N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>
        <f>IF(G278="","",MAX(0,IF(H278&lt;&gt;"",H278-G278,IF(I278="Completed",0,TODAY()-G278))))</f>
        <v/>
      </c>
      <c r="N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>
        <f>IF(G279="","",MAX(0,IF(H279&lt;&gt;"",H279-G279,IF(I279="Completed",0,TODAY()-G279))))</f>
        <v/>
      </c>
      <c r="N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>
        <f>IF(G280="","",MAX(0,IF(H280&lt;&gt;"",H280-G280,IF(I280="Completed",0,TODAY()-G280))))</f>
        <v/>
      </c>
      <c r="N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>
        <f>IF(G281="","",MAX(0,IF(H281&lt;&gt;"",H281-G281,IF(I281="Completed",0,TODAY()-G281))))</f>
        <v/>
      </c>
      <c r="N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>
        <f>IF(G282="","",MAX(0,IF(H282&lt;&gt;"",H282-G282,IF(I282="Completed",0,TODAY()-G282))))</f>
        <v/>
      </c>
      <c r="N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>
        <f>IF(G283="","",MAX(0,IF(H283&lt;&gt;"",H283-G283,IF(I283="Completed",0,TODAY()-G283))))</f>
        <v/>
      </c>
      <c r="N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>
        <f>IF(G284="","",MAX(0,IF(H284&lt;&gt;"",H284-G284,IF(I284="Completed",0,TODAY()-G284))))</f>
        <v/>
      </c>
      <c r="N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>
        <f>IF(G285="","",MAX(0,IF(H285&lt;&gt;"",H285-G285,IF(I285="Completed",0,TODAY()-G285))))</f>
        <v/>
      </c>
      <c r="N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>
        <f>IF(G286="","",MAX(0,IF(H286&lt;&gt;"",H286-G286,IF(I286="Completed",0,TODAY()-G286))))</f>
        <v/>
      </c>
      <c r="N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>
        <f>IF(G287="","",MAX(0,IF(H287&lt;&gt;"",H287-G287,IF(I287="Completed",0,TODAY()-G287))))</f>
        <v/>
      </c>
      <c r="N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>
        <f>IF(G288="","",MAX(0,IF(H288&lt;&gt;"",H288-G288,IF(I288="Completed",0,TODAY()-G288))))</f>
        <v/>
      </c>
      <c r="N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>
        <f>IF(G289="","",MAX(0,IF(H289&lt;&gt;"",H289-G289,IF(I289="Completed",0,TODAY()-G289))))</f>
        <v/>
      </c>
      <c r="N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>
        <f>IF(G290="","",MAX(0,IF(H290&lt;&gt;"",H290-G290,IF(I290="Completed",0,TODAY()-G290))))</f>
        <v/>
      </c>
      <c r="N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>
        <f>IF(G291="","",MAX(0,IF(H291&lt;&gt;"",H291-G291,IF(I291="Completed",0,TODAY()-G291))))</f>
        <v/>
      </c>
      <c r="N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>
        <f>IF(G292="","",MAX(0,IF(H292&lt;&gt;"",H292-G292,IF(I292="Completed",0,TODAY()-G292))))</f>
        <v/>
      </c>
      <c r="N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>
        <f>IF(G293="","",MAX(0,IF(H293&lt;&gt;"",H293-G293,IF(I293="Completed",0,TODAY()-G293))))</f>
        <v/>
      </c>
      <c r="N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>
        <f>IF(G294="","",MAX(0,IF(H294&lt;&gt;"",H294-G294,IF(I294="Completed",0,TODAY()-G294))))</f>
        <v/>
      </c>
      <c r="N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>
        <f>IF(G295="","",MAX(0,IF(H295&lt;&gt;"",H295-G295,IF(I295="Completed",0,TODAY()-G295))))</f>
        <v/>
      </c>
      <c r="N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>
        <f>IF(G296="","",MAX(0,IF(H296&lt;&gt;"",H296-G296,IF(I296="Completed",0,TODAY()-G296))))</f>
        <v/>
      </c>
      <c r="N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>
        <f>IF(G297="","",MAX(0,IF(H297&lt;&gt;"",H297-G297,IF(I297="Completed",0,TODAY()-G297))))</f>
        <v/>
      </c>
      <c r="N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>
        <f>IF(G298="","",MAX(0,IF(H298&lt;&gt;"",H298-G298,IF(I298="Completed",0,TODAY()-G298))))</f>
        <v/>
      </c>
      <c r="N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>
        <f>IF(G299="","",MAX(0,IF(H299&lt;&gt;"",H299-G299,IF(I299="Completed",0,TODAY()-G299))))</f>
        <v/>
      </c>
      <c r="N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>
        <f>IF(G300="","",MAX(0,IF(H300&lt;&gt;"",H300-G300,IF(I300="Completed",0,TODAY()-G300))))</f>
        <v/>
      </c>
      <c r="N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>
        <f>IF(G301="","",MAX(0,IF(H301&lt;&gt;"",H301-G301,IF(I301="Completed",0,TODAY()-G301))))</f>
        <v/>
      </c>
      <c r="N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>
        <f>IF(G302="","",MAX(0,IF(H302&lt;&gt;"",H302-G302,IF(I302="Completed",0,TODAY()-G302))))</f>
        <v/>
      </c>
      <c r="N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>
        <f>IF(G303="","",MAX(0,IF(H303&lt;&gt;"",H303-G303,IF(I303="Completed",0,TODAY()-G303))))</f>
        <v/>
      </c>
      <c r="N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>
        <f>IF(G304="","",MAX(0,IF(H304&lt;&gt;"",H304-G304,IF(I304="Completed",0,TODAY()-G304))))</f>
        <v/>
      </c>
      <c r="N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>
        <f>IF(G305="","",MAX(0,IF(H305&lt;&gt;"",H305-G305,IF(I305="Completed",0,TODAY()-G305))))</f>
        <v/>
      </c>
      <c r="N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>
        <f>IF(G306="","",MAX(0,IF(H306&lt;&gt;"",H306-G306,IF(I306="Completed",0,TODAY()-G306))))</f>
        <v/>
      </c>
      <c r="N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>
        <f>IF(G307="","",MAX(0,IF(H307&lt;&gt;"",H307-G307,IF(I307="Completed",0,TODAY()-G307))))</f>
        <v/>
      </c>
      <c r="N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>
        <f>IF(G308="","",MAX(0,IF(H308&lt;&gt;"",H308-G308,IF(I308="Completed",0,TODAY()-G308))))</f>
        <v/>
      </c>
      <c r="N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>
        <f>IF(G309="","",MAX(0,IF(H309&lt;&gt;"",H309-G309,IF(I309="Completed",0,TODAY()-G309))))</f>
        <v/>
      </c>
      <c r="N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>
        <f>IF(G310="","",MAX(0,IF(H310&lt;&gt;"",H310-G310,IF(I310="Completed",0,TODAY()-G310))))</f>
        <v/>
      </c>
      <c r="N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>
        <f>IF(G311="","",MAX(0,IF(H311&lt;&gt;"",H311-G311,IF(I311="Completed",0,TODAY()-G311))))</f>
        <v/>
      </c>
      <c r="N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>
        <f>IF(G312="","",MAX(0,IF(H312&lt;&gt;"",H312-G312,IF(I312="Completed",0,TODAY()-G312))))</f>
        <v/>
      </c>
      <c r="N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>
        <f>IF(G313="","",MAX(0,IF(H313&lt;&gt;"",H313-G313,IF(I313="Completed",0,TODAY()-G313))))</f>
        <v/>
      </c>
      <c r="N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>
        <f>IF(G314="","",MAX(0,IF(H314&lt;&gt;"",H314-G314,IF(I314="Completed",0,TODAY()-G314))))</f>
        <v/>
      </c>
      <c r="N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>
        <f>IF(G315="","",MAX(0,IF(H315&lt;&gt;"",H315-G315,IF(I315="Completed",0,TODAY()-G315))))</f>
        <v/>
      </c>
      <c r="N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>
        <f>IF(G316="","",MAX(0,IF(H316&lt;&gt;"",H316-G316,IF(I316="Completed",0,TODAY()-G316))))</f>
        <v/>
      </c>
      <c r="N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>
        <f>IF(G317="","",MAX(0,IF(H317&lt;&gt;"",H317-G317,IF(I317="Completed",0,TODAY()-G317))))</f>
        <v/>
      </c>
      <c r="N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>
        <f>IF(G318="","",MAX(0,IF(H318&lt;&gt;"",H318-G318,IF(I318="Completed",0,TODAY()-G318))))</f>
        <v/>
      </c>
      <c r="N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>
        <f>IF(G319="","",MAX(0,IF(H319&lt;&gt;"",H319-G319,IF(I319="Completed",0,TODAY()-G319))))</f>
        <v/>
      </c>
      <c r="N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>
        <f>IF(G320="","",MAX(0,IF(H320&lt;&gt;"",H320-G320,IF(I320="Completed",0,TODAY()-G320))))</f>
        <v/>
      </c>
      <c r="N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>
        <f>IF(G321="","",MAX(0,IF(H321&lt;&gt;"",H321-G321,IF(I321="Completed",0,TODAY()-G321))))</f>
        <v/>
      </c>
      <c r="N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>
        <f>IF(G322="","",MAX(0,IF(H322&lt;&gt;"",H322-G322,IF(I322="Completed",0,TODAY()-G322))))</f>
        <v/>
      </c>
      <c r="N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>
        <f>IF(G323="","",MAX(0,IF(H323&lt;&gt;"",H323-G323,IF(I323="Completed",0,TODAY()-G323))))</f>
        <v/>
      </c>
      <c r="N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>
        <f>IF(G324="","",MAX(0,IF(H324&lt;&gt;"",H324-G324,IF(I324="Completed",0,TODAY()-G324))))</f>
        <v/>
      </c>
      <c r="N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>
        <f>IF(G325="","",MAX(0,IF(H325&lt;&gt;"",H325-G325,IF(I325="Completed",0,TODAY()-G325))))</f>
        <v/>
      </c>
      <c r="N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>
        <f>IF(G326="","",MAX(0,IF(H326&lt;&gt;"",H326-G326,IF(I326="Completed",0,TODAY()-G326))))</f>
        <v/>
      </c>
      <c r="N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>
        <f>IF(G327="","",MAX(0,IF(H327&lt;&gt;"",H327-G327,IF(I327="Completed",0,TODAY()-G327))))</f>
        <v/>
      </c>
      <c r="N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>
        <f>IF(G328="","",MAX(0,IF(H328&lt;&gt;"",H328-G328,IF(I328="Completed",0,TODAY()-G328))))</f>
        <v/>
      </c>
      <c r="N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>
        <f>IF(G329="","",MAX(0,IF(H329&lt;&gt;"",H329-G329,IF(I329="Completed",0,TODAY()-G329))))</f>
        <v/>
      </c>
      <c r="N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>
        <f>IF(G330="","",MAX(0,IF(H330&lt;&gt;"",H330-G330,IF(I330="Completed",0,TODAY()-G330))))</f>
        <v/>
      </c>
      <c r="N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>
        <f>IF(G331="","",MAX(0,IF(H331&lt;&gt;"",H331-G331,IF(I331="Completed",0,TODAY()-G331))))</f>
        <v/>
      </c>
      <c r="N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>
        <f>IF(G332="","",MAX(0,IF(H332&lt;&gt;"",H332-G332,IF(I332="Completed",0,TODAY()-G332))))</f>
        <v/>
      </c>
      <c r="N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>
        <f>IF(G333="","",MAX(0,IF(H333&lt;&gt;"",H333-G333,IF(I333="Completed",0,TODAY()-G333))))</f>
        <v/>
      </c>
      <c r="N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>
        <f>IF(G334="","",MAX(0,IF(H334&lt;&gt;"",H334-G334,IF(I334="Completed",0,TODAY()-G334))))</f>
        <v/>
      </c>
      <c r="N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>
        <f>IF(G335="","",MAX(0,IF(H335&lt;&gt;"",H335-G335,IF(I335="Completed",0,TODAY()-G335))))</f>
        <v/>
      </c>
      <c r="N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>
        <f>IF(G336="","",MAX(0,IF(H336&lt;&gt;"",H336-G336,IF(I336="Completed",0,TODAY()-G336))))</f>
        <v/>
      </c>
      <c r="N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>
        <f>IF(G337="","",MAX(0,IF(H337&lt;&gt;"",H337-G337,IF(I337="Completed",0,TODAY()-G337))))</f>
        <v/>
      </c>
      <c r="N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>
        <f>IF(G338="","",MAX(0,IF(H338&lt;&gt;"",H338-G338,IF(I338="Completed",0,TODAY()-G338))))</f>
        <v/>
      </c>
      <c r="N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>
        <f>IF(G339="","",MAX(0,IF(H339&lt;&gt;"",H339-G339,IF(I339="Completed",0,TODAY()-G339))))</f>
        <v/>
      </c>
      <c r="N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>
        <f>IF(G340="","",MAX(0,IF(H340&lt;&gt;"",H340-G340,IF(I340="Completed",0,TODAY()-G340))))</f>
        <v/>
      </c>
      <c r="N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>
        <f>IF(G341="","",MAX(0,IF(H341&lt;&gt;"",H341-G341,IF(I341="Completed",0,TODAY()-G341))))</f>
        <v/>
      </c>
      <c r="N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>
        <f>IF(G342="","",MAX(0,IF(H342&lt;&gt;"",H342-G342,IF(I342="Completed",0,TODAY()-G342))))</f>
        <v/>
      </c>
      <c r="N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>
        <f>IF(G343="","",MAX(0,IF(H343&lt;&gt;"",H343-G343,IF(I343="Completed",0,TODAY()-G343))))</f>
        <v/>
      </c>
      <c r="N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>
        <f>IF(G344="","",MAX(0,IF(H344&lt;&gt;"",H344-G344,IF(I344="Completed",0,TODAY()-G344))))</f>
        <v/>
      </c>
      <c r="N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>
        <f>IF(G345="","",MAX(0,IF(H345&lt;&gt;"",H345-G345,IF(I345="Completed",0,TODAY()-G345))))</f>
        <v/>
      </c>
      <c r="N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>
        <f>IF(G346="","",MAX(0,IF(H346&lt;&gt;"",H346-G346,IF(I346="Completed",0,TODAY()-G346))))</f>
        <v/>
      </c>
      <c r="N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>
        <f>IF(G347="","",MAX(0,IF(H347&lt;&gt;"",H347-G347,IF(I347="Completed",0,TODAY()-G347))))</f>
        <v/>
      </c>
      <c r="N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>
        <f>IF(G348="","",MAX(0,IF(H348&lt;&gt;"",H348-G348,IF(I348="Completed",0,TODAY()-G348))))</f>
        <v/>
      </c>
      <c r="N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>
        <f>IF(G349="","",MAX(0,IF(H349&lt;&gt;"",H349-G349,IF(I349="Completed",0,TODAY()-G349))))</f>
        <v/>
      </c>
      <c r="N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>
        <f>IF(G350="","",MAX(0,IF(H350&lt;&gt;"",H350-G350,IF(I350="Completed",0,TODAY()-G350))))</f>
        <v/>
      </c>
      <c r="N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>
        <f>IF(G351="","",MAX(0,IF(H351&lt;&gt;"",H351-G351,IF(I351="Completed",0,TODAY()-G351))))</f>
        <v/>
      </c>
      <c r="N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>
        <f>IF(G352="","",MAX(0,IF(H352&lt;&gt;"",H352-G352,IF(I352="Completed",0,TODAY()-G352))))</f>
        <v/>
      </c>
      <c r="N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>
        <f>IF(G353="","",MAX(0,IF(H353&lt;&gt;"",H353-G353,IF(I353="Completed",0,TODAY()-G353))))</f>
        <v/>
      </c>
      <c r="N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>
        <f>IF(G354="","",MAX(0,IF(H354&lt;&gt;"",H354-G354,IF(I354="Completed",0,TODAY()-G354))))</f>
        <v/>
      </c>
      <c r="N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>
        <f>IF(G355="","",MAX(0,IF(H355&lt;&gt;"",H355-G355,IF(I355="Completed",0,TODAY()-G355))))</f>
        <v/>
      </c>
      <c r="N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>
        <f>IF(G356="","",MAX(0,IF(H356&lt;&gt;"",H356-G356,IF(I356="Completed",0,TODAY()-G356))))</f>
        <v/>
      </c>
      <c r="N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>
        <f>IF(G357="","",MAX(0,IF(H357&lt;&gt;"",H357-G357,IF(I357="Completed",0,TODAY()-G357))))</f>
        <v/>
      </c>
      <c r="N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>
        <f>IF(G358="","",MAX(0,IF(H358&lt;&gt;"",H358-G358,IF(I358="Completed",0,TODAY()-G358))))</f>
        <v/>
      </c>
      <c r="N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>
        <f>IF(G359="","",MAX(0,IF(H359&lt;&gt;"",H359-G359,IF(I359="Completed",0,TODAY()-G359))))</f>
        <v/>
      </c>
      <c r="N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>
        <f>IF(G360="","",MAX(0,IF(H360&lt;&gt;"",H360-G360,IF(I360="Completed",0,TODAY()-G360))))</f>
        <v/>
      </c>
      <c r="N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>
        <f>IF(G361="","",MAX(0,IF(H361&lt;&gt;"",H361-G361,IF(I361="Completed",0,TODAY()-G361))))</f>
        <v/>
      </c>
      <c r="N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>
        <f>IF(G362="","",MAX(0,IF(H362&lt;&gt;"",H362-G362,IF(I362="Completed",0,TODAY()-G362))))</f>
        <v/>
      </c>
      <c r="N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>
        <f>IF(G363="","",MAX(0,IF(H363&lt;&gt;"",H363-G363,IF(I363="Completed",0,TODAY()-G363))))</f>
        <v/>
      </c>
      <c r="N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>
        <f>IF(G364="","",MAX(0,IF(H364&lt;&gt;"",H364-G364,IF(I364="Completed",0,TODAY()-G364))))</f>
        <v/>
      </c>
      <c r="N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>
        <f>IF(G365="","",MAX(0,IF(H365&lt;&gt;"",H365-G365,IF(I365="Completed",0,TODAY()-G365))))</f>
        <v/>
      </c>
      <c r="N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>
        <f>IF(G366="","",MAX(0,IF(H366&lt;&gt;"",H366-G366,IF(I366="Completed",0,TODAY()-G366))))</f>
        <v/>
      </c>
      <c r="N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>
        <f>IF(G367="","",MAX(0,IF(H367&lt;&gt;"",H367-G367,IF(I367="Completed",0,TODAY()-G367))))</f>
        <v/>
      </c>
      <c r="N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>
        <f>IF(G368="","",MAX(0,IF(H368&lt;&gt;"",H368-G368,IF(I368="Completed",0,TODAY()-G368))))</f>
        <v/>
      </c>
      <c r="N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>
        <f>IF(G369="","",MAX(0,IF(H369&lt;&gt;"",H369-G369,IF(I369="Completed",0,TODAY()-G369))))</f>
        <v/>
      </c>
      <c r="N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>
        <f>IF(G370="","",MAX(0,IF(H370&lt;&gt;"",H370-G370,IF(I370="Completed",0,TODAY()-G370))))</f>
        <v/>
      </c>
      <c r="N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>
        <f>IF(G371="","",MAX(0,IF(H371&lt;&gt;"",H371-G371,IF(I371="Completed",0,TODAY()-G371))))</f>
        <v/>
      </c>
      <c r="N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>
        <f>IF(G372="","",MAX(0,IF(H372&lt;&gt;"",H372-G372,IF(I372="Completed",0,TODAY()-G372))))</f>
        <v/>
      </c>
      <c r="N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>
        <f>IF(G373="","",MAX(0,IF(H373&lt;&gt;"",H373-G373,IF(I373="Completed",0,TODAY()-G373))))</f>
        <v/>
      </c>
      <c r="N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>
        <f>IF(G374="","",MAX(0,IF(H374&lt;&gt;"",H374-G374,IF(I374="Completed",0,TODAY()-G374))))</f>
        <v/>
      </c>
      <c r="N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>
        <f>IF(G375="","",MAX(0,IF(H375&lt;&gt;"",H375-G375,IF(I375="Completed",0,TODAY()-G375))))</f>
        <v/>
      </c>
      <c r="N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>
        <f>IF(G376="","",MAX(0,IF(H376&lt;&gt;"",H376-G376,IF(I376="Completed",0,TODAY()-G376))))</f>
        <v/>
      </c>
      <c r="N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>
        <f>IF(G377="","",MAX(0,IF(H377&lt;&gt;"",H377-G377,IF(I377="Completed",0,TODAY()-G377))))</f>
        <v/>
      </c>
      <c r="N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>
        <f>IF(G378="","",MAX(0,IF(H378&lt;&gt;"",H378-G378,IF(I378="Completed",0,TODAY()-G378))))</f>
        <v/>
      </c>
      <c r="N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>
        <f>IF(G379="","",MAX(0,IF(H379&lt;&gt;"",H379-G379,IF(I379="Completed",0,TODAY()-G379))))</f>
        <v/>
      </c>
      <c r="N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>
        <f>IF(G380="","",MAX(0,IF(H380&lt;&gt;"",H380-G380,IF(I380="Completed",0,TODAY()-G380))))</f>
        <v/>
      </c>
      <c r="N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>
        <f>IF(G381="","",MAX(0,IF(H381&lt;&gt;"",H381-G381,IF(I381="Completed",0,TODAY()-G381))))</f>
        <v/>
      </c>
      <c r="N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>
        <f>IF(G382="","",MAX(0,IF(H382&lt;&gt;"",H382-G382,IF(I382="Completed",0,TODAY()-G382))))</f>
        <v/>
      </c>
      <c r="N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>
        <f>IF(G383="","",MAX(0,IF(H383&lt;&gt;"",H383-G383,IF(I383="Completed",0,TODAY()-G383))))</f>
        <v/>
      </c>
      <c r="N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>
        <f>IF(G384="","",MAX(0,IF(H384&lt;&gt;"",H384-G384,IF(I384="Completed",0,TODAY()-G384))))</f>
        <v/>
      </c>
      <c r="N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>
        <f>IF(G385="","",MAX(0,IF(H385&lt;&gt;"",H385-G385,IF(I385="Completed",0,TODAY()-G385))))</f>
        <v/>
      </c>
      <c r="N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>
        <f>IF(G386="","",MAX(0,IF(H386&lt;&gt;"",H386-G386,IF(I386="Completed",0,TODAY()-G386))))</f>
        <v/>
      </c>
      <c r="N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>
        <f>IF(G387="","",MAX(0,IF(H387&lt;&gt;"",H387-G387,IF(I387="Completed",0,TODAY()-G387))))</f>
        <v/>
      </c>
      <c r="N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>
        <f>IF(G388="","",MAX(0,IF(H388&lt;&gt;"",H388-G388,IF(I388="Completed",0,TODAY()-G388))))</f>
        <v/>
      </c>
      <c r="N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>
        <f>IF(G389="","",MAX(0,IF(H389&lt;&gt;"",H389-G389,IF(I389="Completed",0,TODAY()-G389))))</f>
        <v/>
      </c>
      <c r="N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>
        <f>IF(G390="","",MAX(0,IF(H390&lt;&gt;"",H390-G390,IF(I390="Completed",0,TODAY()-G390))))</f>
        <v/>
      </c>
      <c r="N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>
        <f>IF(G391="","",MAX(0,IF(H391&lt;&gt;"",H391-G391,IF(I391="Completed",0,TODAY()-G391))))</f>
        <v/>
      </c>
      <c r="N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>
        <f>IF(G392="","",MAX(0,IF(H392&lt;&gt;"",H392-G392,IF(I392="Completed",0,TODAY()-G392))))</f>
        <v/>
      </c>
      <c r="N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>
        <f>IF(G393="","",MAX(0,IF(H393&lt;&gt;"",H393-G393,IF(I393="Completed",0,TODAY()-G393))))</f>
        <v/>
      </c>
      <c r="N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>
        <f>IF(G394="","",MAX(0,IF(H394&lt;&gt;"",H394-G394,IF(I394="Completed",0,TODAY()-G394))))</f>
        <v/>
      </c>
      <c r="N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>
        <f>IF(G395="","",MAX(0,IF(H395&lt;&gt;"",H395-G395,IF(I395="Completed",0,TODAY()-G395))))</f>
        <v/>
      </c>
      <c r="N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>
        <f>IF(G396="","",MAX(0,IF(H396&lt;&gt;"",H396-G396,IF(I396="Completed",0,TODAY()-G396))))</f>
        <v/>
      </c>
      <c r="N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>
        <f>IF(G397="","",MAX(0,IF(H397&lt;&gt;"",H397-G397,IF(I397="Completed",0,TODAY()-G397))))</f>
        <v/>
      </c>
      <c r="N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>
        <f>IF(G398="","",MAX(0,IF(H398&lt;&gt;"",H398-G398,IF(I398="Completed",0,TODAY()-G398))))</f>
        <v/>
      </c>
      <c r="N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>
        <f>IF(G399="","",MAX(0,IF(H399&lt;&gt;"",H399-G399,IF(I399="Completed",0,TODAY()-G399))))</f>
        <v/>
      </c>
      <c r="N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>
        <f>IF(G400="","",MAX(0,IF(H400&lt;&gt;"",H400-G400,IF(I400="Completed",0,TODAY()-G400))))</f>
        <v/>
      </c>
      <c r="N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>
        <f>IF(G401="","",MAX(0,IF(H401&lt;&gt;"",H401-G401,IF(I401="Completed",0,TODAY()-G401))))</f>
        <v/>
      </c>
      <c r="N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>
        <f>IF(G402="","",MAX(0,IF(H402&lt;&gt;"",H402-G402,IF(I402="Completed",0,TODAY()-G402))))</f>
        <v/>
      </c>
      <c r="N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>
        <f>IF(G403="","",MAX(0,IF(H403&lt;&gt;"",H403-G403,IF(I403="Completed",0,TODAY()-G403))))</f>
        <v/>
      </c>
      <c r="N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>
        <f>IF(G404="","",MAX(0,IF(H404&lt;&gt;"",H404-G404,IF(I404="Completed",0,TODAY()-G404))))</f>
        <v/>
      </c>
      <c r="N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>
        <f>IF(G405="","",MAX(0,IF(H405&lt;&gt;"",H405-G405,IF(I405="Completed",0,TODAY()-G405))))</f>
        <v/>
      </c>
      <c r="N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>
        <f>IF(G406="","",MAX(0,IF(H406&lt;&gt;"",H406-G406,IF(I406="Completed",0,TODAY()-G406))))</f>
        <v/>
      </c>
      <c r="N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>
        <f>IF(G407="","",MAX(0,IF(H407&lt;&gt;"",H407-G407,IF(I407="Completed",0,TODAY()-G407))))</f>
        <v/>
      </c>
      <c r="N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>
        <f>IF(G408="","",MAX(0,IF(H408&lt;&gt;"",H408-G408,IF(I408="Completed",0,TODAY()-G408))))</f>
        <v/>
      </c>
      <c r="N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>
        <f>IF(G409="","",MAX(0,IF(H409&lt;&gt;"",H409-G409,IF(I409="Completed",0,TODAY()-G409))))</f>
        <v/>
      </c>
      <c r="N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>
        <f>IF(G410="","",MAX(0,IF(H410&lt;&gt;"",H410-G410,IF(I410="Completed",0,TODAY()-G410))))</f>
        <v/>
      </c>
      <c r="N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>
        <f>IF(G411="","",MAX(0,IF(H411&lt;&gt;"",H411-G411,IF(I411="Completed",0,TODAY()-G411))))</f>
        <v/>
      </c>
      <c r="N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>
        <f>IF(G412="","",MAX(0,IF(H412&lt;&gt;"",H412-G412,IF(I412="Completed",0,TODAY()-G412))))</f>
        <v/>
      </c>
      <c r="N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>
        <f>IF(G413="","",MAX(0,IF(H413&lt;&gt;"",H413-G413,IF(I413="Completed",0,TODAY()-G413))))</f>
        <v/>
      </c>
      <c r="N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>
        <f>IF(G414="","",MAX(0,IF(H414&lt;&gt;"",H414-G414,IF(I414="Completed",0,TODAY()-G414))))</f>
        <v/>
      </c>
      <c r="N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>
        <f>IF(G415="","",MAX(0,IF(H415&lt;&gt;"",H415-G415,IF(I415="Completed",0,TODAY()-G415))))</f>
        <v/>
      </c>
      <c r="N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>
        <f>IF(G416="","",MAX(0,IF(H416&lt;&gt;"",H416-G416,IF(I416="Completed",0,TODAY()-G416))))</f>
        <v/>
      </c>
      <c r="N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>
        <f>IF(G417="","",MAX(0,IF(H417&lt;&gt;"",H417-G417,IF(I417="Completed",0,TODAY()-G417))))</f>
        <v/>
      </c>
      <c r="N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>
        <f>IF(G418="","",MAX(0,IF(H418&lt;&gt;"",H418-G418,IF(I418="Completed",0,TODAY()-G418))))</f>
        <v/>
      </c>
      <c r="N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>
        <f>IF(G419="","",MAX(0,IF(H419&lt;&gt;"",H419-G419,IF(I419="Completed",0,TODAY()-G419))))</f>
        <v/>
      </c>
      <c r="N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>
        <f>IF(G420="","",MAX(0,IF(H420&lt;&gt;"",H420-G420,IF(I420="Completed",0,TODAY()-G420))))</f>
        <v/>
      </c>
      <c r="N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>
        <f>IF(G421="","",MAX(0,IF(H421&lt;&gt;"",H421-G421,IF(I421="Completed",0,TODAY()-G421))))</f>
        <v/>
      </c>
      <c r="N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>
        <f>IF(G422="","",MAX(0,IF(H422&lt;&gt;"",H422-G422,IF(I422="Completed",0,TODAY()-G422))))</f>
        <v/>
      </c>
      <c r="N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>
        <f>IF(G423="","",MAX(0,IF(H423&lt;&gt;"",H423-G423,IF(I423="Completed",0,TODAY()-G423))))</f>
        <v/>
      </c>
      <c r="N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>
        <f>IF(G424="","",MAX(0,IF(H424&lt;&gt;"",H424-G424,IF(I424="Completed",0,TODAY()-G424))))</f>
        <v/>
      </c>
      <c r="N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>
        <f>IF(G425="","",MAX(0,IF(H425&lt;&gt;"",H425-G425,IF(I425="Completed",0,TODAY()-G425))))</f>
        <v/>
      </c>
      <c r="N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>
        <f>IF(G426="","",MAX(0,IF(H426&lt;&gt;"",H426-G426,IF(I426="Completed",0,TODAY()-G426))))</f>
        <v/>
      </c>
      <c r="N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>
        <f>IF(G427="","",MAX(0,IF(H427&lt;&gt;"",H427-G427,IF(I427="Completed",0,TODAY()-G427))))</f>
        <v/>
      </c>
      <c r="N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>
        <f>IF(G428="","",MAX(0,IF(H428&lt;&gt;"",H428-G428,IF(I428="Completed",0,TODAY()-G428))))</f>
        <v/>
      </c>
      <c r="N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>
        <f>IF(G429="","",MAX(0,IF(H429&lt;&gt;"",H429-G429,IF(I429="Completed",0,TODAY()-G429))))</f>
        <v/>
      </c>
      <c r="N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>
        <f>IF(G430="","",MAX(0,IF(H430&lt;&gt;"",H430-G430,IF(I430="Completed",0,TODAY()-G430))))</f>
        <v/>
      </c>
      <c r="N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>
        <f>IF(G431="","",MAX(0,IF(H431&lt;&gt;"",H431-G431,IF(I431="Completed",0,TODAY()-G431))))</f>
        <v/>
      </c>
      <c r="N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>
        <f>IF(G432="","",MAX(0,IF(H432&lt;&gt;"",H432-G432,IF(I432="Completed",0,TODAY()-G432))))</f>
        <v/>
      </c>
      <c r="N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>
        <f>IF(G433="","",MAX(0,IF(H433&lt;&gt;"",H433-G433,IF(I433="Completed",0,TODAY()-G433))))</f>
        <v/>
      </c>
      <c r="N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>
        <f>IF(G434="","",MAX(0,IF(H434&lt;&gt;"",H434-G434,IF(I434="Completed",0,TODAY()-G434))))</f>
        <v/>
      </c>
      <c r="N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>
        <f>IF(G435="","",MAX(0,IF(H435&lt;&gt;"",H435-G435,IF(I435="Completed",0,TODAY()-G435))))</f>
        <v/>
      </c>
      <c r="N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>
        <f>IF(G436="","",MAX(0,IF(H436&lt;&gt;"",H436-G436,IF(I436="Completed",0,TODAY()-G436))))</f>
        <v/>
      </c>
      <c r="N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>
        <f>IF(G437="","",MAX(0,IF(H437&lt;&gt;"",H437-G437,IF(I437="Completed",0,TODAY()-G437))))</f>
        <v/>
      </c>
      <c r="N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>
        <f>IF(G438="","",MAX(0,IF(H438&lt;&gt;"",H438-G438,IF(I438="Completed",0,TODAY()-G438))))</f>
        <v/>
      </c>
      <c r="N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>
        <f>IF(G439="","",MAX(0,IF(H439&lt;&gt;"",H439-G439,IF(I439="Completed",0,TODAY()-G439))))</f>
        <v/>
      </c>
      <c r="N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>
        <f>IF(G440="","",MAX(0,IF(H440&lt;&gt;"",H440-G440,IF(I440="Completed",0,TODAY()-G440))))</f>
        <v/>
      </c>
      <c r="N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>
        <f>IF(G441="","",MAX(0,IF(H441&lt;&gt;"",H441-G441,IF(I441="Completed",0,TODAY()-G441))))</f>
        <v/>
      </c>
      <c r="N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>
        <f>IF(G442="","",MAX(0,IF(H442&lt;&gt;"",H442-G442,IF(I442="Completed",0,TODAY()-G442))))</f>
        <v/>
      </c>
      <c r="N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>
        <f>IF(G443="","",MAX(0,IF(H443&lt;&gt;"",H443-G443,IF(I443="Completed",0,TODAY()-G443))))</f>
        <v/>
      </c>
      <c r="N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>
        <f>IF(G444="","",MAX(0,IF(H444&lt;&gt;"",H444-G444,IF(I444="Completed",0,TODAY()-G444))))</f>
        <v/>
      </c>
      <c r="N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>
        <f>IF(G445="","",MAX(0,IF(H445&lt;&gt;"",H445-G445,IF(I445="Completed",0,TODAY()-G445))))</f>
        <v/>
      </c>
      <c r="N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>
        <f>IF(G446="","",MAX(0,IF(H446&lt;&gt;"",H446-G446,IF(I446="Completed",0,TODAY()-G446))))</f>
        <v/>
      </c>
      <c r="N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>
        <f>IF(G447="","",MAX(0,IF(H447&lt;&gt;"",H447-G447,IF(I447="Completed",0,TODAY()-G447))))</f>
        <v/>
      </c>
      <c r="N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>
        <f>IF(G448="","",MAX(0,IF(H448&lt;&gt;"",H448-G448,IF(I448="Completed",0,TODAY()-G448))))</f>
        <v/>
      </c>
      <c r="N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>
        <f>IF(G449="","",MAX(0,IF(H449&lt;&gt;"",H449-G449,IF(I449="Completed",0,TODAY()-G449))))</f>
        <v/>
      </c>
      <c r="N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>
        <f>IF(G450="","",MAX(0,IF(H450&lt;&gt;"",H450-G450,IF(I450="Completed",0,TODAY()-G450))))</f>
        <v/>
      </c>
      <c r="N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>
        <f>IF(G451="","",MAX(0,IF(H451&lt;&gt;"",H451-G451,IF(I451="Completed",0,TODAY()-G451))))</f>
        <v/>
      </c>
      <c r="N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>
        <f>IF(G452="","",MAX(0,IF(H452&lt;&gt;"",H452-G452,IF(I452="Completed",0,TODAY()-G452))))</f>
        <v/>
      </c>
      <c r="N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>
        <f>IF(G453="","",MAX(0,IF(H453&lt;&gt;"",H453-G453,IF(I453="Completed",0,TODAY()-G453))))</f>
        <v/>
      </c>
      <c r="N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>
        <f>IF(G454="","",MAX(0,IF(H454&lt;&gt;"",H454-G454,IF(I454="Completed",0,TODAY()-G454))))</f>
        <v/>
      </c>
      <c r="N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>
        <f>IF(G455="","",MAX(0,IF(H455&lt;&gt;"",H455-G455,IF(I455="Completed",0,TODAY()-G455))))</f>
        <v/>
      </c>
      <c r="N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>
        <f>IF(G456="","",MAX(0,IF(H456&lt;&gt;"",H456-G456,IF(I456="Completed",0,TODAY()-G456))))</f>
        <v/>
      </c>
      <c r="N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>
        <f>IF(G457="","",MAX(0,IF(H457&lt;&gt;"",H457-G457,IF(I457="Completed",0,TODAY()-G457))))</f>
        <v/>
      </c>
      <c r="N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>
        <f>IF(G458="","",MAX(0,IF(H458&lt;&gt;"",H458-G458,IF(I458="Completed",0,TODAY()-G458))))</f>
        <v/>
      </c>
      <c r="N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>
        <f>IF(G459="","",MAX(0,IF(H459&lt;&gt;"",H459-G459,IF(I459="Completed",0,TODAY()-G459))))</f>
        <v/>
      </c>
      <c r="N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>
        <f>IF(G460="","",MAX(0,IF(H460&lt;&gt;"",H460-G460,IF(I460="Completed",0,TODAY()-G460))))</f>
        <v/>
      </c>
      <c r="N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>
        <f>IF(G461="","",MAX(0,IF(H461&lt;&gt;"",H461-G461,IF(I461="Completed",0,TODAY()-G461))))</f>
        <v/>
      </c>
      <c r="N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>
        <f>IF(G462="","",MAX(0,IF(H462&lt;&gt;"",H462-G462,IF(I462="Completed",0,TODAY()-G462))))</f>
        <v/>
      </c>
      <c r="N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>
        <f>IF(G463="","",MAX(0,IF(H463&lt;&gt;"",H463-G463,IF(I463="Completed",0,TODAY()-G463))))</f>
        <v/>
      </c>
      <c r="N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>
        <f>IF(G464="","",MAX(0,IF(H464&lt;&gt;"",H464-G464,IF(I464="Completed",0,TODAY()-G464))))</f>
        <v/>
      </c>
      <c r="N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>
        <f>IF(G465="","",MAX(0,IF(H465&lt;&gt;"",H465-G465,IF(I465="Completed",0,TODAY()-G465))))</f>
        <v/>
      </c>
      <c r="N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>
        <f>IF(G466="","",MAX(0,IF(H466&lt;&gt;"",H466-G466,IF(I466="Completed",0,TODAY()-G466))))</f>
        <v/>
      </c>
      <c r="N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>
        <f>IF(G467="","",MAX(0,IF(H467&lt;&gt;"",H467-G467,IF(I467="Completed",0,TODAY()-G467))))</f>
        <v/>
      </c>
      <c r="N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>
        <f>IF(G468="","",MAX(0,IF(H468&lt;&gt;"",H468-G468,IF(I468="Completed",0,TODAY()-G468))))</f>
        <v/>
      </c>
      <c r="N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>
        <f>IF(G469="","",MAX(0,IF(H469&lt;&gt;"",H469-G469,IF(I469="Completed",0,TODAY()-G469))))</f>
        <v/>
      </c>
      <c r="N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>
        <f>IF(G470="","",MAX(0,IF(H470&lt;&gt;"",H470-G470,IF(I470="Completed",0,TODAY()-G470))))</f>
        <v/>
      </c>
      <c r="N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>
        <f>IF(G471="","",MAX(0,IF(H471&lt;&gt;"",H471-G471,IF(I471="Completed",0,TODAY()-G471))))</f>
        <v/>
      </c>
      <c r="N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>
        <f>IF(G472="","",MAX(0,IF(H472&lt;&gt;"",H472-G472,IF(I472="Completed",0,TODAY()-G472))))</f>
        <v/>
      </c>
      <c r="N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>
        <f>IF(G473="","",MAX(0,IF(H473&lt;&gt;"",H473-G473,IF(I473="Completed",0,TODAY()-G473))))</f>
        <v/>
      </c>
      <c r="N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>
        <f>IF(G474="","",MAX(0,IF(H474&lt;&gt;"",H474-G474,IF(I474="Completed",0,TODAY()-G474))))</f>
        <v/>
      </c>
      <c r="N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>
        <f>IF(G475="","",MAX(0,IF(H475&lt;&gt;"",H475-G475,IF(I475="Completed",0,TODAY()-G475))))</f>
        <v/>
      </c>
      <c r="N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>
        <f>IF(G476="","",MAX(0,IF(H476&lt;&gt;"",H476-G476,IF(I476="Completed",0,TODAY()-G476))))</f>
        <v/>
      </c>
      <c r="N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>
        <f>IF(G477="","",MAX(0,IF(H477&lt;&gt;"",H477-G477,IF(I477="Completed",0,TODAY()-G477))))</f>
        <v/>
      </c>
      <c r="N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>
        <f>IF(G478="","",MAX(0,IF(H478&lt;&gt;"",H478-G478,IF(I478="Completed",0,TODAY()-G478))))</f>
        <v/>
      </c>
      <c r="N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>
        <f>IF(G479="","",MAX(0,IF(H479&lt;&gt;"",H479-G479,IF(I479="Completed",0,TODAY()-G479))))</f>
        <v/>
      </c>
      <c r="N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>
        <f>IF(G480="","",MAX(0,IF(H480&lt;&gt;"",H480-G480,IF(I480="Completed",0,TODAY()-G480))))</f>
        <v/>
      </c>
      <c r="N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>
        <f>IF(G481="","",MAX(0,IF(H481&lt;&gt;"",H481-G481,IF(I481="Completed",0,TODAY()-G481))))</f>
        <v/>
      </c>
      <c r="N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>
        <f>IF(G482="","",MAX(0,IF(H482&lt;&gt;"",H482-G482,IF(I482="Completed",0,TODAY()-G482))))</f>
        <v/>
      </c>
      <c r="N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>
        <f>IF(G483="","",MAX(0,IF(H483&lt;&gt;"",H483-G483,IF(I483="Completed",0,TODAY()-G483))))</f>
        <v/>
      </c>
      <c r="N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>
        <f>IF(G484="","",MAX(0,IF(H484&lt;&gt;"",H484-G484,IF(I484="Completed",0,TODAY()-G484))))</f>
        <v/>
      </c>
      <c r="N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>
        <f>IF(G485="","",MAX(0,IF(H485&lt;&gt;"",H485-G485,IF(I485="Completed",0,TODAY()-G485))))</f>
        <v/>
      </c>
      <c r="N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>
        <f>IF(G486="","",MAX(0,IF(H486&lt;&gt;"",H486-G486,IF(I486="Completed",0,TODAY()-G486))))</f>
        <v/>
      </c>
      <c r="N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>
        <f>IF(G487="","",MAX(0,IF(H487&lt;&gt;"",H487-G487,IF(I487="Completed",0,TODAY()-G487))))</f>
        <v/>
      </c>
      <c r="N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>
        <f>IF(G488="","",MAX(0,IF(H488&lt;&gt;"",H488-G488,IF(I488="Completed",0,TODAY()-G488))))</f>
        <v/>
      </c>
      <c r="N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>
        <f>IF(G489="","",MAX(0,IF(H489&lt;&gt;"",H489-G489,IF(I489="Completed",0,TODAY()-G489))))</f>
        <v/>
      </c>
      <c r="N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>
        <f>IF(G490="","",MAX(0,IF(H490&lt;&gt;"",H490-G490,IF(I490="Completed",0,TODAY()-G490))))</f>
        <v/>
      </c>
      <c r="N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>
        <f>IF(G491="","",MAX(0,IF(H491&lt;&gt;"",H491-G491,IF(I491="Completed",0,TODAY()-G491))))</f>
        <v/>
      </c>
      <c r="N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>
        <f>IF(G492="","",MAX(0,IF(H492&lt;&gt;"",H492-G492,IF(I492="Completed",0,TODAY()-G492))))</f>
        <v/>
      </c>
      <c r="N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>
        <f>IF(G493="","",MAX(0,IF(H493&lt;&gt;"",H493-G493,IF(I493="Completed",0,TODAY()-G493))))</f>
        <v/>
      </c>
      <c r="N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>
        <f>IF(G494="","",MAX(0,IF(H494&lt;&gt;"",H494-G494,IF(I494="Completed",0,TODAY()-G494))))</f>
        <v/>
      </c>
      <c r="N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>
        <f>IF(G495="","",MAX(0,IF(H495&lt;&gt;"",H495-G495,IF(I495="Completed",0,TODAY()-G495))))</f>
        <v/>
      </c>
      <c r="N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>
        <f>IF(G496="","",MAX(0,IF(H496&lt;&gt;"",H496-G496,IF(I496="Completed",0,TODAY()-G496))))</f>
        <v/>
      </c>
      <c r="N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>
        <f>IF(G497="","",MAX(0,IF(H497&lt;&gt;"",H497-G497,IF(I497="Completed",0,TODAY()-G497))))</f>
        <v/>
      </c>
      <c r="N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>
        <f>IF(G498="","",MAX(0,IF(H498&lt;&gt;"",H498-G498,IF(I498="Completed",0,TODAY()-G498))))</f>
        <v/>
      </c>
      <c r="N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>
        <f>IF(G499="","",MAX(0,IF(H499&lt;&gt;"",H499-G499,IF(I499="Completed",0,TODAY()-G499))))</f>
        <v/>
      </c>
      <c r="N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>
        <f>IF(G500="","",MAX(0,IF(H500&lt;&gt;"",H500-G500,IF(I500="Completed",0,TODAY()-G500))))</f>
        <v/>
      </c>
      <c r="N500" s="8" t="n"/>
    </row>
  </sheetData>
  <autoFilter ref="A1:N500"/>
  <conditionalFormatting sqref="A2:N500">
    <cfRule type="expression" priority="1" dxfId="2">
      <formula>$I2="Completed"</formula>
    </cfRule>
    <cfRule type="expression" priority="2" dxfId="1">
      <formula>OR($I2="Delayed",$I2="Blocked",$I2="Open")</formula>
    </cfRule>
    <cfRule type="expression" priority="3" dxfId="3">
      <formula>OR($I2="At Risk",$I2="In Progress")</formula>
    </cfRule>
  </conditionalFormatting>
  <conditionalFormatting sqref="M2:M500">
    <cfRule type="cellIs" priority="4" operator="greaterThan" dxfId="4">
      <formula>0</formula>
    </cfRule>
  </conditionalFormatting>
  <dataValidations count="4">
    <dataValidation sqref="B2:B500" showDropDown="0" showInputMessage="0" showErrorMessage="1" allowBlank="1" errorTitle="Invalid selection" error="Select from the dropdown list." type="list">
      <formula1>"PRJ-001,PRJ-002,PRJ-003,PRJ-004"</formula1>
    </dataValidation>
    <dataValidation sqref="E2:E500" showDropDown="0" showInputMessage="0" showErrorMessage="1" allowBlank="1" errorTitle="Invalid selection" error="Select from the dropdown list." type="list">
      <formula1>"Priya Nair,Arjun Patel,Leena Das,Nikhil Verma,Imran Ali,Riya Sen,Sara Thomas,Ananya Rao,Rohit Menon,Meera Iyer,Vikram Shah"</formula1>
    </dataValidation>
    <dataValidation sqref="I2:I500" showDropDown="0" showInputMessage="0" showErrorMessage="1" allowBlank="1" errorTitle="Invalid selection" error="Select from the dropdown list." type="list">
      <formula1>"Not Started,In Progress,Blocked,Completed,Delayed,Deferred"</formula1>
    </dataValidation>
    <dataValidation sqref="J2:J500" showDropDown="0" showInputMessage="0" showErrorMessage="1" allowBlank="1" errorTitle="Invalid selection" error="Select from the dropdown list.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15" customWidth="1" min="5" max="5"/>
    <col width="13" customWidth="1" min="6" max="6"/>
    <col width="14" customWidth="1" min="7" max="7"/>
    <col width="13" customWidth="1" min="8" max="8"/>
    <col width="34" customWidth="1" min="9" max="9"/>
  </cols>
  <sheetData>
    <row r="1">
      <c r="A1" s="6" t="inlineStr">
        <is>
          <t>Milestone ID</t>
        </is>
      </c>
      <c r="B1" s="6" t="inlineStr">
        <is>
          <t>Project ID</t>
        </is>
      </c>
      <c r="C1" s="6" t="inlineStr">
        <is>
          <t>Milestone Name</t>
        </is>
      </c>
      <c r="D1" s="6" t="inlineStr">
        <is>
          <t>Planned Date</t>
        </is>
      </c>
      <c r="E1" s="6" t="inlineStr">
        <is>
          <t>Actual Date</t>
        </is>
      </c>
      <c r="F1" s="6" t="inlineStr">
        <is>
          <t>Status</t>
        </is>
      </c>
      <c r="G1" s="6" t="inlineStr">
        <is>
          <t>Delay Days</t>
        </is>
      </c>
      <c r="H1" s="6" t="inlineStr">
        <is>
          <t>Owner</t>
        </is>
      </c>
      <c r="I1" s="6" t="inlineStr">
        <is>
          <t>Remarks</t>
        </is>
      </c>
    </row>
    <row r="2">
      <c r="A2" s="8" t="inlineStr">
        <is>
          <t>MS-001</t>
        </is>
      </c>
      <c r="B2" s="8" t="inlineStr">
        <is>
          <t>PRJ-001</t>
        </is>
      </c>
      <c r="C2" s="8" t="inlineStr">
        <is>
          <t>UAT Signoff</t>
        </is>
      </c>
      <c r="D2" s="9" t="n">
        <v>46191</v>
      </c>
      <c r="E2" s="9" t="inlineStr"/>
      <c r="F2" s="8" t="inlineStr">
        <is>
          <t>At Risk</t>
        </is>
      </c>
      <c r="G2" s="8">
        <f>IF(D2="","",MAX(0,IF(E2&lt;&gt;"",E2-D2,IF(F2="Completed",0,TODAY()-D2))))</f>
        <v/>
      </c>
      <c r="H2" s="8" t="inlineStr">
        <is>
          <t>Ananya Rao</t>
        </is>
      </c>
      <c r="I2" s="8" t="inlineStr">
        <is>
          <t>Open defects remain</t>
        </is>
      </c>
    </row>
    <row r="3">
      <c r="A3" s="8" t="inlineStr">
        <is>
          <t>MS-002</t>
        </is>
      </c>
      <c r="B3" s="8" t="inlineStr">
        <is>
          <t>PRJ-002</t>
        </is>
      </c>
      <c r="C3" s="8" t="inlineStr">
        <is>
          <t>SIT Entry</t>
        </is>
      </c>
      <c r="D3" s="9" t="n">
        <v>46198</v>
      </c>
      <c r="E3" s="9" t="inlineStr"/>
      <c r="F3" s="8" t="inlineStr">
        <is>
          <t>Delayed</t>
        </is>
      </c>
      <c r="G3" s="8">
        <f>IF(D3="","",MAX(0,IF(E3&lt;&gt;"",E3-D3,IF(F3="Completed",0,TODAY()-D3))))</f>
        <v/>
      </c>
      <c r="H3" s="8" t="inlineStr">
        <is>
          <t>Rohit Menon</t>
        </is>
      </c>
      <c r="I3" s="8" t="inlineStr">
        <is>
          <t>Integration blocked</t>
        </is>
      </c>
    </row>
    <row r="4">
      <c r="A4" s="8" t="n"/>
      <c r="B4" s="8" t="n"/>
      <c r="C4" s="8" t="n"/>
      <c r="D4" s="8" t="n"/>
      <c r="E4" s="8" t="n"/>
      <c r="F4" s="8" t="n"/>
      <c r="G4" s="8">
        <f>IF(D4="","",MAX(0,IF(E4&lt;&gt;"",E4-D4,IF(F4="Completed",0,TODAY()-D4))))</f>
        <v/>
      </c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>
        <f>IF(D5="","",MAX(0,IF(E5&lt;&gt;"",E5-D5,IF(F5="Completed",0,TODAY()-D5))))</f>
        <v/>
      </c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>
        <f>IF(D6="","",MAX(0,IF(E6&lt;&gt;"",E6-D6,IF(F6="Completed",0,TODAY()-D6))))</f>
        <v/>
      </c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>
        <f>IF(D7="","",MAX(0,IF(E7&lt;&gt;"",E7-D7,IF(F7="Completed",0,TODAY()-D7))))</f>
        <v/>
      </c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>
        <f>IF(D8="","",MAX(0,IF(E8&lt;&gt;"",E8-D8,IF(F8="Completed",0,TODAY()-D8))))</f>
        <v/>
      </c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>
        <f>IF(D9="","",MAX(0,IF(E9&lt;&gt;"",E9-D9,IF(F9="Completed",0,TODAY()-D9))))</f>
        <v/>
      </c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>
        <f>IF(D10="","",MAX(0,IF(E10&lt;&gt;"",E10-D10,IF(F10="Completed",0,TODAY()-D10))))</f>
        <v/>
      </c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>
        <f>IF(D11="","",MAX(0,IF(E11&lt;&gt;"",E11-D11,IF(F11="Completed",0,TODAY()-D11))))</f>
        <v/>
      </c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>
        <f>IF(D12="","",MAX(0,IF(E12&lt;&gt;"",E12-D12,IF(F12="Completed",0,TODAY()-D12))))</f>
        <v/>
      </c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>
        <f>IF(D13="","",MAX(0,IF(E13&lt;&gt;"",E13-D13,IF(F13="Completed",0,TODAY()-D13))))</f>
        <v/>
      </c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>
        <f>IF(D14="","",MAX(0,IF(E14&lt;&gt;"",E14-D14,IF(F14="Completed",0,TODAY()-D14))))</f>
        <v/>
      </c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>
        <f>IF(D15="","",MAX(0,IF(E15&lt;&gt;"",E15-D15,IF(F15="Completed",0,TODAY()-D15))))</f>
        <v/>
      </c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>
        <f>IF(D16="","",MAX(0,IF(E16&lt;&gt;"",E16-D16,IF(F16="Completed",0,TODAY()-D16))))</f>
        <v/>
      </c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>
        <f>IF(D17="","",MAX(0,IF(E17&lt;&gt;"",E17-D17,IF(F17="Completed",0,TODAY()-D17))))</f>
        <v/>
      </c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>
        <f>IF(D18="","",MAX(0,IF(E18&lt;&gt;"",E18-D18,IF(F18="Completed",0,TODAY()-D18))))</f>
        <v/>
      </c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>
        <f>IF(D19="","",MAX(0,IF(E19&lt;&gt;"",E19-D19,IF(F19="Completed",0,TODAY()-D19))))</f>
        <v/>
      </c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>
        <f>IF(D20="","",MAX(0,IF(E20&lt;&gt;"",E20-D20,IF(F20="Completed",0,TODAY()-D20))))</f>
        <v/>
      </c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>
        <f>IF(D21="","",MAX(0,IF(E21&lt;&gt;"",E21-D21,IF(F21="Completed",0,TODAY()-D21))))</f>
        <v/>
      </c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>
        <f>IF(D22="","",MAX(0,IF(E22&lt;&gt;"",E22-D22,IF(F22="Completed",0,TODAY()-D22))))</f>
        <v/>
      </c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>
        <f>IF(D23="","",MAX(0,IF(E23&lt;&gt;"",E23-D23,IF(F23="Completed",0,TODAY()-D23))))</f>
        <v/>
      </c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>
        <f>IF(D24="","",MAX(0,IF(E24&lt;&gt;"",E24-D24,IF(F24="Completed",0,TODAY()-D24))))</f>
        <v/>
      </c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>
        <f>IF(D25="","",MAX(0,IF(E25&lt;&gt;"",E25-D25,IF(F25="Completed",0,TODAY()-D25))))</f>
        <v/>
      </c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>
        <f>IF(D26="","",MAX(0,IF(E26&lt;&gt;"",E26-D26,IF(F26="Completed",0,TODAY()-D26))))</f>
        <v/>
      </c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>
        <f>IF(D27="","",MAX(0,IF(E27&lt;&gt;"",E27-D27,IF(F27="Completed",0,TODAY()-D27))))</f>
        <v/>
      </c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>
        <f>IF(D28="","",MAX(0,IF(E28&lt;&gt;"",E28-D28,IF(F28="Completed",0,TODAY()-D28))))</f>
        <v/>
      </c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>
        <f>IF(D29="","",MAX(0,IF(E29&lt;&gt;"",E29-D29,IF(F29="Completed",0,TODAY()-D29))))</f>
        <v/>
      </c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>
        <f>IF(D30="","",MAX(0,IF(E30&lt;&gt;"",E30-D30,IF(F30="Completed",0,TODAY()-D30))))</f>
        <v/>
      </c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>
        <f>IF(D31="","",MAX(0,IF(E31&lt;&gt;"",E31-D31,IF(F31="Completed",0,TODAY()-D31))))</f>
        <v/>
      </c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>
        <f>IF(D32="","",MAX(0,IF(E32&lt;&gt;"",E32-D32,IF(F32="Completed",0,TODAY()-D32))))</f>
        <v/>
      </c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>
        <f>IF(D33="","",MAX(0,IF(E33&lt;&gt;"",E33-D33,IF(F33="Completed",0,TODAY()-D33))))</f>
        <v/>
      </c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>
        <f>IF(D34="","",MAX(0,IF(E34&lt;&gt;"",E34-D34,IF(F34="Completed",0,TODAY()-D34))))</f>
        <v/>
      </c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>
        <f>IF(D35="","",MAX(0,IF(E35&lt;&gt;"",E35-D35,IF(F35="Completed",0,TODAY()-D35))))</f>
        <v/>
      </c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>
        <f>IF(D36="","",MAX(0,IF(E36&lt;&gt;"",E36-D36,IF(F36="Completed",0,TODAY()-D36))))</f>
        <v/>
      </c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>
        <f>IF(D37="","",MAX(0,IF(E37&lt;&gt;"",E37-D37,IF(F37="Completed",0,TODAY()-D37))))</f>
        <v/>
      </c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>
        <f>IF(D38="","",MAX(0,IF(E38&lt;&gt;"",E38-D38,IF(F38="Completed",0,TODAY()-D38))))</f>
        <v/>
      </c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>
        <f>IF(D39="","",MAX(0,IF(E39&lt;&gt;"",E39-D39,IF(F39="Completed",0,TODAY()-D39))))</f>
        <v/>
      </c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>
        <f>IF(D40="","",MAX(0,IF(E40&lt;&gt;"",E40-D40,IF(F40="Completed",0,TODAY()-D40))))</f>
        <v/>
      </c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>
        <f>IF(D41="","",MAX(0,IF(E41&lt;&gt;"",E41-D41,IF(F41="Completed",0,TODAY()-D41))))</f>
        <v/>
      </c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>
        <f>IF(D42="","",MAX(0,IF(E42&lt;&gt;"",E42-D42,IF(F42="Completed",0,TODAY()-D42))))</f>
        <v/>
      </c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>
        <f>IF(D43="","",MAX(0,IF(E43&lt;&gt;"",E43-D43,IF(F43="Completed",0,TODAY()-D43))))</f>
        <v/>
      </c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>
        <f>IF(D44="","",MAX(0,IF(E44&lt;&gt;"",E44-D44,IF(F44="Completed",0,TODAY()-D44))))</f>
        <v/>
      </c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>
        <f>IF(D45="","",MAX(0,IF(E45&lt;&gt;"",E45-D45,IF(F45="Completed",0,TODAY()-D45))))</f>
        <v/>
      </c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>
        <f>IF(D46="","",MAX(0,IF(E46&lt;&gt;"",E46-D46,IF(F46="Completed",0,TODAY()-D46))))</f>
        <v/>
      </c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>
        <f>IF(D47="","",MAX(0,IF(E47&lt;&gt;"",E47-D47,IF(F47="Completed",0,TODAY()-D47))))</f>
        <v/>
      </c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>
        <f>IF(D48="","",MAX(0,IF(E48&lt;&gt;"",E48-D48,IF(F48="Completed",0,TODAY()-D48))))</f>
        <v/>
      </c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>
        <f>IF(D49="","",MAX(0,IF(E49&lt;&gt;"",E49-D49,IF(F49="Completed",0,TODAY()-D49))))</f>
        <v/>
      </c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>
        <f>IF(D50="","",MAX(0,IF(E50&lt;&gt;"",E50-D50,IF(F50="Completed",0,TODAY()-D50))))</f>
        <v/>
      </c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>
        <f>IF(D51="","",MAX(0,IF(E51&lt;&gt;"",E51-D51,IF(F51="Completed",0,TODAY()-D51))))</f>
        <v/>
      </c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>
        <f>IF(D52="","",MAX(0,IF(E52&lt;&gt;"",E52-D52,IF(F52="Completed",0,TODAY()-D52))))</f>
        <v/>
      </c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>
        <f>IF(D53="","",MAX(0,IF(E53&lt;&gt;"",E53-D53,IF(F53="Completed",0,TODAY()-D53))))</f>
        <v/>
      </c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>
        <f>IF(D54="","",MAX(0,IF(E54&lt;&gt;"",E54-D54,IF(F54="Completed",0,TODAY()-D54))))</f>
        <v/>
      </c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>
        <f>IF(D55="","",MAX(0,IF(E55&lt;&gt;"",E55-D55,IF(F55="Completed",0,TODAY()-D55))))</f>
        <v/>
      </c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>
        <f>IF(D56="","",MAX(0,IF(E56&lt;&gt;"",E56-D56,IF(F56="Completed",0,TODAY()-D56))))</f>
        <v/>
      </c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>
        <f>IF(D57="","",MAX(0,IF(E57&lt;&gt;"",E57-D57,IF(F57="Completed",0,TODAY()-D57))))</f>
        <v/>
      </c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>
        <f>IF(D58="","",MAX(0,IF(E58&lt;&gt;"",E58-D58,IF(F58="Completed",0,TODAY()-D58))))</f>
        <v/>
      </c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>
        <f>IF(D59="","",MAX(0,IF(E59&lt;&gt;"",E59-D59,IF(F59="Completed",0,TODAY()-D59))))</f>
        <v/>
      </c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>
        <f>IF(D60="","",MAX(0,IF(E60&lt;&gt;"",E60-D60,IF(F60="Completed",0,TODAY()-D60))))</f>
        <v/>
      </c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>
        <f>IF(D61="","",MAX(0,IF(E61&lt;&gt;"",E61-D61,IF(F61="Completed",0,TODAY()-D61))))</f>
        <v/>
      </c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>
        <f>IF(D62="","",MAX(0,IF(E62&lt;&gt;"",E62-D62,IF(F62="Completed",0,TODAY()-D62))))</f>
        <v/>
      </c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>
        <f>IF(D63="","",MAX(0,IF(E63&lt;&gt;"",E63-D63,IF(F63="Completed",0,TODAY()-D63))))</f>
        <v/>
      </c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>
        <f>IF(D64="","",MAX(0,IF(E64&lt;&gt;"",E64-D64,IF(F64="Completed",0,TODAY()-D64))))</f>
        <v/>
      </c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>
        <f>IF(D65="","",MAX(0,IF(E65&lt;&gt;"",E65-D65,IF(F65="Completed",0,TODAY()-D65))))</f>
        <v/>
      </c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>
        <f>IF(D66="","",MAX(0,IF(E66&lt;&gt;"",E66-D66,IF(F66="Completed",0,TODAY()-D66))))</f>
        <v/>
      </c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>
        <f>IF(D67="","",MAX(0,IF(E67&lt;&gt;"",E67-D67,IF(F67="Completed",0,TODAY()-D67))))</f>
        <v/>
      </c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>
        <f>IF(D68="","",MAX(0,IF(E68&lt;&gt;"",E68-D68,IF(F68="Completed",0,TODAY()-D68))))</f>
        <v/>
      </c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>
        <f>IF(D69="","",MAX(0,IF(E69&lt;&gt;"",E69-D69,IF(F69="Completed",0,TODAY()-D69))))</f>
        <v/>
      </c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>
        <f>IF(D70="","",MAX(0,IF(E70&lt;&gt;"",E70-D70,IF(F70="Completed",0,TODAY()-D70))))</f>
        <v/>
      </c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>
        <f>IF(D71="","",MAX(0,IF(E71&lt;&gt;"",E71-D71,IF(F71="Completed",0,TODAY()-D71))))</f>
        <v/>
      </c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>
        <f>IF(D72="","",MAX(0,IF(E72&lt;&gt;"",E72-D72,IF(F72="Completed",0,TODAY()-D72))))</f>
        <v/>
      </c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>
        <f>IF(D73="","",MAX(0,IF(E73&lt;&gt;"",E73-D73,IF(F73="Completed",0,TODAY()-D73))))</f>
        <v/>
      </c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>
        <f>IF(D74="","",MAX(0,IF(E74&lt;&gt;"",E74-D74,IF(F74="Completed",0,TODAY()-D74))))</f>
        <v/>
      </c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>
        <f>IF(D75="","",MAX(0,IF(E75&lt;&gt;"",E75-D75,IF(F75="Completed",0,TODAY()-D75))))</f>
        <v/>
      </c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>
        <f>IF(D76="","",MAX(0,IF(E76&lt;&gt;"",E76-D76,IF(F76="Completed",0,TODAY()-D76))))</f>
        <v/>
      </c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>
        <f>IF(D77="","",MAX(0,IF(E77&lt;&gt;"",E77-D77,IF(F77="Completed",0,TODAY()-D77))))</f>
        <v/>
      </c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>
        <f>IF(D78="","",MAX(0,IF(E78&lt;&gt;"",E78-D78,IF(F78="Completed",0,TODAY()-D78))))</f>
        <v/>
      </c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>
        <f>IF(D79="","",MAX(0,IF(E79&lt;&gt;"",E79-D79,IF(F79="Completed",0,TODAY()-D79))))</f>
        <v/>
      </c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>
        <f>IF(D80="","",MAX(0,IF(E80&lt;&gt;"",E80-D80,IF(F80="Completed",0,TODAY()-D80))))</f>
        <v/>
      </c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>
        <f>IF(D81="","",MAX(0,IF(E81&lt;&gt;"",E81-D81,IF(F81="Completed",0,TODAY()-D81))))</f>
        <v/>
      </c>
      <c r="H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>
        <f>IF(D82="","",MAX(0,IF(E82&lt;&gt;"",E82-D82,IF(F82="Completed",0,TODAY()-D82))))</f>
        <v/>
      </c>
      <c r="H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>
        <f>IF(D83="","",MAX(0,IF(E83&lt;&gt;"",E83-D83,IF(F83="Completed",0,TODAY()-D83))))</f>
        <v/>
      </c>
      <c r="H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>
        <f>IF(D84="","",MAX(0,IF(E84&lt;&gt;"",E84-D84,IF(F84="Completed",0,TODAY()-D84))))</f>
        <v/>
      </c>
      <c r="H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>
        <f>IF(D85="","",MAX(0,IF(E85&lt;&gt;"",E85-D85,IF(F85="Completed",0,TODAY()-D85))))</f>
        <v/>
      </c>
      <c r="H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>
        <f>IF(D86="","",MAX(0,IF(E86&lt;&gt;"",E86-D86,IF(F86="Completed",0,TODAY()-D86))))</f>
        <v/>
      </c>
      <c r="H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>
        <f>IF(D87="","",MAX(0,IF(E87&lt;&gt;"",E87-D87,IF(F87="Completed",0,TODAY()-D87))))</f>
        <v/>
      </c>
      <c r="H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>
        <f>IF(D88="","",MAX(0,IF(E88&lt;&gt;"",E88-D88,IF(F88="Completed",0,TODAY()-D88))))</f>
        <v/>
      </c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>
        <f>IF(D89="","",MAX(0,IF(E89&lt;&gt;"",E89-D89,IF(F89="Completed",0,TODAY()-D89))))</f>
        <v/>
      </c>
      <c r="H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>
        <f>IF(D90="","",MAX(0,IF(E90&lt;&gt;"",E90-D90,IF(F90="Completed",0,TODAY()-D90))))</f>
        <v/>
      </c>
      <c r="H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>
        <f>IF(D91="","",MAX(0,IF(E91&lt;&gt;"",E91-D91,IF(F91="Completed",0,TODAY()-D91))))</f>
        <v/>
      </c>
      <c r="H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>
        <f>IF(D92="","",MAX(0,IF(E92&lt;&gt;"",E92-D92,IF(F92="Completed",0,TODAY()-D92))))</f>
        <v/>
      </c>
      <c r="H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>
        <f>IF(D93="","",MAX(0,IF(E93&lt;&gt;"",E93-D93,IF(F93="Completed",0,TODAY()-D93))))</f>
        <v/>
      </c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>
        <f>IF(D94="","",MAX(0,IF(E94&lt;&gt;"",E94-D94,IF(F94="Completed",0,TODAY()-D94))))</f>
        <v/>
      </c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>
        <f>IF(D95="","",MAX(0,IF(E95&lt;&gt;"",E95-D95,IF(F95="Completed",0,TODAY()-D95))))</f>
        <v/>
      </c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>
        <f>IF(D96="","",MAX(0,IF(E96&lt;&gt;"",E96-D96,IF(F96="Completed",0,TODAY()-D96))))</f>
        <v/>
      </c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>
        <f>IF(D97="","",MAX(0,IF(E97&lt;&gt;"",E97-D97,IF(F97="Completed",0,TODAY()-D97))))</f>
        <v/>
      </c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>
        <f>IF(D98="","",MAX(0,IF(E98&lt;&gt;"",E98-D98,IF(F98="Completed",0,TODAY()-D98))))</f>
        <v/>
      </c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>
        <f>IF(D99="","",MAX(0,IF(E99&lt;&gt;"",E99-D99,IF(F99="Completed",0,TODAY()-D99))))</f>
        <v/>
      </c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>
        <f>IF(D100="","",MAX(0,IF(E100&lt;&gt;"",E100-D100,IF(F100="Completed",0,TODAY()-D100))))</f>
        <v/>
      </c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>
        <f>IF(D101="","",MAX(0,IF(E101&lt;&gt;"",E101-D101,IF(F101="Completed",0,TODAY()-D101))))</f>
        <v/>
      </c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>
        <f>IF(D102="","",MAX(0,IF(E102&lt;&gt;"",E102-D102,IF(F102="Completed",0,TODAY()-D102))))</f>
        <v/>
      </c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>
        <f>IF(D103="","",MAX(0,IF(E103&lt;&gt;"",E103-D103,IF(F103="Completed",0,TODAY()-D103))))</f>
        <v/>
      </c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>
        <f>IF(D104="","",MAX(0,IF(E104&lt;&gt;"",E104-D104,IF(F104="Completed",0,TODAY()-D104))))</f>
        <v/>
      </c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>
        <f>IF(D105="","",MAX(0,IF(E105&lt;&gt;"",E105-D105,IF(F105="Completed",0,TODAY()-D105))))</f>
        <v/>
      </c>
      <c r="H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>
        <f>IF(D106="","",MAX(0,IF(E106&lt;&gt;"",E106-D106,IF(F106="Completed",0,TODAY()-D106))))</f>
        <v/>
      </c>
      <c r="H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>
        <f>IF(D107="","",MAX(0,IF(E107&lt;&gt;"",E107-D107,IF(F107="Completed",0,TODAY()-D107))))</f>
        <v/>
      </c>
      <c r="H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>
        <f>IF(D108="","",MAX(0,IF(E108&lt;&gt;"",E108-D108,IF(F108="Completed",0,TODAY()-D108))))</f>
        <v/>
      </c>
      <c r="H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>
        <f>IF(D109="","",MAX(0,IF(E109&lt;&gt;"",E109-D109,IF(F109="Completed",0,TODAY()-D109))))</f>
        <v/>
      </c>
      <c r="H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>
        <f>IF(D110="","",MAX(0,IF(E110&lt;&gt;"",E110-D110,IF(F110="Completed",0,TODAY()-D110))))</f>
        <v/>
      </c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>
        <f>IF(D111="","",MAX(0,IF(E111&lt;&gt;"",E111-D111,IF(F111="Completed",0,TODAY()-D111))))</f>
        <v/>
      </c>
      <c r="H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>
        <f>IF(D112="","",MAX(0,IF(E112&lt;&gt;"",E112-D112,IF(F112="Completed",0,TODAY()-D112))))</f>
        <v/>
      </c>
      <c r="H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>
        <f>IF(D113="","",MAX(0,IF(E113&lt;&gt;"",E113-D113,IF(F113="Completed",0,TODAY()-D113))))</f>
        <v/>
      </c>
      <c r="H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>
        <f>IF(D114="","",MAX(0,IF(E114&lt;&gt;"",E114-D114,IF(F114="Completed",0,TODAY()-D114))))</f>
        <v/>
      </c>
      <c r="H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>
        <f>IF(D115="","",MAX(0,IF(E115&lt;&gt;"",E115-D115,IF(F115="Completed",0,TODAY()-D115))))</f>
        <v/>
      </c>
      <c r="H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>
        <f>IF(D116="","",MAX(0,IF(E116&lt;&gt;"",E116-D116,IF(F116="Completed",0,TODAY()-D116))))</f>
        <v/>
      </c>
      <c r="H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>
        <f>IF(D117="","",MAX(0,IF(E117&lt;&gt;"",E117-D117,IF(F117="Completed",0,TODAY()-D117))))</f>
        <v/>
      </c>
      <c r="H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>
        <f>IF(D118="","",MAX(0,IF(E118&lt;&gt;"",E118-D118,IF(F118="Completed",0,TODAY()-D118))))</f>
        <v/>
      </c>
      <c r="H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>
        <f>IF(D119="","",MAX(0,IF(E119&lt;&gt;"",E119-D119,IF(F119="Completed",0,TODAY()-D119))))</f>
        <v/>
      </c>
      <c r="H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>
        <f>IF(D120="","",MAX(0,IF(E120&lt;&gt;"",E120-D120,IF(F120="Completed",0,TODAY()-D120))))</f>
        <v/>
      </c>
      <c r="H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>
        <f>IF(D121="","",MAX(0,IF(E121&lt;&gt;"",E121-D121,IF(F121="Completed",0,TODAY()-D121))))</f>
        <v/>
      </c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>
        <f>IF(D122="","",MAX(0,IF(E122&lt;&gt;"",E122-D122,IF(F122="Completed",0,TODAY()-D122))))</f>
        <v/>
      </c>
      <c r="H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>
        <f>IF(D123="","",MAX(0,IF(E123&lt;&gt;"",E123-D123,IF(F123="Completed",0,TODAY()-D123))))</f>
        <v/>
      </c>
      <c r="H123" s="8" t="n"/>
      <c r="I123" s="8" t="n"/>
    </row>
    <row r="124">
      <c r="A124" s="8" t="n"/>
      <c r="B124" s="8" t="n"/>
      <c r="C124" s="8" t="n"/>
      <c r="D124" s="8" t="n"/>
      <c r="E124" s="8" t="n"/>
      <c r="F124" s="8" t="n"/>
      <c r="G124" s="8">
        <f>IF(D124="","",MAX(0,IF(E124&lt;&gt;"",E124-D124,IF(F124="Completed",0,TODAY()-D124))))</f>
        <v/>
      </c>
      <c r="H124" s="8" t="n"/>
      <c r="I124" s="8" t="n"/>
    </row>
    <row r="125">
      <c r="A125" s="8" t="n"/>
      <c r="B125" s="8" t="n"/>
      <c r="C125" s="8" t="n"/>
      <c r="D125" s="8" t="n"/>
      <c r="E125" s="8" t="n"/>
      <c r="F125" s="8" t="n"/>
      <c r="G125" s="8">
        <f>IF(D125="","",MAX(0,IF(E125&lt;&gt;"",E125-D125,IF(F125="Completed",0,TODAY()-D125))))</f>
        <v/>
      </c>
      <c r="H125" s="8" t="n"/>
      <c r="I125" s="8" t="n"/>
    </row>
    <row r="126">
      <c r="A126" s="8" t="n"/>
      <c r="B126" s="8" t="n"/>
      <c r="C126" s="8" t="n"/>
      <c r="D126" s="8" t="n"/>
      <c r="E126" s="8" t="n"/>
      <c r="F126" s="8" t="n"/>
      <c r="G126" s="8">
        <f>IF(D126="","",MAX(0,IF(E126&lt;&gt;"",E126-D126,IF(F126="Completed",0,TODAY()-D126))))</f>
        <v/>
      </c>
      <c r="H126" s="8" t="n"/>
      <c r="I126" s="8" t="n"/>
    </row>
    <row r="127">
      <c r="A127" s="8" t="n"/>
      <c r="B127" s="8" t="n"/>
      <c r="C127" s="8" t="n"/>
      <c r="D127" s="8" t="n"/>
      <c r="E127" s="8" t="n"/>
      <c r="F127" s="8" t="n"/>
      <c r="G127" s="8">
        <f>IF(D127="","",MAX(0,IF(E127&lt;&gt;"",E127-D127,IF(F127="Completed",0,TODAY()-D127))))</f>
        <v/>
      </c>
      <c r="H127" s="8" t="n"/>
      <c r="I127" s="8" t="n"/>
    </row>
    <row r="128">
      <c r="A128" s="8" t="n"/>
      <c r="B128" s="8" t="n"/>
      <c r="C128" s="8" t="n"/>
      <c r="D128" s="8" t="n"/>
      <c r="E128" s="8" t="n"/>
      <c r="F128" s="8" t="n"/>
      <c r="G128" s="8">
        <f>IF(D128="","",MAX(0,IF(E128&lt;&gt;"",E128-D128,IF(F128="Completed",0,TODAY()-D128))))</f>
        <v/>
      </c>
      <c r="H128" s="8" t="n"/>
      <c r="I128" s="8" t="n"/>
    </row>
    <row r="129">
      <c r="A129" s="8" t="n"/>
      <c r="B129" s="8" t="n"/>
      <c r="C129" s="8" t="n"/>
      <c r="D129" s="8" t="n"/>
      <c r="E129" s="8" t="n"/>
      <c r="F129" s="8" t="n"/>
      <c r="G129" s="8">
        <f>IF(D129="","",MAX(0,IF(E129&lt;&gt;"",E129-D129,IF(F129="Completed",0,TODAY()-D129))))</f>
        <v/>
      </c>
      <c r="H129" s="8" t="n"/>
      <c r="I129" s="8" t="n"/>
    </row>
    <row r="130">
      <c r="A130" s="8" t="n"/>
      <c r="B130" s="8" t="n"/>
      <c r="C130" s="8" t="n"/>
      <c r="D130" s="8" t="n"/>
      <c r="E130" s="8" t="n"/>
      <c r="F130" s="8" t="n"/>
      <c r="G130" s="8">
        <f>IF(D130="","",MAX(0,IF(E130&lt;&gt;"",E130-D130,IF(F130="Completed",0,TODAY()-D130))))</f>
        <v/>
      </c>
      <c r="H130" s="8" t="n"/>
      <c r="I130" s="8" t="n"/>
    </row>
    <row r="131">
      <c r="A131" s="8" t="n"/>
      <c r="B131" s="8" t="n"/>
      <c r="C131" s="8" t="n"/>
      <c r="D131" s="8" t="n"/>
      <c r="E131" s="8" t="n"/>
      <c r="F131" s="8" t="n"/>
      <c r="G131" s="8">
        <f>IF(D131="","",MAX(0,IF(E131&lt;&gt;"",E131-D131,IF(F131="Completed",0,TODAY()-D131))))</f>
        <v/>
      </c>
      <c r="H131" s="8" t="n"/>
      <c r="I131" s="8" t="n"/>
    </row>
    <row r="132">
      <c r="A132" s="8" t="n"/>
      <c r="B132" s="8" t="n"/>
      <c r="C132" s="8" t="n"/>
      <c r="D132" s="8" t="n"/>
      <c r="E132" s="8" t="n"/>
      <c r="F132" s="8" t="n"/>
      <c r="G132" s="8">
        <f>IF(D132="","",MAX(0,IF(E132&lt;&gt;"",E132-D132,IF(F132="Completed",0,TODAY()-D132))))</f>
        <v/>
      </c>
      <c r="H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>
        <f>IF(D133="","",MAX(0,IF(E133&lt;&gt;"",E133-D133,IF(F133="Completed",0,TODAY()-D133))))</f>
        <v/>
      </c>
      <c r="H133" s="8" t="n"/>
      <c r="I133" s="8" t="n"/>
    </row>
    <row r="134">
      <c r="A134" s="8" t="n"/>
      <c r="B134" s="8" t="n"/>
      <c r="C134" s="8" t="n"/>
      <c r="D134" s="8" t="n"/>
      <c r="E134" s="8" t="n"/>
      <c r="F134" s="8" t="n"/>
      <c r="G134" s="8">
        <f>IF(D134="","",MAX(0,IF(E134&lt;&gt;"",E134-D134,IF(F134="Completed",0,TODAY()-D134))))</f>
        <v/>
      </c>
      <c r="H134" s="8" t="n"/>
      <c r="I134" s="8" t="n"/>
    </row>
    <row r="135">
      <c r="A135" s="8" t="n"/>
      <c r="B135" s="8" t="n"/>
      <c r="C135" s="8" t="n"/>
      <c r="D135" s="8" t="n"/>
      <c r="E135" s="8" t="n"/>
      <c r="F135" s="8" t="n"/>
      <c r="G135" s="8">
        <f>IF(D135="","",MAX(0,IF(E135&lt;&gt;"",E135-D135,IF(F135="Completed",0,TODAY()-D135))))</f>
        <v/>
      </c>
      <c r="H135" s="8" t="n"/>
      <c r="I135" s="8" t="n"/>
    </row>
    <row r="136">
      <c r="A136" s="8" t="n"/>
      <c r="B136" s="8" t="n"/>
      <c r="C136" s="8" t="n"/>
      <c r="D136" s="8" t="n"/>
      <c r="E136" s="8" t="n"/>
      <c r="F136" s="8" t="n"/>
      <c r="G136" s="8">
        <f>IF(D136="","",MAX(0,IF(E136&lt;&gt;"",E136-D136,IF(F136="Completed",0,TODAY()-D136))))</f>
        <v/>
      </c>
      <c r="H136" s="8" t="n"/>
      <c r="I136" s="8" t="n"/>
    </row>
    <row r="137">
      <c r="A137" s="8" t="n"/>
      <c r="B137" s="8" t="n"/>
      <c r="C137" s="8" t="n"/>
      <c r="D137" s="8" t="n"/>
      <c r="E137" s="8" t="n"/>
      <c r="F137" s="8" t="n"/>
      <c r="G137" s="8">
        <f>IF(D137="","",MAX(0,IF(E137&lt;&gt;"",E137-D137,IF(F137="Completed",0,TODAY()-D137))))</f>
        <v/>
      </c>
      <c r="H137" s="8" t="n"/>
      <c r="I137" s="8" t="n"/>
    </row>
    <row r="138">
      <c r="A138" s="8" t="n"/>
      <c r="B138" s="8" t="n"/>
      <c r="C138" s="8" t="n"/>
      <c r="D138" s="8" t="n"/>
      <c r="E138" s="8" t="n"/>
      <c r="F138" s="8" t="n"/>
      <c r="G138" s="8">
        <f>IF(D138="","",MAX(0,IF(E138&lt;&gt;"",E138-D138,IF(F138="Completed",0,TODAY()-D138))))</f>
        <v/>
      </c>
      <c r="H138" s="8" t="n"/>
      <c r="I138" s="8" t="n"/>
    </row>
    <row r="139">
      <c r="A139" s="8" t="n"/>
      <c r="B139" s="8" t="n"/>
      <c r="C139" s="8" t="n"/>
      <c r="D139" s="8" t="n"/>
      <c r="E139" s="8" t="n"/>
      <c r="F139" s="8" t="n"/>
      <c r="G139" s="8">
        <f>IF(D139="","",MAX(0,IF(E139&lt;&gt;"",E139-D139,IF(F139="Completed",0,TODAY()-D139))))</f>
        <v/>
      </c>
      <c r="H139" s="8" t="n"/>
      <c r="I139" s="8" t="n"/>
    </row>
    <row r="140">
      <c r="A140" s="8" t="n"/>
      <c r="B140" s="8" t="n"/>
      <c r="C140" s="8" t="n"/>
      <c r="D140" s="8" t="n"/>
      <c r="E140" s="8" t="n"/>
      <c r="F140" s="8" t="n"/>
      <c r="G140" s="8">
        <f>IF(D140="","",MAX(0,IF(E140&lt;&gt;"",E140-D140,IF(F140="Completed",0,TODAY()-D140))))</f>
        <v/>
      </c>
      <c r="H140" s="8" t="n"/>
      <c r="I140" s="8" t="n"/>
    </row>
    <row r="141">
      <c r="A141" s="8" t="n"/>
      <c r="B141" s="8" t="n"/>
      <c r="C141" s="8" t="n"/>
      <c r="D141" s="8" t="n"/>
      <c r="E141" s="8" t="n"/>
      <c r="F141" s="8" t="n"/>
      <c r="G141" s="8">
        <f>IF(D141="","",MAX(0,IF(E141&lt;&gt;"",E141-D141,IF(F141="Completed",0,TODAY()-D141))))</f>
        <v/>
      </c>
      <c r="H141" s="8" t="n"/>
      <c r="I141" s="8" t="n"/>
    </row>
    <row r="142">
      <c r="A142" s="8" t="n"/>
      <c r="B142" s="8" t="n"/>
      <c r="C142" s="8" t="n"/>
      <c r="D142" s="8" t="n"/>
      <c r="E142" s="8" t="n"/>
      <c r="F142" s="8" t="n"/>
      <c r="G142" s="8">
        <f>IF(D142="","",MAX(0,IF(E142&lt;&gt;"",E142-D142,IF(F142="Completed",0,TODAY()-D142))))</f>
        <v/>
      </c>
      <c r="H142" s="8" t="n"/>
      <c r="I142" s="8" t="n"/>
    </row>
    <row r="143">
      <c r="A143" s="8" t="n"/>
      <c r="B143" s="8" t="n"/>
      <c r="C143" s="8" t="n"/>
      <c r="D143" s="8" t="n"/>
      <c r="E143" s="8" t="n"/>
      <c r="F143" s="8" t="n"/>
      <c r="G143" s="8">
        <f>IF(D143="","",MAX(0,IF(E143&lt;&gt;"",E143-D143,IF(F143="Completed",0,TODAY()-D143))))</f>
        <v/>
      </c>
      <c r="H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>
        <f>IF(D144="","",MAX(0,IF(E144&lt;&gt;"",E144-D144,IF(F144="Completed",0,TODAY()-D144))))</f>
        <v/>
      </c>
      <c r="H144" s="8" t="n"/>
      <c r="I144" s="8" t="n"/>
    </row>
    <row r="145">
      <c r="A145" s="8" t="n"/>
      <c r="B145" s="8" t="n"/>
      <c r="C145" s="8" t="n"/>
      <c r="D145" s="8" t="n"/>
      <c r="E145" s="8" t="n"/>
      <c r="F145" s="8" t="n"/>
      <c r="G145" s="8">
        <f>IF(D145="","",MAX(0,IF(E145&lt;&gt;"",E145-D145,IF(F145="Completed",0,TODAY()-D145))))</f>
        <v/>
      </c>
      <c r="H145" s="8" t="n"/>
      <c r="I145" s="8" t="n"/>
    </row>
    <row r="146">
      <c r="A146" s="8" t="n"/>
      <c r="B146" s="8" t="n"/>
      <c r="C146" s="8" t="n"/>
      <c r="D146" s="8" t="n"/>
      <c r="E146" s="8" t="n"/>
      <c r="F146" s="8" t="n"/>
      <c r="G146" s="8">
        <f>IF(D146="","",MAX(0,IF(E146&lt;&gt;"",E146-D146,IF(F146="Completed",0,TODAY()-D146))))</f>
        <v/>
      </c>
      <c r="H146" s="8" t="n"/>
      <c r="I146" s="8" t="n"/>
    </row>
    <row r="147">
      <c r="A147" s="8" t="n"/>
      <c r="B147" s="8" t="n"/>
      <c r="C147" s="8" t="n"/>
      <c r="D147" s="8" t="n"/>
      <c r="E147" s="8" t="n"/>
      <c r="F147" s="8" t="n"/>
      <c r="G147" s="8">
        <f>IF(D147="","",MAX(0,IF(E147&lt;&gt;"",E147-D147,IF(F147="Completed",0,TODAY()-D147))))</f>
        <v/>
      </c>
      <c r="H147" s="8" t="n"/>
      <c r="I147" s="8" t="n"/>
    </row>
    <row r="148">
      <c r="A148" s="8" t="n"/>
      <c r="B148" s="8" t="n"/>
      <c r="C148" s="8" t="n"/>
      <c r="D148" s="8" t="n"/>
      <c r="E148" s="8" t="n"/>
      <c r="F148" s="8" t="n"/>
      <c r="G148" s="8">
        <f>IF(D148="","",MAX(0,IF(E148&lt;&gt;"",E148-D148,IF(F148="Completed",0,TODAY()-D148))))</f>
        <v/>
      </c>
      <c r="H148" s="8" t="n"/>
      <c r="I148" s="8" t="n"/>
    </row>
    <row r="149">
      <c r="A149" s="8" t="n"/>
      <c r="B149" s="8" t="n"/>
      <c r="C149" s="8" t="n"/>
      <c r="D149" s="8" t="n"/>
      <c r="E149" s="8" t="n"/>
      <c r="F149" s="8" t="n"/>
      <c r="G149" s="8">
        <f>IF(D149="","",MAX(0,IF(E149&lt;&gt;"",E149-D149,IF(F149="Completed",0,TODAY()-D149))))</f>
        <v/>
      </c>
      <c r="H149" s="8" t="n"/>
      <c r="I149" s="8" t="n"/>
    </row>
    <row r="150">
      <c r="A150" s="8" t="n"/>
      <c r="B150" s="8" t="n"/>
      <c r="C150" s="8" t="n"/>
      <c r="D150" s="8" t="n"/>
      <c r="E150" s="8" t="n"/>
      <c r="F150" s="8" t="n"/>
      <c r="G150" s="8">
        <f>IF(D150="","",MAX(0,IF(E150&lt;&gt;"",E150-D150,IF(F150="Completed",0,TODAY()-D150))))</f>
        <v/>
      </c>
      <c r="H150" s="8" t="n"/>
      <c r="I150" s="8" t="n"/>
    </row>
    <row r="151">
      <c r="A151" s="8" t="n"/>
      <c r="B151" s="8" t="n"/>
      <c r="C151" s="8" t="n"/>
      <c r="D151" s="8" t="n"/>
      <c r="E151" s="8" t="n"/>
      <c r="F151" s="8" t="n"/>
      <c r="G151" s="8">
        <f>IF(D151="","",MAX(0,IF(E151&lt;&gt;"",E151-D151,IF(F151="Completed",0,TODAY()-D151))))</f>
        <v/>
      </c>
      <c r="H151" s="8" t="n"/>
      <c r="I151" s="8" t="n"/>
    </row>
    <row r="152">
      <c r="A152" s="8" t="n"/>
      <c r="B152" s="8" t="n"/>
      <c r="C152" s="8" t="n"/>
      <c r="D152" s="8" t="n"/>
      <c r="E152" s="8" t="n"/>
      <c r="F152" s="8" t="n"/>
      <c r="G152" s="8">
        <f>IF(D152="","",MAX(0,IF(E152&lt;&gt;"",E152-D152,IF(F152="Completed",0,TODAY()-D152))))</f>
        <v/>
      </c>
      <c r="H152" s="8" t="n"/>
      <c r="I152" s="8" t="n"/>
    </row>
    <row r="153">
      <c r="A153" s="8" t="n"/>
      <c r="B153" s="8" t="n"/>
      <c r="C153" s="8" t="n"/>
      <c r="D153" s="8" t="n"/>
      <c r="E153" s="8" t="n"/>
      <c r="F153" s="8" t="n"/>
      <c r="G153" s="8">
        <f>IF(D153="","",MAX(0,IF(E153&lt;&gt;"",E153-D153,IF(F153="Completed",0,TODAY()-D153))))</f>
        <v/>
      </c>
      <c r="H153" s="8" t="n"/>
      <c r="I153" s="8" t="n"/>
    </row>
    <row r="154">
      <c r="A154" s="8" t="n"/>
      <c r="B154" s="8" t="n"/>
      <c r="C154" s="8" t="n"/>
      <c r="D154" s="8" t="n"/>
      <c r="E154" s="8" t="n"/>
      <c r="F154" s="8" t="n"/>
      <c r="G154" s="8">
        <f>IF(D154="","",MAX(0,IF(E154&lt;&gt;"",E154-D154,IF(F154="Completed",0,TODAY()-D154))))</f>
        <v/>
      </c>
      <c r="H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>
        <f>IF(D155="","",MAX(0,IF(E155&lt;&gt;"",E155-D155,IF(F155="Completed",0,TODAY()-D155))))</f>
        <v/>
      </c>
      <c r="H155" s="8" t="n"/>
      <c r="I155" s="8" t="n"/>
    </row>
    <row r="156">
      <c r="A156" s="8" t="n"/>
      <c r="B156" s="8" t="n"/>
      <c r="C156" s="8" t="n"/>
      <c r="D156" s="8" t="n"/>
      <c r="E156" s="8" t="n"/>
      <c r="F156" s="8" t="n"/>
      <c r="G156" s="8">
        <f>IF(D156="","",MAX(0,IF(E156&lt;&gt;"",E156-D156,IF(F156="Completed",0,TODAY()-D156))))</f>
        <v/>
      </c>
      <c r="H156" s="8" t="n"/>
      <c r="I156" s="8" t="n"/>
    </row>
    <row r="157">
      <c r="A157" s="8" t="n"/>
      <c r="B157" s="8" t="n"/>
      <c r="C157" s="8" t="n"/>
      <c r="D157" s="8" t="n"/>
      <c r="E157" s="8" t="n"/>
      <c r="F157" s="8" t="n"/>
      <c r="G157" s="8">
        <f>IF(D157="","",MAX(0,IF(E157&lt;&gt;"",E157-D157,IF(F157="Completed",0,TODAY()-D157))))</f>
        <v/>
      </c>
      <c r="H157" s="8" t="n"/>
      <c r="I157" s="8" t="n"/>
    </row>
    <row r="158">
      <c r="A158" s="8" t="n"/>
      <c r="B158" s="8" t="n"/>
      <c r="C158" s="8" t="n"/>
      <c r="D158" s="8" t="n"/>
      <c r="E158" s="8" t="n"/>
      <c r="F158" s="8" t="n"/>
      <c r="G158" s="8">
        <f>IF(D158="","",MAX(0,IF(E158&lt;&gt;"",E158-D158,IF(F158="Completed",0,TODAY()-D158))))</f>
        <v/>
      </c>
      <c r="H158" s="8" t="n"/>
      <c r="I158" s="8" t="n"/>
    </row>
    <row r="159">
      <c r="A159" s="8" t="n"/>
      <c r="B159" s="8" t="n"/>
      <c r="C159" s="8" t="n"/>
      <c r="D159" s="8" t="n"/>
      <c r="E159" s="8" t="n"/>
      <c r="F159" s="8" t="n"/>
      <c r="G159" s="8">
        <f>IF(D159="","",MAX(0,IF(E159&lt;&gt;"",E159-D159,IF(F159="Completed",0,TODAY()-D159))))</f>
        <v/>
      </c>
      <c r="H159" s="8" t="n"/>
      <c r="I159" s="8" t="n"/>
    </row>
    <row r="160">
      <c r="A160" s="8" t="n"/>
      <c r="B160" s="8" t="n"/>
      <c r="C160" s="8" t="n"/>
      <c r="D160" s="8" t="n"/>
      <c r="E160" s="8" t="n"/>
      <c r="F160" s="8" t="n"/>
      <c r="G160" s="8">
        <f>IF(D160="","",MAX(0,IF(E160&lt;&gt;"",E160-D160,IF(F160="Completed",0,TODAY()-D160))))</f>
        <v/>
      </c>
      <c r="H160" s="8" t="n"/>
      <c r="I160" s="8" t="n"/>
    </row>
    <row r="161">
      <c r="A161" s="8" t="n"/>
      <c r="B161" s="8" t="n"/>
      <c r="C161" s="8" t="n"/>
      <c r="D161" s="8" t="n"/>
      <c r="E161" s="8" t="n"/>
      <c r="F161" s="8" t="n"/>
      <c r="G161" s="8">
        <f>IF(D161="","",MAX(0,IF(E161&lt;&gt;"",E161-D161,IF(F161="Completed",0,TODAY()-D161))))</f>
        <v/>
      </c>
      <c r="H161" s="8" t="n"/>
      <c r="I161" s="8" t="n"/>
    </row>
    <row r="162">
      <c r="A162" s="8" t="n"/>
      <c r="B162" s="8" t="n"/>
      <c r="C162" s="8" t="n"/>
      <c r="D162" s="8" t="n"/>
      <c r="E162" s="8" t="n"/>
      <c r="F162" s="8" t="n"/>
      <c r="G162" s="8">
        <f>IF(D162="","",MAX(0,IF(E162&lt;&gt;"",E162-D162,IF(F162="Completed",0,TODAY()-D162))))</f>
        <v/>
      </c>
      <c r="H162" s="8" t="n"/>
      <c r="I162" s="8" t="n"/>
    </row>
    <row r="163">
      <c r="A163" s="8" t="n"/>
      <c r="B163" s="8" t="n"/>
      <c r="C163" s="8" t="n"/>
      <c r="D163" s="8" t="n"/>
      <c r="E163" s="8" t="n"/>
      <c r="F163" s="8" t="n"/>
      <c r="G163" s="8">
        <f>IF(D163="","",MAX(0,IF(E163&lt;&gt;"",E163-D163,IF(F163="Completed",0,TODAY()-D163))))</f>
        <v/>
      </c>
      <c r="H163" s="8" t="n"/>
      <c r="I163" s="8" t="n"/>
    </row>
    <row r="164">
      <c r="A164" s="8" t="n"/>
      <c r="B164" s="8" t="n"/>
      <c r="C164" s="8" t="n"/>
      <c r="D164" s="8" t="n"/>
      <c r="E164" s="8" t="n"/>
      <c r="F164" s="8" t="n"/>
      <c r="G164" s="8">
        <f>IF(D164="","",MAX(0,IF(E164&lt;&gt;"",E164-D164,IF(F164="Completed",0,TODAY()-D164))))</f>
        <v/>
      </c>
      <c r="H164" s="8" t="n"/>
      <c r="I164" s="8" t="n"/>
    </row>
    <row r="165">
      <c r="A165" s="8" t="n"/>
      <c r="B165" s="8" t="n"/>
      <c r="C165" s="8" t="n"/>
      <c r="D165" s="8" t="n"/>
      <c r="E165" s="8" t="n"/>
      <c r="F165" s="8" t="n"/>
      <c r="G165" s="8">
        <f>IF(D165="","",MAX(0,IF(E165&lt;&gt;"",E165-D165,IF(F165="Completed",0,TODAY()-D165))))</f>
        <v/>
      </c>
      <c r="H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>
        <f>IF(D166="","",MAX(0,IF(E166&lt;&gt;"",E166-D166,IF(F166="Completed",0,TODAY()-D166))))</f>
        <v/>
      </c>
      <c r="H166" s="8" t="n"/>
      <c r="I166" s="8" t="n"/>
    </row>
    <row r="167">
      <c r="A167" s="8" t="n"/>
      <c r="B167" s="8" t="n"/>
      <c r="C167" s="8" t="n"/>
      <c r="D167" s="8" t="n"/>
      <c r="E167" s="8" t="n"/>
      <c r="F167" s="8" t="n"/>
      <c r="G167" s="8">
        <f>IF(D167="","",MAX(0,IF(E167&lt;&gt;"",E167-D167,IF(F167="Completed",0,TODAY()-D167))))</f>
        <v/>
      </c>
      <c r="H167" s="8" t="n"/>
      <c r="I167" s="8" t="n"/>
    </row>
    <row r="168">
      <c r="A168" s="8" t="n"/>
      <c r="B168" s="8" t="n"/>
      <c r="C168" s="8" t="n"/>
      <c r="D168" s="8" t="n"/>
      <c r="E168" s="8" t="n"/>
      <c r="F168" s="8" t="n"/>
      <c r="G168" s="8">
        <f>IF(D168="","",MAX(0,IF(E168&lt;&gt;"",E168-D168,IF(F168="Completed",0,TODAY()-D168))))</f>
        <v/>
      </c>
      <c r="H168" s="8" t="n"/>
      <c r="I168" s="8" t="n"/>
    </row>
    <row r="169">
      <c r="A169" s="8" t="n"/>
      <c r="B169" s="8" t="n"/>
      <c r="C169" s="8" t="n"/>
      <c r="D169" s="8" t="n"/>
      <c r="E169" s="8" t="n"/>
      <c r="F169" s="8" t="n"/>
      <c r="G169" s="8">
        <f>IF(D169="","",MAX(0,IF(E169&lt;&gt;"",E169-D169,IF(F169="Completed",0,TODAY()-D169))))</f>
        <v/>
      </c>
      <c r="H169" s="8" t="n"/>
      <c r="I169" s="8" t="n"/>
    </row>
    <row r="170">
      <c r="A170" s="8" t="n"/>
      <c r="B170" s="8" t="n"/>
      <c r="C170" s="8" t="n"/>
      <c r="D170" s="8" t="n"/>
      <c r="E170" s="8" t="n"/>
      <c r="F170" s="8" t="n"/>
      <c r="G170" s="8">
        <f>IF(D170="","",MAX(0,IF(E170&lt;&gt;"",E170-D170,IF(F170="Completed",0,TODAY()-D170))))</f>
        <v/>
      </c>
      <c r="H170" s="8" t="n"/>
      <c r="I170" s="8" t="n"/>
    </row>
    <row r="171">
      <c r="A171" s="8" t="n"/>
      <c r="B171" s="8" t="n"/>
      <c r="C171" s="8" t="n"/>
      <c r="D171" s="8" t="n"/>
      <c r="E171" s="8" t="n"/>
      <c r="F171" s="8" t="n"/>
      <c r="G171" s="8">
        <f>IF(D171="","",MAX(0,IF(E171&lt;&gt;"",E171-D171,IF(F171="Completed",0,TODAY()-D171))))</f>
        <v/>
      </c>
      <c r="H171" s="8" t="n"/>
      <c r="I171" s="8" t="n"/>
    </row>
    <row r="172">
      <c r="A172" s="8" t="n"/>
      <c r="B172" s="8" t="n"/>
      <c r="C172" s="8" t="n"/>
      <c r="D172" s="8" t="n"/>
      <c r="E172" s="8" t="n"/>
      <c r="F172" s="8" t="n"/>
      <c r="G172" s="8">
        <f>IF(D172="","",MAX(0,IF(E172&lt;&gt;"",E172-D172,IF(F172="Completed",0,TODAY()-D172))))</f>
        <v/>
      </c>
      <c r="H172" s="8" t="n"/>
      <c r="I172" s="8" t="n"/>
    </row>
    <row r="173">
      <c r="A173" s="8" t="n"/>
      <c r="B173" s="8" t="n"/>
      <c r="C173" s="8" t="n"/>
      <c r="D173" s="8" t="n"/>
      <c r="E173" s="8" t="n"/>
      <c r="F173" s="8" t="n"/>
      <c r="G173" s="8">
        <f>IF(D173="","",MAX(0,IF(E173&lt;&gt;"",E173-D173,IF(F173="Completed",0,TODAY()-D173))))</f>
        <v/>
      </c>
      <c r="H173" s="8" t="n"/>
      <c r="I173" s="8" t="n"/>
    </row>
    <row r="174">
      <c r="A174" s="8" t="n"/>
      <c r="B174" s="8" t="n"/>
      <c r="C174" s="8" t="n"/>
      <c r="D174" s="8" t="n"/>
      <c r="E174" s="8" t="n"/>
      <c r="F174" s="8" t="n"/>
      <c r="G174" s="8">
        <f>IF(D174="","",MAX(0,IF(E174&lt;&gt;"",E174-D174,IF(F174="Completed",0,TODAY()-D174))))</f>
        <v/>
      </c>
      <c r="H174" s="8" t="n"/>
      <c r="I174" s="8" t="n"/>
    </row>
    <row r="175">
      <c r="A175" s="8" t="n"/>
      <c r="B175" s="8" t="n"/>
      <c r="C175" s="8" t="n"/>
      <c r="D175" s="8" t="n"/>
      <c r="E175" s="8" t="n"/>
      <c r="F175" s="8" t="n"/>
      <c r="G175" s="8">
        <f>IF(D175="","",MAX(0,IF(E175&lt;&gt;"",E175-D175,IF(F175="Completed",0,TODAY()-D175))))</f>
        <v/>
      </c>
      <c r="H175" s="8" t="n"/>
      <c r="I175" s="8" t="n"/>
    </row>
    <row r="176">
      <c r="A176" s="8" t="n"/>
      <c r="B176" s="8" t="n"/>
      <c r="C176" s="8" t="n"/>
      <c r="D176" s="8" t="n"/>
      <c r="E176" s="8" t="n"/>
      <c r="F176" s="8" t="n"/>
      <c r="G176" s="8">
        <f>IF(D176="","",MAX(0,IF(E176&lt;&gt;"",E176-D176,IF(F176="Completed",0,TODAY()-D176))))</f>
        <v/>
      </c>
      <c r="H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>
        <f>IF(D177="","",MAX(0,IF(E177&lt;&gt;"",E177-D177,IF(F177="Completed",0,TODAY()-D177))))</f>
        <v/>
      </c>
      <c r="H177" s="8" t="n"/>
      <c r="I177" s="8" t="n"/>
    </row>
    <row r="178">
      <c r="A178" s="8" t="n"/>
      <c r="B178" s="8" t="n"/>
      <c r="C178" s="8" t="n"/>
      <c r="D178" s="8" t="n"/>
      <c r="E178" s="8" t="n"/>
      <c r="F178" s="8" t="n"/>
      <c r="G178" s="8">
        <f>IF(D178="","",MAX(0,IF(E178&lt;&gt;"",E178-D178,IF(F178="Completed",0,TODAY()-D178))))</f>
        <v/>
      </c>
      <c r="H178" s="8" t="n"/>
      <c r="I178" s="8" t="n"/>
    </row>
    <row r="179">
      <c r="A179" s="8" t="n"/>
      <c r="B179" s="8" t="n"/>
      <c r="C179" s="8" t="n"/>
      <c r="D179" s="8" t="n"/>
      <c r="E179" s="8" t="n"/>
      <c r="F179" s="8" t="n"/>
      <c r="G179" s="8">
        <f>IF(D179="","",MAX(0,IF(E179&lt;&gt;"",E179-D179,IF(F179="Completed",0,TODAY()-D179))))</f>
        <v/>
      </c>
      <c r="H179" s="8" t="n"/>
      <c r="I179" s="8" t="n"/>
    </row>
    <row r="180">
      <c r="A180" s="8" t="n"/>
      <c r="B180" s="8" t="n"/>
      <c r="C180" s="8" t="n"/>
      <c r="D180" s="8" t="n"/>
      <c r="E180" s="8" t="n"/>
      <c r="F180" s="8" t="n"/>
      <c r="G180" s="8">
        <f>IF(D180="","",MAX(0,IF(E180&lt;&gt;"",E180-D180,IF(F180="Completed",0,TODAY()-D180))))</f>
        <v/>
      </c>
      <c r="H180" s="8" t="n"/>
      <c r="I180" s="8" t="n"/>
    </row>
    <row r="181">
      <c r="A181" s="8" t="n"/>
      <c r="B181" s="8" t="n"/>
      <c r="C181" s="8" t="n"/>
      <c r="D181" s="8" t="n"/>
      <c r="E181" s="8" t="n"/>
      <c r="F181" s="8" t="n"/>
      <c r="G181" s="8">
        <f>IF(D181="","",MAX(0,IF(E181&lt;&gt;"",E181-D181,IF(F181="Completed",0,TODAY()-D181))))</f>
        <v/>
      </c>
      <c r="H181" s="8" t="n"/>
      <c r="I181" s="8" t="n"/>
    </row>
    <row r="182">
      <c r="A182" s="8" t="n"/>
      <c r="B182" s="8" t="n"/>
      <c r="C182" s="8" t="n"/>
      <c r="D182" s="8" t="n"/>
      <c r="E182" s="8" t="n"/>
      <c r="F182" s="8" t="n"/>
      <c r="G182" s="8">
        <f>IF(D182="","",MAX(0,IF(E182&lt;&gt;"",E182-D182,IF(F182="Completed",0,TODAY()-D182))))</f>
        <v/>
      </c>
      <c r="H182" s="8" t="n"/>
      <c r="I182" s="8" t="n"/>
    </row>
    <row r="183">
      <c r="A183" s="8" t="n"/>
      <c r="B183" s="8" t="n"/>
      <c r="C183" s="8" t="n"/>
      <c r="D183" s="8" t="n"/>
      <c r="E183" s="8" t="n"/>
      <c r="F183" s="8" t="n"/>
      <c r="G183" s="8">
        <f>IF(D183="","",MAX(0,IF(E183&lt;&gt;"",E183-D183,IF(F183="Completed",0,TODAY()-D183))))</f>
        <v/>
      </c>
      <c r="H183" s="8" t="n"/>
      <c r="I183" s="8" t="n"/>
    </row>
    <row r="184">
      <c r="A184" s="8" t="n"/>
      <c r="B184" s="8" t="n"/>
      <c r="C184" s="8" t="n"/>
      <c r="D184" s="8" t="n"/>
      <c r="E184" s="8" t="n"/>
      <c r="F184" s="8" t="n"/>
      <c r="G184" s="8">
        <f>IF(D184="","",MAX(0,IF(E184&lt;&gt;"",E184-D184,IF(F184="Completed",0,TODAY()-D184))))</f>
        <v/>
      </c>
      <c r="H184" s="8" t="n"/>
      <c r="I184" s="8" t="n"/>
    </row>
    <row r="185">
      <c r="A185" s="8" t="n"/>
      <c r="B185" s="8" t="n"/>
      <c r="C185" s="8" t="n"/>
      <c r="D185" s="8" t="n"/>
      <c r="E185" s="8" t="n"/>
      <c r="F185" s="8" t="n"/>
      <c r="G185" s="8">
        <f>IF(D185="","",MAX(0,IF(E185&lt;&gt;"",E185-D185,IF(F185="Completed",0,TODAY()-D185))))</f>
        <v/>
      </c>
      <c r="H185" s="8" t="n"/>
      <c r="I185" s="8" t="n"/>
    </row>
    <row r="186">
      <c r="A186" s="8" t="n"/>
      <c r="B186" s="8" t="n"/>
      <c r="C186" s="8" t="n"/>
      <c r="D186" s="8" t="n"/>
      <c r="E186" s="8" t="n"/>
      <c r="F186" s="8" t="n"/>
      <c r="G186" s="8">
        <f>IF(D186="","",MAX(0,IF(E186&lt;&gt;"",E186-D186,IF(F186="Completed",0,TODAY()-D186))))</f>
        <v/>
      </c>
      <c r="H186" s="8" t="n"/>
      <c r="I186" s="8" t="n"/>
    </row>
    <row r="187">
      <c r="A187" s="8" t="n"/>
      <c r="B187" s="8" t="n"/>
      <c r="C187" s="8" t="n"/>
      <c r="D187" s="8" t="n"/>
      <c r="E187" s="8" t="n"/>
      <c r="F187" s="8" t="n"/>
      <c r="G187" s="8">
        <f>IF(D187="","",MAX(0,IF(E187&lt;&gt;"",E187-D187,IF(F187="Completed",0,TODAY()-D187))))</f>
        <v/>
      </c>
      <c r="H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>
        <f>IF(D188="","",MAX(0,IF(E188&lt;&gt;"",E188-D188,IF(F188="Completed",0,TODAY()-D188))))</f>
        <v/>
      </c>
      <c r="H188" s="8" t="n"/>
      <c r="I188" s="8" t="n"/>
    </row>
    <row r="189">
      <c r="A189" s="8" t="n"/>
      <c r="B189" s="8" t="n"/>
      <c r="C189" s="8" t="n"/>
      <c r="D189" s="8" t="n"/>
      <c r="E189" s="8" t="n"/>
      <c r="F189" s="8" t="n"/>
      <c r="G189" s="8">
        <f>IF(D189="","",MAX(0,IF(E189&lt;&gt;"",E189-D189,IF(F189="Completed",0,TODAY()-D189))))</f>
        <v/>
      </c>
      <c r="H189" s="8" t="n"/>
      <c r="I189" s="8" t="n"/>
    </row>
    <row r="190">
      <c r="A190" s="8" t="n"/>
      <c r="B190" s="8" t="n"/>
      <c r="C190" s="8" t="n"/>
      <c r="D190" s="8" t="n"/>
      <c r="E190" s="8" t="n"/>
      <c r="F190" s="8" t="n"/>
      <c r="G190" s="8">
        <f>IF(D190="","",MAX(0,IF(E190&lt;&gt;"",E190-D190,IF(F190="Completed",0,TODAY()-D190))))</f>
        <v/>
      </c>
      <c r="H190" s="8" t="n"/>
      <c r="I190" s="8" t="n"/>
    </row>
    <row r="191">
      <c r="A191" s="8" t="n"/>
      <c r="B191" s="8" t="n"/>
      <c r="C191" s="8" t="n"/>
      <c r="D191" s="8" t="n"/>
      <c r="E191" s="8" t="n"/>
      <c r="F191" s="8" t="n"/>
      <c r="G191" s="8">
        <f>IF(D191="","",MAX(0,IF(E191&lt;&gt;"",E191-D191,IF(F191="Completed",0,TODAY()-D191))))</f>
        <v/>
      </c>
      <c r="H191" s="8" t="n"/>
      <c r="I191" s="8" t="n"/>
    </row>
    <row r="192">
      <c r="A192" s="8" t="n"/>
      <c r="B192" s="8" t="n"/>
      <c r="C192" s="8" t="n"/>
      <c r="D192" s="8" t="n"/>
      <c r="E192" s="8" t="n"/>
      <c r="F192" s="8" t="n"/>
      <c r="G192" s="8">
        <f>IF(D192="","",MAX(0,IF(E192&lt;&gt;"",E192-D192,IF(F192="Completed",0,TODAY()-D192))))</f>
        <v/>
      </c>
      <c r="H192" s="8" t="n"/>
      <c r="I192" s="8" t="n"/>
    </row>
    <row r="193">
      <c r="A193" s="8" t="n"/>
      <c r="B193" s="8" t="n"/>
      <c r="C193" s="8" t="n"/>
      <c r="D193" s="8" t="n"/>
      <c r="E193" s="8" t="n"/>
      <c r="F193" s="8" t="n"/>
      <c r="G193" s="8">
        <f>IF(D193="","",MAX(0,IF(E193&lt;&gt;"",E193-D193,IF(F193="Completed",0,TODAY()-D193))))</f>
        <v/>
      </c>
      <c r="H193" s="8" t="n"/>
      <c r="I193" s="8" t="n"/>
    </row>
    <row r="194">
      <c r="A194" s="8" t="n"/>
      <c r="B194" s="8" t="n"/>
      <c r="C194" s="8" t="n"/>
      <c r="D194" s="8" t="n"/>
      <c r="E194" s="8" t="n"/>
      <c r="F194" s="8" t="n"/>
      <c r="G194" s="8">
        <f>IF(D194="","",MAX(0,IF(E194&lt;&gt;"",E194-D194,IF(F194="Completed",0,TODAY()-D194))))</f>
        <v/>
      </c>
      <c r="H194" s="8" t="n"/>
      <c r="I194" s="8" t="n"/>
    </row>
    <row r="195">
      <c r="A195" s="8" t="n"/>
      <c r="B195" s="8" t="n"/>
      <c r="C195" s="8" t="n"/>
      <c r="D195" s="8" t="n"/>
      <c r="E195" s="8" t="n"/>
      <c r="F195" s="8" t="n"/>
      <c r="G195" s="8">
        <f>IF(D195="","",MAX(0,IF(E195&lt;&gt;"",E195-D195,IF(F195="Completed",0,TODAY()-D195))))</f>
        <v/>
      </c>
      <c r="H195" s="8" t="n"/>
      <c r="I195" s="8" t="n"/>
    </row>
    <row r="196">
      <c r="A196" s="8" t="n"/>
      <c r="B196" s="8" t="n"/>
      <c r="C196" s="8" t="n"/>
      <c r="D196" s="8" t="n"/>
      <c r="E196" s="8" t="n"/>
      <c r="F196" s="8" t="n"/>
      <c r="G196" s="8">
        <f>IF(D196="","",MAX(0,IF(E196&lt;&gt;"",E196-D196,IF(F196="Completed",0,TODAY()-D196))))</f>
        <v/>
      </c>
      <c r="H196" s="8" t="n"/>
      <c r="I196" s="8" t="n"/>
    </row>
    <row r="197">
      <c r="A197" s="8" t="n"/>
      <c r="B197" s="8" t="n"/>
      <c r="C197" s="8" t="n"/>
      <c r="D197" s="8" t="n"/>
      <c r="E197" s="8" t="n"/>
      <c r="F197" s="8" t="n"/>
      <c r="G197" s="8">
        <f>IF(D197="","",MAX(0,IF(E197&lt;&gt;"",E197-D197,IF(F197="Completed",0,TODAY()-D197))))</f>
        <v/>
      </c>
      <c r="H197" s="8" t="n"/>
      <c r="I197" s="8" t="n"/>
    </row>
    <row r="198">
      <c r="A198" s="8" t="n"/>
      <c r="B198" s="8" t="n"/>
      <c r="C198" s="8" t="n"/>
      <c r="D198" s="8" t="n"/>
      <c r="E198" s="8" t="n"/>
      <c r="F198" s="8" t="n"/>
      <c r="G198" s="8">
        <f>IF(D198="","",MAX(0,IF(E198&lt;&gt;"",E198-D198,IF(F198="Completed",0,TODAY()-D198))))</f>
        <v/>
      </c>
      <c r="H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>
        <f>IF(D199="","",MAX(0,IF(E199&lt;&gt;"",E199-D199,IF(F199="Completed",0,TODAY()-D199))))</f>
        <v/>
      </c>
      <c r="H199" s="8" t="n"/>
      <c r="I199" s="8" t="n"/>
    </row>
    <row r="200">
      <c r="A200" s="8" t="n"/>
      <c r="B200" s="8" t="n"/>
      <c r="C200" s="8" t="n"/>
      <c r="D200" s="8" t="n"/>
      <c r="E200" s="8" t="n"/>
      <c r="F200" s="8" t="n"/>
      <c r="G200" s="8">
        <f>IF(D200="","",MAX(0,IF(E200&lt;&gt;"",E200-D200,IF(F200="Completed",0,TODAY()-D200))))</f>
        <v/>
      </c>
      <c r="H200" s="8" t="n"/>
      <c r="I200" s="8" t="n"/>
    </row>
    <row r="201">
      <c r="A201" s="8" t="n"/>
      <c r="B201" s="8" t="n"/>
      <c r="C201" s="8" t="n"/>
      <c r="D201" s="8" t="n"/>
      <c r="E201" s="8" t="n"/>
      <c r="F201" s="8" t="n"/>
      <c r="G201" s="8">
        <f>IF(D201="","",MAX(0,IF(E201&lt;&gt;"",E201-D201,IF(F201="Completed",0,TODAY()-D201))))</f>
        <v/>
      </c>
      <c r="H201" s="8" t="n"/>
      <c r="I201" s="8" t="n"/>
    </row>
    <row r="202">
      <c r="A202" s="8" t="n"/>
      <c r="B202" s="8" t="n"/>
      <c r="C202" s="8" t="n"/>
      <c r="D202" s="8" t="n"/>
      <c r="E202" s="8" t="n"/>
      <c r="F202" s="8" t="n"/>
      <c r="G202" s="8">
        <f>IF(D202="","",MAX(0,IF(E202&lt;&gt;"",E202-D202,IF(F202="Completed",0,TODAY()-D202))))</f>
        <v/>
      </c>
      <c r="H202" s="8" t="n"/>
      <c r="I202" s="8" t="n"/>
    </row>
    <row r="203">
      <c r="A203" s="8" t="n"/>
      <c r="B203" s="8" t="n"/>
      <c r="C203" s="8" t="n"/>
      <c r="D203" s="8" t="n"/>
      <c r="E203" s="8" t="n"/>
      <c r="F203" s="8" t="n"/>
      <c r="G203" s="8">
        <f>IF(D203="","",MAX(0,IF(E203&lt;&gt;"",E203-D203,IF(F203="Completed",0,TODAY()-D203))))</f>
        <v/>
      </c>
      <c r="H203" s="8" t="n"/>
      <c r="I203" s="8" t="n"/>
    </row>
    <row r="204">
      <c r="A204" s="8" t="n"/>
      <c r="B204" s="8" t="n"/>
      <c r="C204" s="8" t="n"/>
      <c r="D204" s="8" t="n"/>
      <c r="E204" s="8" t="n"/>
      <c r="F204" s="8" t="n"/>
      <c r="G204" s="8">
        <f>IF(D204="","",MAX(0,IF(E204&lt;&gt;"",E204-D204,IF(F204="Completed",0,TODAY()-D204))))</f>
        <v/>
      </c>
      <c r="H204" s="8" t="n"/>
      <c r="I204" s="8" t="n"/>
    </row>
    <row r="205">
      <c r="A205" s="8" t="n"/>
      <c r="B205" s="8" t="n"/>
      <c r="C205" s="8" t="n"/>
      <c r="D205" s="8" t="n"/>
      <c r="E205" s="8" t="n"/>
      <c r="F205" s="8" t="n"/>
      <c r="G205" s="8">
        <f>IF(D205="","",MAX(0,IF(E205&lt;&gt;"",E205-D205,IF(F205="Completed",0,TODAY()-D205))))</f>
        <v/>
      </c>
      <c r="H205" s="8" t="n"/>
      <c r="I205" s="8" t="n"/>
    </row>
    <row r="206">
      <c r="A206" s="8" t="n"/>
      <c r="B206" s="8" t="n"/>
      <c r="C206" s="8" t="n"/>
      <c r="D206" s="8" t="n"/>
      <c r="E206" s="8" t="n"/>
      <c r="F206" s="8" t="n"/>
      <c r="G206" s="8">
        <f>IF(D206="","",MAX(0,IF(E206&lt;&gt;"",E206-D206,IF(F206="Completed",0,TODAY()-D206))))</f>
        <v/>
      </c>
      <c r="H206" s="8" t="n"/>
      <c r="I206" s="8" t="n"/>
    </row>
    <row r="207">
      <c r="A207" s="8" t="n"/>
      <c r="B207" s="8" t="n"/>
      <c r="C207" s="8" t="n"/>
      <c r="D207" s="8" t="n"/>
      <c r="E207" s="8" t="n"/>
      <c r="F207" s="8" t="n"/>
      <c r="G207" s="8">
        <f>IF(D207="","",MAX(0,IF(E207&lt;&gt;"",E207-D207,IF(F207="Completed",0,TODAY()-D207))))</f>
        <v/>
      </c>
      <c r="H207" s="8" t="n"/>
      <c r="I207" s="8" t="n"/>
    </row>
    <row r="208">
      <c r="A208" s="8" t="n"/>
      <c r="B208" s="8" t="n"/>
      <c r="C208" s="8" t="n"/>
      <c r="D208" s="8" t="n"/>
      <c r="E208" s="8" t="n"/>
      <c r="F208" s="8" t="n"/>
      <c r="G208" s="8">
        <f>IF(D208="","",MAX(0,IF(E208&lt;&gt;"",E208-D208,IF(F208="Completed",0,TODAY()-D208))))</f>
        <v/>
      </c>
      <c r="H208" s="8" t="n"/>
      <c r="I208" s="8" t="n"/>
    </row>
    <row r="209">
      <c r="A209" s="8" t="n"/>
      <c r="B209" s="8" t="n"/>
      <c r="C209" s="8" t="n"/>
      <c r="D209" s="8" t="n"/>
      <c r="E209" s="8" t="n"/>
      <c r="F209" s="8" t="n"/>
      <c r="G209" s="8">
        <f>IF(D209="","",MAX(0,IF(E209&lt;&gt;"",E209-D209,IF(F209="Completed",0,TODAY()-D209))))</f>
        <v/>
      </c>
      <c r="H209" s="8" t="n"/>
      <c r="I209" s="8" t="n"/>
    </row>
    <row r="210">
      <c r="A210" s="8" t="n"/>
      <c r="B210" s="8" t="n"/>
      <c r="C210" s="8" t="n"/>
      <c r="D210" s="8" t="n"/>
      <c r="E210" s="8" t="n"/>
      <c r="F210" s="8" t="n"/>
      <c r="G210" s="8">
        <f>IF(D210="","",MAX(0,IF(E210&lt;&gt;"",E210-D210,IF(F210="Completed",0,TODAY()-D210))))</f>
        <v/>
      </c>
      <c r="H210" s="8" t="n"/>
      <c r="I210" s="8" t="n"/>
    </row>
    <row r="211">
      <c r="A211" s="8" t="n"/>
      <c r="B211" s="8" t="n"/>
      <c r="C211" s="8" t="n"/>
      <c r="D211" s="8" t="n"/>
      <c r="E211" s="8" t="n"/>
      <c r="F211" s="8" t="n"/>
      <c r="G211" s="8">
        <f>IF(D211="","",MAX(0,IF(E211&lt;&gt;"",E211-D211,IF(F211="Completed",0,TODAY()-D211))))</f>
        <v/>
      </c>
      <c r="H211" s="8" t="n"/>
      <c r="I211" s="8" t="n"/>
    </row>
    <row r="212">
      <c r="A212" s="8" t="n"/>
      <c r="B212" s="8" t="n"/>
      <c r="C212" s="8" t="n"/>
      <c r="D212" s="8" t="n"/>
      <c r="E212" s="8" t="n"/>
      <c r="F212" s="8" t="n"/>
      <c r="G212" s="8">
        <f>IF(D212="","",MAX(0,IF(E212&lt;&gt;"",E212-D212,IF(F212="Completed",0,TODAY()-D212))))</f>
        <v/>
      </c>
      <c r="H212" s="8" t="n"/>
      <c r="I212" s="8" t="n"/>
    </row>
    <row r="213">
      <c r="A213" s="8" t="n"/>
      <c r="B213" s="8" t="n"/>
      <c r="C213" s="8" t="n"/>
      <c r="D213" s="8" t="n"/>
      <c r="E213" s="8" t="n"/>
      <c r="F213" s="8" t="n"/>
      <c r="G213" s="8">
        <f>IF(D213="","",MAX(0,IF(E213&lt;&gt;"",E213-D213,IF(F213="Completed",0,TODAY()-D213))))</f>
        <v/>
      </c>
      <c r="H213" s="8" t="n"/>
      <c r="I213" s="8" t="n"/>
    </row>
    <row r="214">
      <c r="A214" s="8" t="n"/>
      <c r="B214" s="8" t="n"/>
      <c r="C214" s="8" t="n"/>
      <c r="D214" s="8" t="n"/>
      <c r="E214" s="8" t="n"/>
      <c r="F214" s="8" t="n"/>
      <c r="G214" s="8">
        <f>IF(D214="","",MAX(0,IF(E214&lt;&gt;"",E214-D214,IF(F214="Completed",0,TODAY()-D214))))</f>
        <v/>
      </c>
      <c r="H214" s="8" t="n"/>
      <c r="I214" s="8" t="n"/>
    </row>
    <row r="215">
      <c r="A215" s="8" t="n"/>
      <c r="B215" s="8" t="n"/>
      <c r="C215" s="8" t="n"/>
      <c r="D215" s="8" t="n"/>
      <c r="E215" s="8" t="n"/>
      <c r="F215" s="8" t="n"/>
      <c r="G215" s="8">
        <f>IF(D215="","",MAX(0,IF(E215&lt;&gt;"",E215-D215,IF(F215="Completed",0,TODAY()-D215))))</f>
        <v/>
      </c>
      <c r="H215" s="8" t="n"/>
      <c r="I215" s="8" t="n"/>
    </row>
    <row r="216">
      <c r="A216" s="8" t="n"/>
      <c r="B216" s="8" t="n"/>
      <c r="C216" s="8" t="n"/>
      <c r="D216" s="8" t="n"/>
      <c r="E216" s="8" t="n"/>
      <c r="F216" s="8" t="n"/>
      <c r="G216" s="8">
        <f>IF(D216="","",MAX(0,IF(E216&lt;&gt;"",E216-D216,IF(F216="Completed",0,TODAY()-D216))))</f>
        <v/>
      </c>
      <c r="H216" s="8" t="n"/>
      <c r="I216" s="8" t="n"/>
    </row>
    <row r="217">
      <c r="A217" s="8" t="n"/>
      <c r="B217" s="8" t="n"/>
      <c r="C217" s="8" t="n"/>
      <c r="D217" s="8" t="n"/>
      <c r="E217" s="8" t="n"/>
      <c r="F217" s="8" t="n"/>
      <c r="G217" s="8">
        <f>IF(D217="","",MAX(0,IF(E217&lt;&gt;"",E217-D217,IF(F217="Completed",0,TODAY()-D217))))</f>
        <v/>
      </c>
      <c r="H217" s="8" t="n"/>
      <c r="I217" s="8" t="n"/>
    </row>
    <row r="218">
      <c r="A218" s="8" t="n"/>
      <c r="B218" s="8" t="n"/>
      <c r="C218" s="8" t="n"/>
      <c r="D218" s="8" t="n"/>
      <c r="E218" s="8" t="n"/>
      <c r="F218" s="8" t="n"/>
      <c r="G218" s="8">
        <f>IF(D218="","",MAX(0,IF(E218&lt;&gt;"",E218-D218,IF(F218="Completed",0,TODAY()-D218))))</f>
        <v/>
      </c>
      <c r="H218" s="8" t="n"/>
      <c r="I218" s="8" t="n"/>
    </row>
    <row r="219">
      <c r="A219" s="8" t="n"/>
      <c r="B219" s="8" t="n"/>
      <c r="C219" s="8" t="n"/>
      <c r="D219" s="8" t="n"/>
      <c r="E219" s="8" t="n"/>
      <c r="F219" s="8" t="n"/>
      <c r="G219" s="8">
        <f>IF(D219="","",MAX(0,IF(E219&lt;&gt;"",E219-D219,IF(F219="Completed",0,TODAY()-D219))))</f>
        <v/>
      </c>
      <c r="H219" s="8" t="n"/>
      <c r="I219" s="8" t="n"/>
    </row>
    <row r="220">
      <c r="A220" s="8" t="n"/>
      <c r="B220" s="8" t="n"/>
      <c r="C220" s="8" t="n"/>
      <c r="D220" s="8" t="n"/>
      <c r="E220" s="8" t="n"/>
      <c r="F220" s="8" t="n"/>
      <c r="G220" s="8">
        <f>IF(D220="","",MAX(0,IF(E220&lt;&gt;"",E220-D220,IF(F220="Completed",0,TODAY()-D220))))</f>
        <v/>
      </c>
      <c r="H220" s="8" t="n"/>
      <c r="I220" s="8" t="n"/>
    </row>
    <row r="221">
      <c r="A221" s="8" t="n"/>
      <c r="B221" s="8" t="n"/>
      <c r="C221" s="8" t="n"/>
      <c r="D221" s="8" t="n"/>
      <c r="E221" s="8" t="n"/>
      <c r="F221" s="8" t="n"/>
      <c r="G221" s="8">
        <f>IF(D221="","",MAX(0,IF(E221&lt;&gt;"",E221-D221,IF(F221="Completed",0,TODAY()-D221))))</f>
        <v/>
      </c>
      <c r="H221" s="8" t="n"/>
      <c r="I221" s="8" t="n"/>
    </row>
    <row r="222">
      <c r="A222" s="8" t="n"/>
      <c r="B222" s="8" t="n"/>
      <c r="C222" s="8" t="n"/>
      <c r="D222" s="8" t="n"/>
      <c r="E222" s="8" t="n"/>
      <c r="F222" s="8" t="n"/>
      <c r="G222" s="8">
        <f>IF(D222="","",MAX(0,IF(E222&lt;&gt;"",E222-D222,IF(F222="Completed",0,TODAY()-D222))))</f>
        <v/>
      </c>
      <c r="H222" s="8" t="n"/>
      <c r="I222" s="8" t="n"/>
    </row>
    <row r="223">
      <c r="A223" s="8" t="n"/>
      <c r="B223" s="8" t="n"/>
      <c r="C223" s="8" t="n"/>
      <c r="D223" s="8" t="n"/>
      <c r="E223" s="8" t="n"/>
      <c r="F223" s="8" t="n"/>
      <c r="G223" s="8">
        <f>IF(D223="","",MAX(0,IF(E223&lt;&gt;"",E223-D223,IF(F223="Completed",0,TODAY()-D223))))</f>
        <v/>
      </c>
      <c r="H223" s="8" t="n"/>
      <c r="I223" s="8" t="n"/>
    </row>
    <row r="224">
      <c r="A224" s="8" t="n"/>
      <c r="B224" s="8" t="n"/>
      <c r="C224" s="8" t="n"/>
      <c r="D224" s="8" t="n"/>
      <c r="E224" s="8" t="n"/>
      <c r="F224" s="8" t="n"/>
      <c r="G224" s="8">
        <f>IF(D224="","",MAX(0,IF(E224&lt;&gt;"",E224-D224,IF(F224="Completed",0,TODAY()-D224))))</f>
        <v/>
      </c>
      <c r="H224" s="8" t="n"/>
      <c r="I224" s="8" t="n"/>
    </row>
    <row r="225">
      <c r="A225" s="8" t="n"/>
      <c r="B225" s="8" t="n"/>
      <c r="C225" s="8" t="n"/>
      <c r="D225" s="8" t="n"/>
      <c r="E225" s="8" t="n"/>
      <c r="F225" s="8" t="n"/>
      <c r="G225" s="8">
        <f>IF(D225="","",MAX(0,IF(E225&lt;&gt;"",E225-D225,IF(F225="Completed",0,TODAY()-D225))))</f>
        <v/>
      </c>
      <c r="H225" s="8" t="n"/>
      <c r="I225" s="8" t="n"/>
    </row>
    <row r="226">
      <c r="A226" s="8" t="n"/>
      <c r="B226" s="8" t="n"/>
      <c r="C226" s="8" t="n"/>
      <c r="D226" s="8" t="n"/>
      <c r="E226" s="8" t="n"/>
      <c r="F226" s="8" t="n"/>
      <c r="G226" s="8">
        <f>IF(D226="","",MAX(0,IF(E226&lt;&gt;"",E226-D226,IF(F226="Completed",0,TODAY()-D226))))</f>
        <v/>
      </c>
      <c r="H226" s="8" t="n"/>
      <c r="I226" s="8" t="n"/>
    </row>
    <row r="227">
      <c r="A227" s="8" t="n"/>
      <c r="B227" s="8" t="n"/>
      <c r="C227" s="8" t="n"/>
      <c r="D227" s="8" t="n"/>
      <c r="E227" s="8" t="n"/>
      <c r="F227" s="8" t="n"/>
      <c r="G227" s="8">
        <f>IF(D227="","",MAX(0,IF(E227&lt;&gt;"",E227-D227,IF(F227="Completed",0,TODAY()-D227))))</f>
        <v/>
      </c>
      <c r="H227" s="8" t="n"/>
      <c r="I227" s="8" t="n"/>
    </row>
    <row r="228">
      <c r="A228" s="8" t="n"/>
      <c r="B228" s="8" t="n"/>
      <c r="C228" s="8" t="n"/>
      <c r="D228" s="8" t="n"/>
      <c r="E228" s="8" t="n"/>
      <c r="F228" s="8" t="n"/>
      <c r="G228" s="8">
        <f>IF(D228="","",MAX(0,IF(E228&lt;&gt;"",E228-D228,IF(F228="Completed",0,TODAY()-D228))))</f>
        <v/>
      </c>
      <c r="H228" s="8" t="n"/>
      <c r="I228" s="8" t="n"/>
    </row>
    <row r="229">
      <c r="A229" s="8" t="n"/>
      <c r="B229" s="8" t="n"/>
      <c r="C229" s="8" t="n"/>
      <c r="D229" s="8" t="n"/>
      <c r="E229" s="8" t="n"/>
      <c r="F229" s="8" t="n"/>
      <c r="G229" s="8">
        <f>IF(D229="","",MAX(0,IF(E229&lt;&gt;"",E229-D229,IF(F229="Completed",0,TODAY()-D229))))</f>
        <v/>
      </c>
      <c r="H229" s="8" t="n"/>
      <c r="I229" s="8" t="n"/>
    </row>
    <row r="230">
      <c r="A230" s="8" t="n"/>
      <c r="B230" s="8" t="n"/>
      <c r="C230" s="8" t="n"/>
      <c r="D230" s="8" t="n"/>
      <c r="E230" s="8" t="n"/>
      <c r="F230" s="8" t="n"/>
      <c r="G230" s="8">
        <f>IF(D230="","",MAX(0,IF(E230&lt;&gt;"",E230-D230,IF(F230="Completed",0,TODAY()-D230))))</f>
        <v/>
      </c>
      <c r="H230" s="8" t="n"/>
      <c r="I230" s="8" t="n"/>
    </row>
    <row r="231">
      <c r="A231" s="8" t="n"/>
      <c r="B231" s="8" t="n"/>
      <c r="C231" s="8" t="n"/>
      <c r="D231" s="8" t="n"/>
      <c r="E231" s="8" t="n"/>
      <c r="F231" s="8" t="n"/>
      <c r="G231" s="8">
        <f>IF(D231="","",MAX(0,IF(E231&lt;&gt;"",E231-D231,IF(F231="Completed",0,TODAY()-D231))))</f>
        <v/>
      </c>
      <c r="H231" s="8" t="n"/>
      <c r="I231" s="8" t="n"/>
    </row>
    <row r="232">
      <c r="A232" s="8" t="n"/>
      <c r="B232" s="8" t="n"/>
      <c r="C232" s="8" t="n"/>
      <c r="D232" s="8" t="n"/>
      <c r="E232" s="8" t="n"/>
      <c r="F232" s="8" t="n"/>
      <c r="G232" s="8">
        <f>IF(D232="","",MAX(0,IF(E232&lt;&gt;"",E232-D232,IF(F232="Completed",0,TODAY()-D232))))</f>
        <v/>
      </c>
      <c r="H232" s="8" t="n"/>
      <c r="I232" s="8" t="n"/>
    </row>
    <row r="233">
      <c r="A233" s="8" t="n"/>
      <c r="B233" s="8" t="n"/>
      <c r="C233" s="8" t="n"/>
      <c r="D233" s="8" t="n"/>
      <c r="E233" s="8" t="n"/>
      <c r="F233" s="8" t="n"/>
      <c r="G233" s="8">
        <f>IF(D233="","",MAX(0,IF(E233&lt;&gt;"",E233-D233,IF(F233="Completed",0,TODAY()-D233))))</f>
        <v/>
      </c>
      <c r="H233" s="8" t="n"/>
      <c r="I233" s="8" t="n"/>
    </row>
    <row r="234">
      <c r="A234" s="8" t="n"/>
      <c r="B234" s="8" t="n"/>
      <c r="C234" s="8" t="n"/>
      <c r="D234" s="8" t="n"/>
      <c r="E234" s="8" t="n"/>
      <c r="F234" s="8" t="n"/>
      <c r="G234" s="8">
        <f>IF(D234="","",MAX(0,IF(E234&lt;&gt;"",E234-D234,IF(F234="Completed",0,TODAY()-D234))))</f>
        <v/>
      </c>
      <c r="H234" s="8" t="n"/>
      <c r="I234" s="8" t="n"/>
    </row>
    <row r="235">
      <c r="A235" s="8" t="n"/>
      <c r="B235" s="8" t="n"/>
      <c r="C235" s="8" t="n"/>
      <c r="D235" s="8" t="n"/>
      <c r="E235" s="8" t="n"/>
      <c r="F235" s="8" t="n"/>
      <c r="G235" s="8">
        <f>IF(D235="","",MAX(0,IF(E235&lt;&gt;"",E235-D235,IF(F235="Completed",0,TODAY()-D235))))</f>
        <v/>
      </c>
      <c r="H235" s="8" t="n"/>
      <c r="I235" s="8" t="n"/>
    </row>
    <row r="236">
      <c r="A236" s="8" t="n"/>
      <c r="B236" s="8" t="n"/>
      <c r="C236" s="8" t="n"/>
      <c r="D236" s="8" t="n"/>
      <c r="E236" s="8" t="n"/>
      <c r="F236" s="8" t="n"/>
      <c r="G236" s="8">
        <f>IF(D236="","",MAX(0,IF(E236&lt;&gt;"",E236-D236,IF(F236="Completed",0,TODAY()-D236))))</f>
        <v/>
      </c>
      <c r="H236" s="8" t="n"/>
      <c r="I236" s="8" t="n"/>
    </row>
    <row r="237">
      <c r="A237" s="8" t="n"/>
      <c r="B237" s="8" t="n"/>
      <c r="C237" s="8" t="n"/>
      <c r="D237" s="8" t="n"/>
      <c r="E237" s="8" t="n"/>
      <c r="F237" s="8" t="n"/>
      <c r="G237" s="8">
        <f>IF(D237="","",MAX(0,IF(E237&lt;&gt;"",E237-D237,IF(F237="Completed",0,TODAY()-D237))))</f>
        <v/>
      </c>
      <c r="H237" s="8" t="n"/>
      <c r="I237" s="8" t="n"/>
    </row>
    <row r="238">
      <c r="A238" s="8" t="n"/>
      <c r="B238" s="8" t="n"/>
      <c r="C238" s="8" t="n"/>
      <c r="D238" s="8" t="n"/>
      <c r="E238" s="8" t="n"/>
      <c r="F238" s="8" t="n"/>
      <c r="G238" s="8">
        <f>IF(D238="","",MAX(0,IF(E238&lt;&gt;"",E238-D238,IF(F238="Completed",0,TODAY()-D238))))</f>
        <v/>
      </c>
      <c r="H238" s="8" t="n"/>
      <c r="I238" s="8" t="n"/>
    </row>
    <row r="239">
      <c r="A239" s="8" t="n"/>
      <c r="B239" s="8" t="n"/>
      <c r="C239" s="8" t="n"/>
      <c r="D239" s="8" t="n"/>
      <c r="E239" s="8" t="n"/>
      <c r="F239" s="8" t="n"/>
      <c r="G239" s="8">
        <f>IF(D239="","",MAX(0,IF(E239&lt;&gt;"",E239-D239,IF(F239="Completed",0,TODAY()-D239))))</f>
        <v/>
      </c>
      <c r="H239" s="8" t="n"/>
      <c r="I239" s="8" t="n"/>
    </row>
    <row r="240">
      <c r="A240" s="8" t="n"/>
      <c r="B240" s="8" t="n"/>
      <c r="C240" s="8" t="n"/>
      <c r="D240" s="8" t="n"/>
      <c r="E240" s="8" t="n"/>
      <c r="F240" s="8" t="n"/>
      <c r="G240" s="8">
        <f>IF(D240="","",MAX(0,IF(E240&lt;&gt;"",E240-D240,IF(F240="Completed",0,TODAY()-D240))))</f>
        <v/>
      </c>
      <c r="H240" s="8" t="n"/>
      <c r="I240" s="8" t="n"/>
    </row>
    <row r="241">
      <c r="A241" s="8" t="n"/>
      <c r="B241" s="8" t="n"/>
      <c r="C241" s="8" t="n"/>
      <c r="D241" s="8" t="n"/>
      <c r="E241" s="8" t="n"/>
      <c r="F241" s="8" t="n"/>
      <c r="G241" s="8">
        <f>IF(D241="","",MAX(0,IF(E241&lt;&gt;"",E241-D241,IF(F241="Completed",0,TODAY()-D241))))</f>
        <v/>
      </c>
      <c r="H241" s="8" t="n"/>
      <c r="I241" s="8" t="n"/>
    </row>
    <row r="242">
      <c r="A242" s="8" t="n"/>
      <c r="B242" s="8" t="n"/>
      <c r="C242" s="8" t="n"/>
      <c r="D242" s="8" t="n"/>
      <c r="E242" s="8" t="n"/>
      <c r="F242" s="8" t="n"/>
      <c r="G242" s="8">
        <f>IF(D242="","",MAX(0,IF(E242&lt;&gt;"",E242-D242,IF(F242="Completed",0,TODAY()-D242))))</f>
        <v/>
      </c>
      <c r="H242" s="8" t="n"/>
      <c r="I242" s="8" t="n"/>
    </row>
    <row r="243">
      <c r="A243" s="8" t="n"/>
      <c r="B243" s="8" t="n"/>
      <c r="C243" s="8" t="n"/>
      <c r="D243" s="8" t="n"/>
      <c r="E243" s="8" t="n"/>
      <c r="F243" s="8" t="n"/>
      <c r="G243" s="8">
        <f>IF(D243="","",MAX(0,IF(E243&lt;&gt;"",E243-D243,IF(F243="Completed",0,TODAY()-D243))))</f>
        <v/>
      </c>
      <c r="H243" s="8" t="n"/>
      <c r="I243" s="8" t="n"/>
    </row>
    <row r="244">
      <c r="A244" s="8" t="n"/>
      <c r="B244" s="8" t="n"/>
      <c r="C244" s="8" t="n"/>
      <c r="D244" s="8" t="n"/>
      <c r="E244" s="8" t="n"/>
      <c r="F244" s="8" t="n"/>
      <c r="G244" s="8">
        <f>IF(D244="","",MAX(0,IF(E244&lt;&gt;"",E244-D244,IF(F244="Completed",0,TODAY()-D244))))</f>
        <v/>
      </c>
      <c r="H244" s="8" t="n"/>
      <c r="I244" s="8" t="n"/>
    </row>
    <row r="245">
      <c r="A245" s="8" t="n"/>
      <c r="B245" s="8" t="n"/>
      <c r="C245" s="8" t="n"/>
      <c r="D245" s="8" t="n"/>
      <c r="E245" s="8" t="n"/>
      <c r="F245" s="8" t="n"/>
      <c r="G245" s="8">
        <f>IF(D245="","",MAX(0,IF(E245&lt;&gt;"",E245-D245,IF(F245="Completed",0,TODAY()-D245))))</f>
        <v/>
      </c>
      <c r="H245" s="8" t="n"/>
      <c r="I245" s="8" t="n"/>
    </row>
    <row r="246">
      <c r="A246" s="8" t="n"/>
      <c r="B246" s="8" t="n"/>
      <c r="C246" s="8" t="n"/>
      <c r="D246" s="8" t="n"/>
      <c r="E246" s="8" t="n"/>
      <c r="F246" s="8" t="n"/>
      <c r="G246" s="8">
        <f>IF(D246="","",MAX(0,IF(E246&lt;&gt;"",E246-D246,IF(F246="Completed",0,TODAY()-D246))))</f>
        <v/>
      </c>
      <c r="H246" s="8" t="n"/>
      <c r="I246" s="8" t="n"/>
    </row>
    <row r="247">
      <c r="A247" s="8" t="n"/>
      <c r="B247" s="8" t="n"/>
      <c r="C247" s="8" t="n"/>
      <c r="D247" s="8" t="n"/>
      <c r="E247" s="8" t="n"/>
      <c r="F247" s="8" t="n"/>
      <c r="G247" s="8">
        <f>IF(D247="","",MAX(0,IF(E247&lt;&gt;"",E247-D247,IF(F247="Completed",0,TODAY()-D247))))</f>
        <v/>
      </c>
      <c r="H247" s="8" t="n"/>
      <c r="I247" s="8" t="n"/>
    </row>
    <row r="248">
      <c r="A248" s="8" t="n"/>
      <c r="B248" s="8" t="n"/>
      <c r="C248" s="8" t="n"/>
      <c r="D248" s="8" t="n"/>
      <c r="E248" s="8" t="n"/>
      <c r="F248" s="8" t="n"/>
      <c r="G248" s="8">
        <f>IF(D248="","",MAX(0,IF(E248&lt;&gt;"",E248-D248,IF(F248="Completed",0,TODAY()-D248))))</f>
        <v/>
      </c>
      <c r="H248" s="8" t="n"/>
      <c r="I248" s="8" t="n"/>
    </row>
    <row r="249">
      <c r="A249" s="8" t="n"/>
      <c r="B249" s="8" t="n"/>
      <c r="C249" s="8" t="n"/>
      <c r="D249" s="8" t="n"/>
      <c r="E249" s="8" t="n"/>
      <c r="F249" s="8" t="n"/>
      <c r="G249" s="8">
        <f>IF(D249="","",MAX(0,IF(E249&lt;&gt;"",E249-D249,IF(F249="Completed",0,TODAY()-D249))))</f>
        <v/>
      </c>
      <c r="H249" s="8" t="n"/>
      <c r="I249" s="8" t="n"/>
    </row>
    <row r="250">
      <c r="A250" s="8" t="n"/>
      <c r="B250" s="8" t="n"/>
      <c r="C250" s="8" t="n"/>
      <c r="D250" s="8" t="n"/>
      <c r="E250" s="8" t="n"/>
      <c r="F250" s="8" t="n"/>
      <c r="G250" s="8">
        <f>IF(D250="","",MAX(0,IF(E250&lt;&gt;"",E250-D250,IF(F250="Completed",0,TODAY()-D250))))</f>
        <v/>
      </c>
      <c r="H250" s="8" t="n"/>
      <c r="I250" s="8" t="n"/>
    </row>
    <row r="251">
      <c r="A251" s="8" t="n"/>
      <c r="B251" s="8" t="n"/>
      <c r="C251" s="8" t="n"/>
      <c r="D251" s="8" t="n"/>
      <c r="E251" s="8" t="n"/>
      <c r="F251" s="8" t="n"/>
      <c r="G251" s="8">
        <f>IF(D251="","",MAX(0,IF(E251&lt;&gt;"",E251-D251,IF(F251="Completed",0,TODAY()-D251))))</f>
        <v/>
      </c>
      <c r="H251" s="8" t="n"/>
      <c r="I251" s="8" t="n"/>
    </row>
    <row r="252">
      <c r="A252" s="8" t="n"/>
      <c r="B252" s="8" t="n"/>
      <c r="C252" s="8" t="n"/>
      <c r="D252" s="8" t="n"/>
      <c r="E252" s="8" t="n"/>
      <c r="F252" s="8" t="n"/>
      <c r="G252" s="8">
        <f>IF(D252="","",MAX(0,IF(E252&lt;&gt;"",E252-D252,IF(F252="Completed",0,TODAY()-D252))))</f>
        <v/>
      </c>
      <c r="H252" s="8" t="n"/>
      <c r="I252" s="8" t="n"/>
    </row>
    <row r="253">
      <c r="A253" s="8" t="n"/>
      <c r="B253" s="8" t="n"/>
      <c r="C253" s="8" t="n"/>
      <c r="D253" s="8" t="n"/>
      <c r="E253" s="8" t="n"/>
      <c r="F253" s="8" t="n"/>
      <c r="G253" s="8">
        <f>IF(D253="","",MAX(0,IF(E253&lt;&gt;"",E253-D253,IF(F253="Completed",0,TODAY()-D253))))</f>
        <v/>
      </c>
      <c r="H253" s="8" t="n"/>
      <c r="I253" s="8" t="n"/>
    </row>
    <row r="254">
      <c r="A254" s="8" t="n"/>
      <c r="B254" s="8" t="n"/>
      <c r="C254" s="8" t="n"/>
      <c r="D254" s="8" t="n"/>
      <c r="E254" s="8" t="n"/>
      <c r="F254" s="8" t="n"/>
      <c r="G254" s="8">
        <f>IF(D254="","",MAX(0,IF(E254&lt;&gt;"",E254-D254,IF(F254="Completed",0,TODAY()-D254))))</f>
        <v/>
      </c>
      <c r="H254" s="8" t="n"/>
      <c r="I254" s="8" t="n"/>
    </row>
    <row r="255">
      <c r="A255" s="8" t="n"/>
      <c r="B255" s="8" t="n"/>
      <c r="C255" s="8" t="n"/>
      <c r="D255" s="8" t="n"/>
      <c r="E255" s="8" t="n"/>
      <c r="F255" s="8" t="n"/>
      <c r="G255" s="8">
        <f>IF(D255="","",MAX(0,IF(E255&lt;&gt;"",E255-D255,IF(F255="Completed",0,TODAY()-D255))))</f>
        <v/>
      </c>
      <c r="H255" s="8" t="n"/>
      <c r="I255" s="8" t="n"/>
    </row>
    <row r="256">
      <c r="A256" s="8" t="n"/>
      <c r="B256" s="8" t="n"/>
      <c r="C256" s="8" t="n"/>
      <c r="D256" s="8" t="n"/>
      <c r="E256" s="8" t="n"/>
      <c r="F256" s="8" t="n"/>
      <c r="G256" s="8">
        <f>IF(D256="","",MAX(0,IF(E256&lt;&gt;"",E256-D256,IF(F256="Completed",0,TODAY()-D256))))</f>
        <v/>
      </c>
      <c r="H256" s="8" t="n"/>
      <c r="I256" s="8" t="n"/>
    </row>
    <row r="257">
      <c r="A257" s="8" t="n"/>
      <c r="B257" s="8" t="n"/>
      <c r="C257" s="8" t="n"/>
      <c r="D257" s="8" t="n"/>
      <c r="E257" s="8" t="n"/>
      <c r="F257" s="8" t="n"/>
      <c r="G257" s="8">
        <f>IF(D257="","",MAX(0,IF(E257&lt;&gt;"",E257-D257,IF(F257="Completed",0,TODAY()-D257))))</f>
        <v/>
      </c>
      <c r="H257" s="8" t="n"/>
      <c r="I257" s="8" t="n"/>
    </row>
    <row r="258">
      <c r="A258" s="8" t="n"/>
      <c r="B258" s="8" t="n"/>
      <c r="C258" s="8" t="n"/>
      <c r="D258" s="8" t="n"/>
      <c r="E258" s="8" t="n"/>
      <c r="F258" s="8" t="n"/>
      <c r="G258" s="8">
        <f>IF(D258="","",MAX(0,IF(E258&lt;&gt;"",E258-D258,IF(F258="Completed",0,TODAY()-D258))))</f>
        <v/>
      </c>
      <c r="H258" s="8" t="n"/>
      <c r="I258" s="8" t="n"/>
    </row>
    <row r="259">
      <c r="A259" s="8" t="n"/>
      <c r="B259" s="8" t="n"/>
      <c r="C259" s="8" t="n"/>
      <c r="D259" s="8" t="n"/>
      <c r="E259" s="8" t="n"/>
      <c r="F259" s="8" t="n"/>
      <c r="G259" s="8">
        <f>IF(D259="","",MAX(0,IF(E259&lt;&gt;"",E259-D259,IF(F259="Completed",0,TODAY()-D259))))</f>
        <v/>
      </c>
      <c r="H259" s="8" t="n"/>
      <c r="I259" s="8" t="n"/>
    </row>
    <row r="260">
      <c r="A260" s="8" t="n"/>
      <c r="B260" s="8" t="n"/>
      <c r="C260" s="8" t="n"/>
      <c r="D260" s="8" t="n"/>
      <c r="E260" s="8" t="n"/>
      <c r="F260" s="8" t="n"/>
      <c r="G260" s="8">
        <f>IF(D260="","",MAX(0,IF(E260&lt;&gt;"",E260-D260,IF(F260="Completed",0,TODAY()-D260))))</f>
        <v/>
      </c>
      <c r="H260" s="8" t="n"/>
      <c r="I260" s="8" t="n"/>
    </row>
    <row r="261">
      <c r="A261" s="8" t="n"/>
      <c r="B261" s="8" t="n"/>
      <c r="C261" s="8" t="n"/>
      <c r="D261" s="8" t="n"/>
      <c r="E261" s="8" t="n"/>
      <c r="F261" s="8" t="n"/>
      <c r="G261" s="8">
        <f>IF(D261="","",MAX(0,IF(E261&lt;&gt;"",E261-D261,IF(F261="Completed",0,TODAY()-D261))))</f>
        <v/>
      </c>
      <c r="H261" s="8" t="n"/>
      <c r="I261" s="8" t="n"/>
    </row>
    <row r="262">
      <c r="A262" s="8" t="n"/>
      <c r="B262" s="8" t="n"/>
      <c r="C262" s="8" t="n"/>
      <c r="D262" s="8" t="n"/>
      <c r="E262" s="8" t="n"/>
      <c r="F262" s="8" t="n"/>
      <c r="G262" s="8">
        <f>IF(D262="","",MAX(0,IF(E262&lt;&gt;"",E262-D262,IF(F262="Completed",0,TODAY()-D262))))</f>
        <v/>
      </c>
      <c r="H262" s="8" t="n"/>
      <c r="I262" s="8" t="n"/>
    </row>
    <row r="263">
      <c r="A263" s="8" t="n"/>
      <c r="B263" s="8" t="n"/>
      <c r="C263" s="8" t="n"/>
      <c r="D263" s="8" t="n"/>
      <c r="E263" s="8" t="n"/>
      <c r="F263" s="8" t="n"/>
      <c r="G263" s="8">
        <f>IF(D263="","",MAX(0,IF(E263&lt;&gt;"",E263-D263,IF(F263="Completed",0,TODAY()-D263))))</f>
        <v/>
      </c>
      <c r="H263" s="8" t="n"/>
      <c r="I263" s="8" t="n"/>
    </row>
    <row r="264">
      <c r="A264" s="8" t="n"/>
      <c r="B264" s="8" t="n"/>
      <c r="C264" s="8" t="n"/>
      <c r="D264" s="8" t="n"/>
      <c r="E264" s="8" t="n"/>
      <c r="F264" s="8" t="n"/>
      <c r="G264" s="8">
        <f>IF(D264="","",MAX(0,IF(E264&lt;&gt;"",E264-D264,IF(F264="Completed",0,TODAY()-D264))))</f>
        <v/>
      </c>
      <c r="H264" s="8" t="n"/>
      <c r="I264" s="8" t="n"/>
    </row>
    <row r="265">
      <c r="A265" s="8" t="n"/>
      <c r="B265" s="8" t="n"/>
      <c r="C265" s="8" t="n"/>
      <c r="D265" s="8" t="n"/>
      <c r="E265" s="8" t="n"/>
      <c r="F265" s="8" t="n"/>
      <c r="G265" s="8">
        <f>IF(D265="","",MAX(0,IF(E265&lt;&gt;"",E265-D265,IF(F265="Completed",0,TODAY()-D265))))</f>
        <v/>
      </c>
      <c r="H265" s="8" t="n"/>
      <c r="I265" s="8" t="n"/>
    </row>
    <row r="266">
      <c r="A266" s="8" t="n"/>
      <c r="B266" s="8" t="n"/>
      <c r="C266" s="8" t="n"/>
      <c r="D266" s="8" t="n"/>
      <c r="E266" s="8" t="n"/>
      <c r="F266" s="8" t="n"/>
      <c r="G266" s="8">
        <f>IF(D266="","",MAX(0,IF(E266&lt;&gt;"",E266-D266,IF(F266="Completed",0,TODAY()-D266))))</f>
        <v/>
      </c>
      <c r="H266" s="8" t="n"/>
      <c r="I266" s="8" t="n"/>
    </row>
    <row r="267">
      <c r="A267" s="8" t="n"/>
      <c r="B267" s="8" t="n"/>
      <c r="C267" s="8" t="n"/>
      <c r="D267" s="8" t="n"/>
      <c r="E267" s="8" t="n"/>
      <c r="F267" s="8" t="n"/>
      <c r="G267" s="8">
        <f>IF(D267="","",MAX(0,IF(E267&lt;&gt;"",E267-D267,IF(F267="Completed",0,TODAY()-D267))))</f>
        <v/>
      </c>
      <c r="H267" s="8" t="n"/>
      <c r="I267" s="8" t="n"/>
    </row>
    <row r="268">
      <c r="A268" s="8" t="n"/>
      <c r="B268" s="8" t="n"/>
      <c r="C268" s="8" t="n"/>
      <c r="D268" s="8" t="n"/>
      <c r="E268" s="8" t="n"/>
      <c r="F268" s="8" t="n"/>
      <c r="G268" s="8">
        <f>IF(D268="","",MAX(0,IF(E268&lt;&gt;"",E268-D268,IF(F268="Completed",0,TODAY()-D268))))</f>
        <v/>
      </c>
      <c r="H268" s="8" t="n"/>
      <c r="I268" s="8" t="n"/>
    </row>
    <row r="269">
      <c r="A269" s="8" t="n"/>
      <c r="B269" s="8" t="n"/>
      <c r="C269" s="8" t="n"/>
      <c r="D269" s="8" t="n"/>
      <c r="E269" s="8" t="n"/>
      <c r="F269" s="8" t="n"/>
      <c r="G269" s="8">
        <f>IF(D269="","",MAX(0,IF(E269&lt;&gt;"",E269-D269,IF(F269="Completed",0,TODAY()-D269))))</f>
        <v/>
      </c>
      <c r="H269" s="8" t="n"/>
      <c r="I269" s="8" t="n"/>
    </row>
    <row r="270">
      <c r="A270" s="8" t="n"/>
      <c r="B270" s="8" t="n"/>
      <c r="C270" s="8" t="n"/>
      <c r="D270" s="8" t="n"/>
      <c r="E270" s="8" t="n"/>
      <c r="F270" s="8" t="n"/>
      <c r="G270" s="8">
        <f>IF(D270="","",MAX(0,IF(E270&lt;&gt;"",E270-D270,IF(F270="Completed",0,TODAY()-D270))))</f>
        <v/>
      </c>
      <c r="H270" s="8" t="n"/>
      <c r="I270" s="8" t="n"/>
    </row>
    <row r="271">
      <c r="A271" s="8" t="n"/>
      <c r="B271" s="8" t="n"/>
      <c r="C271" s="8" t="n"/>
      <c r="D271" s="8" t="n"/>
      <c r="E271" s="8" t="n"/>
      <c r="F271" s="8" t="n"/>
      <c r="G271" s="8">
        <f>IF(D271="","",MAX(0,IF(E271&lt;&gt;"",E271-D271,IF(F271="Completed",0,TODAY()-D271))))</f>
        <v/>
      </c>
      <c r="H271" s="8" t="n"/>
      <c r="I271" s="8" t="n"/>
    </row>
    <row r="272">
      <c r="A272" s="8" t="n"/>
      <c r="B272" s="8" t="n"/>
      <c r="C272" s="8" t="n"/>
      <c r="D272" s="8" t="n"/>
      <c r="E272" s="8" t="n"/>
      <c r="F272" s="8" t="n"/>
      <c r="G272" s="8">
        <f>IF(D272="","",MAX(0,IF(E272&lt;&gt;"",E272-D272,IF(F272="Completed",0,TODAY()-D272))))</f>
        <v/>
      </c>
      <c r="H272" s="8" t="n"/>
      <c r="I272" s="8" t="n"/>
    </row>
    <row r="273">
      <c r="A273" s="8" t="n"/>
      <c r="B273" s="8" t="n"/>
      <c r="C273" s="8" t="n"/>
      <c r="D273" s="8" t="n"/>
      <c r="E273" s="8" t="n"/>
      <c r="F273" s="8" t="n"/>
      <c r="G273" s="8">
        <f>IF(D273="","",MAX(0,IF(E273&lt;&gt;"",E273-D273,IF(F273="Completed",0,TODAY()-D273))))</f>
        <v/>
      </c>
      <c r="H273" s="8" t="n"/>
      <c r="I273" s="8" t="n"/>
    </row>
    <row r="274">
      <c r="A274" s="8" t="n"/>
      <c r="B274" s="8" t="n"/>
      <c r="C274" s="8" t="n"/>
      <c r="D274" s="8" t="n"/>
      <c r="E274" s="8" t="n"/>
      <c r="F274" s="8" t="n"/>
      <c r="G274" s="8">
        <f>IF(D274="","",MAX(0,IF(E274&lt;&gt;"",E274-D274,IF(F274="Completed",0,TODAY()-D274))))</f>
        <v/>
      </c>
      <c r="H274" s="8" t="n"/>
      <c r="I274" s="8" t="n"/>
    </row>
    <row r="275">
      <c r="A275" s="8" t="n"/>
      <c r="B275" s="8" t="n"/>
      <c r="C275" s="8" t="n"/>
      <c r="D275" s="8" t="n"/>
      <c r="E275" s="8" t="n"/>
      <c r="F275" s="8" t="n"/>
      <c r="G275" s="8">
        <f>IF(D275="","",MAX(0,IF(E275&lt;&gt;"",E275-D275,IF(F275="Completed",0,TODAY()-D275))))</f>
        <v/>
      </c>
      <c r="H275" s="8" t="n"/>
      <c r="I275" s="8" t="n"/>
    </row>
    <row r="276">
      <c r="A276" s="8" t="n"/>
      <c r="B276" s="8" t="n"/>
      <c r="C276" s="8" t="n"/>
      <c r="D276" s="8" t="n"/>
      <c r="E276" s="8" t="n"/>
      <c r="F276" s="8" t="n"/>
      <c r="G276" s="8">
        <f>IF(D276="","",MAX(0,IF(E276&lt;&gt;"",E276-D276,IF(F276="Completed",0,TODAY()-D276))))</f>
        <v/>
      </c>
      <c r="H276" s="8" t="n"/>
      <c r="I276" s="8" t="n"/>
    </row>
    <row r="277">
      <c r="A277" s="8" t="n"/>
      <c r="B277" s="8" t="n"/>
      <c r="C277" s="8" t="n"/>
      <c r="D277" s="8" t="n"/>
      <c r="E277" s="8" t="n"/>
      <c r="F277" s="8" t="n"/>
      <c r="G277" s="8">
        <f>IF(D277="","",MAX(0,IF(E277&lt;&gt;"",E277-D277,IF(F277="Completed",0,TODAY()-D277))))</f>
        <v/>
      </c>
      <c r="H277" s="8" t="n"/>
      <c r="I277" s="8" t="n"/>
    </row>
    <row r="278">
      <c r="A278" s="8" t="n"/>
      <c r="B278" s="8" t="n"/>
      <c r="C278" s="8" t="n"/>
      <c r="D278" s="8" t="n"/>
      <c r="E278" s="8" t="n"/>
      <c r="F278" s="8" t="n"/>
      <c r="G278" s="8">
        <f>IF(D278="","",MAX(0,IF(E278&lt;&gt;"",E278-D278,IF(F278="Completed",0,TODAY()-D278))))</f>
        <v/>
      </c>
      <c r="H278" s="8" t="n"/>
      <c r="I278" s="8" t="n"/>
    </row>
    <row r="279">
      <c r="A279" s="8" t="n"/>
      <c r="B279" s="8" t="n"/>
      <c r="C279" s="8" t="n"/>
      <c r="D279" s="8" t="n"/>
      <c r="E279" s="8" t="n"/>
      <c r="F279" s="8" t="n"/>
      <c r="G279" s="8">
        <f>IF(D279="","",MAX(0,IF(E279&lt;&gt;"",E279-D279,IF(F279="Completed",0,TODAY()-D279))))</f>
        <v/>
      </c>
      <c r="H279" s="8" t="n"/>
      <c r="I279" s="8" t="n"/>
    </row>
    <row r="280">
      <c r="A280" s="8" t="n"/>
      <c r="B280" s="8" t="n"/>
      <c r="C280" s="8" t="n"/>
      <c r="D280" s="8" t="n"/>
      <c r="E280" s="8" t="n"/>
      <c r="F280" s="8" t="n"/>
      <c r="G280" s="8">
        <f>IF(D280="","",MAX(0,IF(E280&lt;&gt;"",E280-D280,IF(F280="Completed",0,TODAY()-D280))))</f>
        <v/>
      </c>
      <c r="H280" s="8" t="n"/>
      <c r="I280" s="8" t="n"/>
    </row>
    <row r="281">
      <c r="A281" s="8" t="n"/>
      <c r="B281" s="8" t="n"/>
      <c r="C281" s="8" t="n"/>
      <c r="D281" s="8" t="n"/>
      <c r="E281" s="8" t="n"/>
      <c r="F281" s="8" t="n"/>
      <c r="G281" s="8">
        <f>IF(D281="","",MAX(0,IF(E281&lt;&gt;"",E281-D281,IF(F281="Completed",0,TODAY()-D281))))</f>
        <v/>
      </c>
      <c r="H281" s="8" t="n"/>
      <c r="I281" s="8" t="n"/>
    </row>
    <row r="282">
      <c r="A282" s="8" t="n"/>
      <c r="B282" s="8" t="n"/>
      <c r="C282" s="8" t="n"/>
      <c r="D282" s="8" t="n"/>
      <c r="E282" s="8" t="n"/>
      <c r="F282" s="8" t="n"/>
      <c r="G282" s="8">
        <f>IF(D282="","",MAX(0,IF(E282&lt;&gt;"",E282-D282,IF(F282="Completed",0,TODAY()-D282))))</f>
        <v/>
      </c>
      <c r="H282" s="8" t="n"/>
      <c r="I282" s="8" t="n"/>
    </row>
    <row r="283">
      <c r="A283" s="8" t="n"/>
      <c r="B283" s="8" t="n"/>
      <c r="C283" s="8" t="n"/>
      <c r="D283" s="8" t="n"/>
      <c r="E283" s="8" t="n"/>
      <c r="F283" s="8" t="n"/>
      <c r="G283" s="8">
        <f>IF(D283="","",MAX(0,IF(E283&lt;&gt;"",E283-D283,IF(F283="Completed",0,TODAY()-D283))))</f>
        <v/>
      </c>
      <c r="H283" s="8" t="n"/>
      <c r="I283" s="8" t="n"/>
    </row>
    <row r="284">
      <c r="A284" s="8" t="n"/>
      <c r="B284" s="8" t="n"/>
      <c r="C284" s="8" t="n"/>
      <c r="D284" s="8" t="n"/>
      <c r="E284" s="8" t="n"/>
      <c r="F284" s="8" t="n"/>
      <c r="G284" s="8">
        <f>IF(D284="","",MAX(0,IF(E284&lt;&gt;"",E284-D284,IF(F284="Completed",0,TODAY()-D284))))</f>
        <v/>
      </c>
      <c r="H284" s="8" t="n"/>
      <c r="I284" s="8" t="n"/>
    </row>
    <row r="285">
      <c r="A285" s="8" t="n"/>
      <c r="B285" s="8" t="n"/>
      <c r="C285" s="8" t="n"/>
      <c r="D285" s="8" t="n"/>
      <c r="E285" s="8" t="n"/>
      <c r="F285" s="8" t="n"/>
      <c r="G285" s="8">
        <f>IF(D285="","",MAX(0,IF(E285&lt;&gt;"",E285-D285,IF(F285="Completed",0,TODAY()-D285))))</f>
        <v/>
      </c>
      <c r="H285" s="8" t="n"/>
      <c r="I285" s="8" t="n"/>
    </row>
    <row r="286">
      <c r="A286" s="8" t="n"/>
      <c r="B286" s="8" t="n"/>
      <c r="C286" s="8" t="n"/>
      <c r="D286" s="8" t="n"/>
      <c r="E286" s="8" t="n"/>
      <c r="F286" s="8" t="n"/>
      <c r="G286" s="8">
        <f>IF(D286="","",MAX(0,IF(E286&lt;&gt;"",E286-D286,IF(F286="Completed",0,TODAY()-D286))))</f>
        <v/>
      </c>
      <c r="H286" s="8" t="n"/>
      <c r="I286" s="8" t="n"/>
    </row>
    <row r="287">
      <c r="A287" s="8" t="n"/>
      <c r="B287" s="8" t="n"/>
      <c r="C287" s="8" t="n"/>
      <c r="D287" s="8" t="n"/>
      <c r="E287" s="8" t="n"/>
      <c r="F287" s="8" t="n"/>
      <c r="G287" s="8">
        <f>IF(D287="","",MAX(0,IF(E287&lt;&gt;"",E287-D287,IF(F287="Completed",0,TODAY()-D287))))</f>
        <v/>
      </c>
      <c r="H287" s="8" t="n"/>
      <c r="I287" s="8" t="n"/>
    </row>
    <row r="288">
      <c r="A288" s="8" t="n"/>
      <c r="B288" s="8" t="n"/>
      <c r="C288" s="8" t="n"/>
      <c r="D288" s="8" t="n"/>
      <c r="E288" s="8" t="n"/>
      <c r="F288" s="8" t="n"/>
      <c r="G288" s="8">
        <f>IF(D288="","",MAX(0,IF(E288&lt;&gt;"",E288-D288,IF(F288="Completed",0,TODAY()-D288))))</f>
        <v/>
      </c>
      <c r="H288" s="8" t="n"/>
      <c r="I288" s="8" t="n"/>
    </row>
    <row r="289">
      <c r="A289" s="8" t="n"/>
      <c r="B289" s="8" t="n"/>
      <c r="C289" s="8" t="n"/>
      <c r="D289" s="8" t="n"/>
      <c r="E289" s="8" t="n"/>
      <c r="F289" s="8" t="n"/>
      <c r="G289" s="8">
        <f>IF(D289="","",MAX(0,IF(E289&lt;&gt;"",E289-D289,IF(F289="Completed",0,TODAY()-D289))))</f>
        <v/>
      </c>
      <c r="H289" s="8" t="n"/>
      <c r="I289" s="8" t="n"/>
    </row>
    <row r="290">
      <c r="A290" s="8" t="n"/>
      <c r="B290" s="8" t="n"/>
      <c r="C290" s="8" t="n"/>
      <c r="D290" s="8" t="n"/>
      <c r="E290" s="8" t="n"/>
      <c r="F290" s="8" t="n"/>
      <c r="G290" s="8">
        <f>IF(D290="","",MAX(0,IF(E290&lt;&gt;"",E290-D290,IF(F290="Completed",0,TODAY()-D290))))</f>
        <v/>
      </c>
      <c r="H290" s="8" t="n"/>
      <c r="I290" s="8" t="n"/>
    </row>
    <row r="291">
      <c r="A291" s="8" t="n"/>
      <c r="B291" s="8" t="n"/>
      <c r="C291" s="8" t="n"/>
      <c r="D291" s="8" t="n"/>
      <c r="E291" s="8" t="n"/>
      <c r="F291" s="8" t="n"/>
      <c r="G291" s="8">
        <f>IF(D291="","",MAX(0,IF(E291&lt;&gt;"",E291-D291,IF(F291="Completed",0,TODAY()-D291))))</f>
        <v/>
      </c>
      <c r="H291" s="8" t="n"/>
      <c r="I291" s="8" t="n"/>
    </row>
    <row r="292">
      <c r="A292" s="8" t="n"/>
      <c r="B292" s="8" t="n"/>
      <c r="C292" s="8" t="n"/>
      <c r="D292" s="8" t="n"/>
      <c r="E292" s="8" t="n"/>
      <c r="F292" s="8" t="n"/>
      <c r="G292" s="8">
        <f>IF(D292="","",MAX(0,IF(E292&lt;&gt;"",E292-D292,IF(F292="Completed",0,TODAY()-D292))))</f>
        <v/>
      </c>
      <c r="H292" s="8" t="n"/>
      <c r="I292" s="8" t="n"/>
    </row>
    <row r="293">
      <c r="A293" s="8" t="n"/>
      <c r="B293" s="8" t="n"/>
      <c r="C293" s="8" t="n"/>
      <c r="D293" s="8" t="n"/>
      <c r="E293" s="8" t="n"/>
      <c r="F293" s="8" t="n"/>
      <c r="G293" s="8">
        <f>IF(D293="","",MAX(0,IF(E293&lt;&gt;"",E293-D293,IF(F293="Completed",0,TODAY()-D293))))</f>
        <v/>
      </c>
      <c r="H293" s="8" t="n"/>
      <c r="I293" s="8" t="n"/>
    </row>
    <row r="294">
      <c r="A294" s="8" t="n"/>
      <c r="B294" s="8" t="n"/>
      <c r="C294" s="8" t="n"/>
      <c r="D294" s="8" t="n"/>
      <c r="E294" s="8" t="n"/>
      <c r="F294" s="8" t="n"/>
      <c r="G294" s="8">
        <f>IF(D294="","",MAX(0,IF(E294&lt;&gt;"",E294-D294,IF(F294="Completed",0,TODAY()-D294))))</f>
        <v/>
      </c>
      <c r="H294" s="8" t="n"/>
      <c r="I294" s="8" t="n"/>
    </row>
    <row r="295">
      <c r="A295" s="8" t="n"/>
      <c r="B295" s="8" t="n"/>
      <c r="C295" s="8" t="n"/>
      <c r="D295" s="8" t="n"/>
      <c r="E295" s="8" t="n"/>
      <c r="F295" s="8" t="n"/>
      <c r="G295" s="8">
        <f>IF(D295="","",MAX(0,IF(E295&lt;&gt;"",E295-D295,IF(F295="Completed",0,TODAY()-D295))))</f>
        <v/>
      </c>
      <c r="H295" s="8" t="n"/>
      <c r="I295" s="8" t="n"/>
    </row>
    <row r="296">
      <c r="A296" s="8" t="n"/>
      <c r="B296" s="8" t="n"/>
      <c r="C296" s="8" t="n"/>
      <c r="D296" s="8" t="n"/>
      <c r="E296" s="8" t="n"/>
      <c r="F296" s="8" t="n"/>
      <c r="G296" s="8">
        <f>IF(D296="","",MAX(0,IF(E296&lt;&gt;"",E296-D296,IF(F296="Completed",0,TODAY()-D296))))</f>
        <v/>
      </c>
      <c r="H296" s="8" t="n"/>
      <c r="I296" s="8" t="n"/>
    </row>
    <row r="297">
      <c r="A297" s="8" t="n"/>
      <c r="B297" s="8" t="n"/>
      <c r="C297" s="8" t="n"/>
      <c r="D297" s="8" t="n"/>
      <c r="E297" s="8" t="n"/>
      <c r="F297" s="8" t="n"/>
      <c r="G297" s="8">
        <f>IF(D297="","",MAX(0,IF(E297&lt;&gt;"",E297-D297,IF(F297="Completed",0,TODAY()-D297))))</f>
        <v/>
      </c>
      <c r="H297" s="8" t="n"/>
      <c r="I297" s="8" t="n"/>
    </row>
    <row r="298">
      <c r="A298" s="8" t="n"/>
      <c r="B298" s="8" t="n"/>
      <c r="C298" s="8" t="n"/>
      <c r="D298" s="8" t="n"/>
      <c r="E298" s="8" t="n"/>
      <c r="F298" s="8" t="n"/>
      <c r="G298" s="8">
        <f>IF(D298="","",MAX(0,IF(E298&lt;&gt;"",E298-D298,IF(F298="Completed",0,TODAY()-D298))))</f>
        <v/>
      </c>
      <c r="H298" s="8" t="n"/>
      <c r="I298" s="8" t="n"/>
    </row>
    <row r="299">
      <c r="A299" s="8" t="n"/>
      <c r="B299" s="8" t="n"/>
      <c r="C299" s="8" t="n"/>
      <c r="D299" s="8" t="n"/>
      <c r="E299" s="8" t="n"/>
      <c r="F299" s="8" t="n"/>
      <c r="G299" s="8">
        <f>IF(D299="","",MAX(0,IF(E299&lt;&gt;"",E299-D299,IF(F299="Completed",0,TODAY()-D299))))</f>
        <v/>
      </c>
      <c r="H299" s="8" t="n"/>
      <c r="I299" s="8" t="n"/>
    </row>
    <row r="300">
      <c r="A300" s="8" t="n"/>
      <c r="B300" s="8" t="n"/>
      <c r="C300" s="8" t="n"/>
      <c r="D300" s="8" t="n"/>
      <c r="E300" s="8" t="n"/>
      <c r="F300" s="8" t="n"/>
      <c r="G300" s="8">
        <f>IF(D300="","",MAX(0,IF(E300&lt;&gt;"",E300-D300,IF(F300="Completed",0,TODAY()-D300))))</f>
        <v/>
      </c>
      <c r="H300" s="8" t="n"/>
      <c r="I300" s="8" t="n"/>
    </row>
  </sheetData>
  <autoFilter ref="A1:I300"/>
  <conditionalFormatting sqref="A2:I300">
    <cfRule type="expression" priority="1" dxfId="2">
      <formula>$F2="Completed"</formula>
    </cfRule>
    <cfRule type="expression" priority="2" dxfId="1">
      <formula>OR($F2="Delayed",$F2="Blocked",$F2="Open")</formula>
    </cfRule>
    <cfRule type="expression" priority="3" dxfId="3">
      <formula>OR($F2="At Risk",$F2="In Progress")</formula>
    </cfRule>
  </conditionalFormatting>
  <dataValidations count="3">
    <dataValidation sqref="B2:B300" showDropDown="0" showInputMessage="0" showErrorMessage="1" allowBlank="1" errorTitle="Invalid selection" error="Select from the dropdown list." type="list">
      <formula1>"PRJ-001,PRJ-002,PRJ-003,PRJ-004"</formula1>
    </dataValidation>
    <dataValidation sqref="F2:F300" showDropDown="0" showInputMessage="0" showErrorMessage="1" allowBlank="1" errorTitle="Invalid selection" error="Select from the dropdown list." type="list">
      <formula1>"Not Started,In Progress,Completed,Delayed,At Risk"</formula1>
    </dataValidation>
    <dataValidation sqref="H2:H300" showDropDown="0" showInputMessage="0" showErrorMessage="1" allowBlank="1" errorTitle="Invalid selection" error="Select from the dropdown list." type="list">
      <formula1>"Priya Nair,Arjun Patel,Leena Das,Nikhil Verma,Imran Ali,Riya Sen,Sara Thomas,Ananya Rao,Rohit Menon,Meera Iyer,Vikram Shah"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25" customWidth="1" min="9" max="9"/>
    <col width="25" customWidth="1" min="10" max="10"/>
    <col width="14" customWidth="1" min="11" max="11"/>
    <col width="34" customWidth="1" min="12" max="12"/>
  </cols>
  <sheetData>
    <row r="1">
      <c r="A1" s="6" t="inlineStr">
        <is>
          <t>Issue ID</t>
        </is>
      </c>
      <c r="B1" s="6" t="inlineStr">
        <is>
          <t>Project ID</t>
        </is>
      </c>
      <c r="C1" s="6" t="inlineStr">
        <is>
          <t>Issue Description</t>
        </is>
      </c>
      <c r="D1" s="6" t="inlineStr">
        <is>
          <t>Raised By</t>
        </is>
      </c>
      <c r="E1" s="6" t="inlineStr">
        <is>
          <t>Raised Date</t>
        </is>
      </c>
      <c r="F1" s="6" t="inlineStr">
        <is>
          <t>Assigned To</t>
        </is>
      </c>
      <c r="G1" s="6" t="inlineStr">
        <is>
          <t>Severity</t>
        </is>
      </c>
      <c r="H1" s="6" t="inlineStr">
        <is>
          <t>Status</t>
        </is>
      </c>
      <c r="I1" s="6" t="inlineStr">
        <is>
          <t>Target Resolution Date</t>
        </is>
      </c>
      <c r="J1" s="6" t="inlineStr">
        <is>
          <t>Actual Resolution Date</t>
        </is>
      </c>
      <c r="K1" s="6" t="inlineStr">
        <is>
          <t>Delay Days</t>
        </is>
      </c>
      <c r="L1" s="6" t="inlineStr">
        <is>
          <t>Remarks</t>
        </is>
      </c>
    </row>
    <row r="2">
      <c r="A2" s="8" t="inlineStr">
        <is>
          <t>ISS-001</t>
        </is>
      </c>
      <c r="B2" s="8" t="inlineStr">
        <is>
          <t>PRJ-001</t>
        </is>
      </c>
      <c r="C2" s="8" t="inlineStr">
        <is>
          <t>Payment confirmation timeout</t>
        </is>
      </c>
      <c r="D2" s="8" t="inlineStr">
        <is>
          <t>QA Team</t>
        </is>
      </c>
      <c r="E2" s="9" t="n">
        <v>46171</v>
      </c>
      <c r="F2" s="8" t="inlineStr">
        <is>
          <t>Arjun Patel</t>
        </is>
      </c>
      <c r="G2" s="8" t="inlineStr">
        <is>
          <t>High</t>
        </is>
      </c>
      <c r="H2" s="8" t="inlineStr">
        <is>
          <t>In Progress</t>
        </is>
      </c>
      <c r="I2" s="9" t="n">
        <v>46185</v>
      </c>
      <c r="J2" s="9" t="inlineStr"/>
      <c r="K2" s="8">
        <f>IF(I2="","",MAX(0,IF(J2&lt;&gt;"",J2-I2,IF(OR(H2="Resolved",H2="Closed"),0,TODAY()-I2))))</f>
        <v/>
      </c>
      <c r="L2" s="8" t="inlineStr">
        <is>
          <t>Fix in review</t>
        </is>
      </c>
    </row>
    <row r="3">
      <c r="A3" s="8" t="inlineStr">
        <is>
          <t>ISS-002</t>
        </is>
      </c>
      <c r="B3" s="8" t="inlineStr">
        <is>
          <t>PRJ-002</t>
        </is>
      </c>
      <c r="C3" s="8" t="inlineStr">
        <is>
          <t>CBS sandbox unavailable</t>
        </is>
      </c>
      <c r="D3" s="8" t="inlineStr">
        <is>
          <t>Integration Lead</t>
        </is>
      </c>
      <c r="E3" s="9" t="n">
        <v>46162</v>
      </c>
      <c r="F3" s="8" t="inlineStr">
        <is>
          <t>Nikhil Verma</t>
        </is>
      </c>
      <c r="G3" s="8" t="inlineStr">
        <is>
          <t>Critical</t>
        </is>
      </c>
      <c r="H3" s="8" t="inlineStr">
        <is>
          <t>Open</t>
        </is>
      </c>
      <c r="I3" s="9" t="n">
        <v>46178</v>
      </c>
      <c r="J3" s="9" t="inlineStr"/>
      <c r="K3" s="8">
        <f>IF(I3="","",MAX(0,IF(J3&lt;&gt;"",J3-I3,IF(OR(H3="Resolved",H3="Closed"),0,TODAY()-I3))))</f>
        <v/>
      </c>
      <c r="L3" s="8" t="inlineStr">
        <is>
          <t>Escalated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>
        <f>IF(I4="","",MAX(0,IF(J4&lt;&gt;"",J4-I4,IF(OR(H4="Resolved",H4="Closed"),0,TODAY()-I4))))</f>
        <v/>
      </c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>
        <f>IF(I5="","",MAX(0,IF(J5&lt;&gt;"",J5-I5,IF(OR(H5="Resolved",H5="Closed"),0,TODAY()-I5))))</f>
        <v/>
      </c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>
        <f>IF(I6="","",MAX(0,IF(J6&lt;&gt;"",J6-I6,IF(OR(H6="Resolved",H6="Closed"),0,TODAY()-I6))))</f>
        <v/>
      </c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>
        <f>IF(I7="","",MAX(0,IF(J7&lt;&gt;"",J7-I7,IF(OR(H7="Resolved",H7="Closed"),0,TODAY()-I7))))</f>
        <v/>
      </c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>
        <f>IF(I8="","",MAX(0,IF(J8&lt;&gt;"",J8-I8,IF(OR(H8="Resolved",H8="Closed"),0,TODAY()-I8))))</f>
        <v/>
      </c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>
        <f>IF(I9="","",MAX(0,IF(J9&lt;&gt;"",J9-I9,IF(OR(H9="Resolved",H9="Closed"),0,TODAY()-I9))))</f>
        <v/>
      </c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>
        <f>IF(I10="","",MAX(0,IF(J10&lt;&gt;"",J10-I10,IF(OR(H10="Resolved",H10="Closed"),0,TODAY()-I10))))</f>
        <v/>
      </c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>
        <f>IF(I11="","",MAX(0,IF(J11&lt;&gt;"",J11-I11,IF(OR(H11="Resolved",H11="Closed"),0,TODAY()-I11))))</f>
        <v/>
      </c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>
        <f>IF(I12="","",MAX(0,IF(J12&lt;&gt;"",J12-I12,IF(OR(H12="Resolved",H12="Closed"),0,TODAY()-I12))))</f>
        <v/>
      </c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>
        <f>IF(I13="","",MAX(0,IF(J13&lt;&gt;"",J13-I13,IF(OR(H13="Resolved",H13="Closed"),0,TODAY()-I13))))</f>
        <v/>
      </c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>
        <f>IF(I14="","",MAX(0,IF(J14&lt;&gt;"",J14-I14,IF(OR(H14="Resolved",H14="Closed"),0,TODAY()-I14))))</f>
        <v/>
      </c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>
        <f>IF(I15="","",MAX(0,IF(J15&lt;&gt;"",J15-I15,IF(OR(H15="Resolved",H15="Closed"),0,TODAY()-I15))))</f>
        <v/>
      </c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>
        <f>IF(I16="","",MAX(0,IF(J16&lt;&gt;"",J16-I16,IF(OR(H16="Resolved",H16="Closed"),0,TODAY()-I16))))</f>
        <v/>
      </c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>
        <f>IF(I17="","",MAX(0,IF(J17&lt;&gt;"",J17-I17,IF(OR(H17="Resolved",H17="Closed"),0,TODAY()-I17))))</f>
        <v/>
      </c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>
        <f>IF(I18="","",MAX(0,IF(J18&lt;&gt;"",J18-I18,IF(OR(H18="Resolved",H18="Closed"),0,TODAY()-I18))))</f>
        <v/>
      </c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>
        <f>IF(I19="","",MAX(0,IF(J19&lt;&gt;"",J19-I19,IF(OR(H19="Resolved",H19="Closed"),0,TODAY()-I19))))</f>
        <v/>
      </c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>
        <f>IF(I20="","",MAX(0,IF(J20&lt;&gt;"",J20-I20,IF(OR(H20="Resolved",H20="Closed"),0,TODAY()-I20))))</f>
        <v/>
      </c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>
        <f>IF(I21="","",MAX(0,IF(J21&lt;&gt;"",J21-I21,IF(OR(H21="Resolved",H21="Closed"),0,TODAY()-I21))))</f>
        <v/>
      </c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>
        <f>IF(I22="","",MAX(0,IF(J22&lt;&gt;"",J22-I22,IF(OR(H22="Resolved",H22="Closed"),0,TODAY()-I22))))</f>
        <v/>
      </c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>
        <f>IF(I23="","",MAX(0,IF(J23&lt;&gt;"",J23-I23,IF(OR(H23="Resolved",H23="Closed"),0,TODAY()-I23))))</f>
        <v/>
      </c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>
        <f>IF(I24="","",MAX(0,IF(J24&lt;&gt;"",J24-I24,IF(OR(H24="Resolved",H24="Closed"),0,TODAY()-I24))))</f>
        <v/>
      </c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>
        <f>IF(I25="","",MAX(0,IF(J25&lt;&gt;"",J25-I25,IF(OR(H25="Resolved",H25="Closed"),0,TODAY()-I25))))</f>
        <v/>
      </c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>
        <f>IF(I26="","",MAX(0,IF(J26&lt;&gt;"",J26-I26,IF(OR(H26="Resolved",H26="Closed"),0,TODAY()-I26))))</f>
        <v/>
      </c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>
        <f>IF(I27="","",MAX(0,IF(J27&lt;&gt;"",J27-I27,IF(OR(H27="Resolved",H27="Closed"),0,TODAY()-I27))))</f>
        <v/>
      </c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>
        <f>IF(I28="","",MAX(0,IF(J28&lt;&gt;"",J28-I28,IF(OR(H28="Resolved",H28="Closed"),0,TODAY()-I28))))</f>
        <v/>
      </c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>
        <f>IF(I29="","",MAX(0,IF(J29&lt;&gt;"",J29-I29,IF(OR(H29="Resolved",H29="Closed"),0,TODAY()-I29))))</f>
        <v/>
      </c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>
        <f>IF(I30="","",MAX(0,IF(J30&lt;&gt;"",J30-I30,IF(OR(H30="Resolved",H30="Closed"),0,TODAY()-I30))))</f>
        <v/>
      </c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>
        <f>IF(I31="","",MAX(0,IF(J31&lt;&gt;"",J31-I31,IF(OR(H31="Resolved",H31="Closed"),0,TODAY()-I31))))</f>
        <v/>
      </c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>
        <f>IF(I32="","",MAX(0,IF(J32&lt;&gt;"",J32-I32,IF(OR(H32="Resolved",H32="Closed"),0,TODAY()-I32))))</f>
        <v/>
      </c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>
        <f>IF(I33="","",MAX(0,IF(J33&lt;&gt;"",J33-I33,IF(OR(H33="Resolved",H33="Closed"),0,TODAY()-I33))))</f>
        <v/>
      </c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>
        <f>IF(I34="","",MAX(0,IF(J34&lt;&gt;"",J34-I34,IF(OR(H34="Resolved",H34="Closed"),0,TODAY()-I34))))</f>
        <v/>
      </c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>
        <f>IF(I35="","",MAX(0,IF(J35&lt;&gt;"",J35-I35,IF(OR(H35="Resolved",H35="Closed"),0,TODAY()-I35))))</f>
        <v/>
      </c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>
        <f>IF(I36="","",MAX(0,IF(J36&lt;&gt;"",J36-I36,IF(OR(H36="Resolved",H36="Closed"),0,TODAY()-I36))))</f>
        <v/>
      </c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>
        <f>IF(I37="","",MAX(0,IF(J37&lt;&gt;"",J37-I37,IF(OR(H37="Resolved",H37="Closed"),0,TODAY()-I37))))</f>
        <v/>
      </c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>
        <f>IF(I38="","",MAX(0,IF(J38&lt;&gt;"",J38-I38,IF(OR(H38="Resolved",H38="Closed"),0,TODAY()-I38))))</f>
        <v/>
      </c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>
        <f>IF(I39="","",MAX(0,IF(J39&lt;&gt;"",J39-I39,IF(OR(H39="Resolved",H39="Closed"),0,TODAY()-I39))))</f>
        <v/>
      </c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>
        <f>IF(I40="","",MAX(0,IF(J40&lt;&gt;"",J40-I40,IF(OR(H40="Resolved",H40="Closed"),0,TODAY()-I40))))</f>
        <v/>
      </c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>
        <f>IF(I41="","",MAX(0,IF(J41&lt;&gt;"",J41-I41,IF(OR(H41="Resolved",H41="Closed"),0,TODAY()-I41))))</f>
        <v/>
      </c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>
        <f>IF(I42="","",MAX(0,IF(J42&lt;&gt;"",J42-I42,IF(OR(H42="Resolved",H42="Closed"),0,TODAY()-I42))))</f>
        <v/>
      </c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>
        <f>IF(I43="","",MAX(0,IF(J43&lt;&gt;"",J43-I43,IF(OR(H43="Resolved",H43="Closed"),0,TODAY()-I43))))</f>
        <v/>
      </c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>
        <f>IF(I44="","",MAX(0,IF(J44&lt;&gt;"",J44-I44,IF(OR(H44="Resolved",H44="Closed"),0,TODAY()-I44))))</f>
        <v/>
      </c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>
        <f>IF(I45="","",MAX(0,IF(J45&lt;&gt;"",J45-I45,IF(OR(H45="Resolved",H45="Closed"),0,TODAY()-I45))))</f>
        <v/>
      </c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>
        <f>IF(I46="","",MAX(0,IF(J46&lt;&gt;"",J46-I46,IF(OR(H46="Resolved",H46="Closed"),0,TODAY()-I46))))</f>
        <v/>
      </c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>
        <f>IF(I47="","",MAX(0,IF(J47&lt;&gt;"",J47-I47,IF(OR(H47="Resolved",H47="Closed"),0,TODAY()-I47))))</f>
        <v/>
      </c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>
        <f>IF(I48="","",MAX(0,IF(J48&lt;&gt;"",J48-I48,IF(OR(H48="Resolved",H48="Closed"),0,TODAY()-I48))))</f>
        <v/>
      </c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>
        <f>IF(I49="","",MAX(0,IF(J49&lt;&gt;"",J49-I49,IF(OR(H49="Resolved",H49="Closed"),0,TODAY()-I49))))</f>
        <v/>
      </c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>
        <f>IF(I50="","",MAX(0,IF(J50&lt;&gt;"",J50-I50,IF(OR(H50="Resolved",H50="Closed"),0,TODAY()-I50))))</f>
        <v/>
      </c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>
        <f>IF(I51="","",MAX(0,IF(J51&lt;&gt;"",J51-I51,IF(OR(H51="Resolved",H51="Closed"),0,TODAY()-I51))))</f>
        <v/>
      </c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>
        <f>IF(I52="","",MAX(0,IF(J52&lt;&gt;"",J52-I52,IF(OR(H52="Resolved",H52="Closed"),0,TODAY()-I52))))</f>
        <v/>
      </c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>
        <f>IF(I53="","",MAX(0,IF(J53&lt;&gt;"",J53-I53,IF(OR(H53="Resolved",H53="Closed"),0,TODAY()-I53))))</f>
        <v/>
      </c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>
        <f>IF(I54="","",MAX(0,IF(J54&lt;&gt;"",J54-I54,IF(OR(H54="Resolved",H54="Closed"),0,TODAY()-I54))))</f>
        <v/>
      </c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>
        <f>IF(I55="","",MAX(0,IF(J55&lt;&gt;"",J55-I55,IF(OR(H55="Resolved",H55="Closed"),0,TODAY()-I55))))</f>
        <v/>
      </c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>
        <f>IF(I56="","",MAX(0,IF(J56&lt;&gt;"",J56-I56,IF(OR(H56="Resolved",H56="Closed"),0,TODAY()-I56))))</f>
        <v/>
      </c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>
        <f>IF(I57="","",MAX(0,IF(J57&lt;&gt;"",J57-I57,IF(OR(H57="Resolved",H57="Closed"),0,TODAY()-I57))))</f>
        <v/>
      </c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>
        <f>IF(I58="","",MAX(0,IF(J58&lt;&gt;"",J58-I58,IF(OR(H58="Resolved",H58="Closed"),0,TODAY()-I58))))</f>
        <v/>
      </c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>
        <f>IF(I59="","",MAX(0,IF(J59&lt;&gt;"",J59-I59,IF(OR(H59="Resolved",H59="Closed"),0,TODAY()-I59))))</f>
        <v/>
      </c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>
        <f>IF(I60="","",MAX(0,IF(J60&lt;&gt;"",J60-I60,IF(OR(H60="Resolved",H60="Closed"),0,TODAY()-I60))))</f>
        <v/>
      </c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>
        <f>IF(I61="","",MAX(0,IF(J61&lt;&gt;"",J61-I61,IF(OR(H61="Resolved",H61="Closed"),0,TODAY()-I61))))</f>
        <v/>
      </c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>
        <f>IF(I62="","",MAX(0,IF(J62&lt;&gt;"",J62-I62,IF(OR(H62="Resolved",H62="Closed"),0,TODAY()-I62))))</f>
        <v/>
      </c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>
        <f>IF(I63="","",MAX(0,IF(J63&lt;&gt;"",J63-I63,IF(OR(H63="Resolved",H63="Closed"),0,TODAY()-I63))))</f>
        <v/>
      </c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>
        <f>IF(I64="","",MAX(0,IF(J64&lt;&gt;"",J64-I64,IF(OR(H64="Resolved",H64="Closed"),0,TODAY()-I64))))</f>
        <v/>
      </c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>
        <f>IF(I65="","",MAX(0,IF(J65&lt;&gt;"",J65-I65,IF(OR(H65="Resolved",H65="Closed"),0,TODAY()-I65))))</f>
        <v/>
      </c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>
        <f>IF(I66="","",MAX(0,IF(J66&lt;&gt;"",J66-I66,IF(OR(H66="Resolved",H66="Closed"),0,TODAY()-I66))))</f>
        <v/>
      </c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>
        <f>IF(I67="","",MAX(0,IF(J67&lt;&gt;"",J67-I67,IF(OR(H67="Resolved",H67="Closed"),0,TODAY()-I67))))</f>
        <v/>
      </c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>
        <f>IF(I68="","",MAX(0,IF(J68&lt;&gt;"",J68-I68,IF(OR(H68="Resolved",H68="Closed"),0,TODAY()-I68))))</f>
        <v/>
      </c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>
        <f>IF(I69="","",MAX(0,IF(J69&lt;&gt;"",J69-I69,IF(OR(H69="Resolved",H69="Closed"),0,TODAY()-I69))))</f>
        <v/>
      </c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>
        <f>IF(I70="","",MAX(0,IF(J70&lt;&gt;"",J70-I70,IF(OR(H70="Resolved",H70="Closed"),0,TODAY()-I70))))</f>
        <v/>
      </c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>
        <f>IF(I71="","",MAX(0,IF(J71&lt;&gt;"",J71-I71,IF(OR(H71="Resolved",H71="Closed"),0,TODAY()-I71))))</f>
        <v/>
      </c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>
        <f>IF(I72="","",MAX(0,IF(J72&lt;&gt;"",J72-I72,IF(OR(H72="Resolved",H72="Closed"),0,TODAY()-I72))))</f>
        <v/>
      </c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>
        <f>IF(I73="","",MAX(0,IF(J73&lt;&gt;"",J73-I73,IF(OR(H73="Resolved",H73="Closed"),0,TODAY()-I73))))</f>
        <v/>
      </c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>
        <f>IF(I74="","",MAX(0,IF(J74&lt;&gt;"",J74-I74,IF(OR(H74="Resolved",H74="Closed"),0,TODAY()-I74))))</f>
        <v/>
      </c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>
        <f>IF(I75="","",MAX(0,IF(J75&lt;&gt;"",J75-I75,IF(OR(H75="Resolved",H75="Closed"),0,TODAY()-I75))))</f>
        <v/>
      </c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>
        <f>IF(I76="","",MAX(0,IF(J76&lt;&gt;"",J76-I76,IF(OR(H76="Resolved",H76="Closed"),0,TODAY()-I76))))</f>
        <v/>
      </c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>
        <f>IF(I77="","",MAX(0,IF(J77&lt;&gt;"",J77-I77,IF(OR(H77="Resolved",H77="Closed"),0,TODAY()-I77))))</f>
        <v/>
      </c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>
        <f>IF(I78="","",MAX(0,IF(J78&lt;&gt;"",J78-I78,IF(OR(H78="Resolved",H78="Closed"),0,TODAY()-I78))))</f>
        <v/>
      </c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>
        <f>IF(I79="","",MAX(0,IF(J79&lt;&gt;"",J79-I79,IF(OR(H79="Resolved",H79="Closed"),0,TODAY()-I79))))</f>
        <v/>
      </c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>
        <f>IF(I80="","",MAX(0,IF(J80&lt;&gt;"",J80-I80,IF(OR(H80="Resolved",H80="Closed"),0,TODAY()-I80))))</f>
        <v/>
      </c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>
        <f>IF(I81="","",MAX(0,IF(J81&lt;&gt;"",J81-I81,IF(OR(H81="Resolved",H81="Closed"),0,TODAY()-I81))))</f>
        <v/>
      </c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>
        <f>IF(I82="","",MAX(0,IF(J82&lt;&gt;"",J82-I82,IF(OR(H82="Resolved",H82="Closed"),0,TODAY()-I82))))</f>
        <v/>
      </c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>
        <f>IF(I83="","",MAX(0,IF(J83&lt;&gt;"",J83-I83,IF(OR(H83="Resolved",H83="Closed"),0,TODAY()-I83))))</f>
        <v/>
      </c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>
        <f>IF(I84="","",MAX(0,IF(J84&lt;&gt;"",J84-I84,IF(OR(H84="Resolved",H84="Closed"),0,TODAY()-I84))))</f>
        <v/>
      </c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>
        <f>IF(I85="","",MAX(0,IF(J85&lt;&gt;"",J85-I85,IF(OR(H85="Resolved",H85="Closed"),0,TODAY()-I85))))</f>
        <v/>
      </c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>
        <f>IF(I86="","",MAX(0,IF(J86&lt;&gt;"",J86-I86,IF(OR(H86="Resolved",H86="Closed"),0,TODAY()-I86))))</f>
        <v/>
      </c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>
        <f>IF(I87="","",MAX(0,IF(J87&lt;&gt;"",J87-I87,IF(OR(H87="Resolved",H87="Closed"),0,TODAY()-I87))))</f>
        <v/>
      </c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>
        <f>IF(I88="","",MAX(0,IF(J88&lt;&gt;"",J88-I88,IF(OR(H88="Resolved",H88="Closed"),0,TODAY()-I88))))</f>
        <v/>
      </c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>
        <f>IF(I89="","",MAX(0,IF(J89&lt;&gt;"",J89-I89,IF(OR(H89="Resolved",H89="Closed"),0,TODAY()-I89))))</f>
        <v/>
      </c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>
        <f>IF(I90="","",MAX(0,IF(J90&lt;&gt;"",J90-I90,IF(OR(H90="Resolved",H90="Closed"),0,TODAY()-I90))))</f>
        <v/>
      </c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>
        <f>IF(I91="","",MAX(0,IF(J91&lt;&gt;"",J91-I91,IF(OR(H91="Resolved",H91="Closed"),0,TODAY()-I91))))</f>
        <v/>
      </c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>
        <f>IF(I92="","",MAX(0,IF(J92&lt;&gt;"",J92-I92,IF(OR(H92="Resolved",H92="Closed"),0,TODAY()-I92))))</f>
        <v/>
      </c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>
        <f>IF(I93="","",MAX(0,IF(J93&lt;&gt;"",J93-I93,IF(OR(H93="Resolved",H93="Closed"),0,TODAY()-I93))))</f>
        <v/>
      </c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>
        <f>IF(I94="","",MAX(0,IF(J94&lt;&gt;"",J94-I94,IF(OR(H94="Resolved",H94="Closed"),0,TODAY()-I94))))</f>
        <v/>
      </c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>
        <f>IF(I95="","",MAX(0,IF(J95&lt;&gt;"",J95-I95,IF(OR(H95="Resolved",H95="Closed"),0,TODAY()-I95))))</f>
        <v/>
      </c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>
        <f>IF(I96="","",MAX(0,IF(J96&lt;&gt;"",J96-I96,IF(OR(H96="Resolved",H96="Closed"),0,TODAY()-I96))))</f>
        <v/>
      </c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>
        <f>IF(I97="","",MAX(0,IF(J97&lt;&gt;"",J97-I97,IF(OR(H97="Resolved",H97="Closed"),0,TODAY()-I97))))</f>
        <v/>
      </c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>
        <f>IF(I98="","",MAX(0,IF(J98&lt;&gt;"",J98-I98,IF(OR(H98="Resolved",H98="Closed"),0,TODAY()-I98))))</f>
        <v/>
      </c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>
        <f>IF(I99="","",MAX(0,IF(J99&lt;&gt;"",J99-I99,IF(OR(H99="Resolved",H99="Closed"),0,TODAY()-I99))))</f>
        <v/>
      </c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>
        <f>IF(I100="","",MAX(0,IF(J100&lt;&gt;"",J100-I100,IF(OR(H100="Resolved",H100="Closed"),0,TODAY()-I100))))</f>
        <v/>
      </c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>
        <f>IF(I101="","",MAX(0,IF(J101&lt;&gt;"",J101-I101,IF(OR(H101="Resolved",H101="Closed"),0,TODAY()-I101))))</f>
        <v/>
      </c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>
        <f>IF(I102="","",MAX(0,IF(J102&lt;&gt;"",J102-I102,IF(OR(H102="Resolved",H102="Closed"),0,TODAY()-I102))))</f>
        <v/>
      </c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>
        <f>IF(I103="","",MAX(0,IF(J103&lt;&gt;"",J103-I103,IF(OR(H103="Resolved",H103="Closed"),0,TODAY()-I103))))</f>
        <v/>
      </c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>
        <f>IF(I104="","",MAX(0,IF(J104&lt;&gt;"",J104-I104,IF(OR(H104="Resolved",H104="Closed"),0,TODAY()-I104))))</f>
        <v/>
      </c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>
        <f>IF(I105="","",MAX(0,IF(J105&lt;&gt;"",J105-I105,IF(OR(H105="Resolved",H105="Closed"),0,TODAY()-I105))))</f>
        <v/>
      </c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>
        <f>IF(I106="","",MAX(0,IF(J106&lt;&gt;"",J106-I106,IF(OR(H106="Resolved",H106="Closed"),0,TODAY()-I106))))</f>
        <v/>
      </c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>
        <f>IF(I107="","",MAX(0,IF(J107&lt;&gt;"",J107-I107,IF(OR(H107="Resolved",H107="Closed"),0,TODAY()-I107))))</f>
        <v/>
      </c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>
        <f>IF(I108="","",MAX(0,IF(J108&lt;&gt;"",J108-I108,IF(OR(H108="Resolved",H108="Closed"),0,TODAY()-I108))))</f>
        <v/>
      </c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>
        <f>IF(I109="","",MAX(0,IF(J109&lt;&gt;"",J109-I109,IF(OR(H109="Resolved",H109="Closed"),0,TODAY()-I109))))</f>
        <v/>
      </c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>
        <f>IF(I110="","",MAX(0,IF(J110&lt;&gt;"",J110-I110,IF(OR(H110="Resolved",H110="Closed"),0,TODAY()-I110))))</f>
        <v/>
      </c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>
        <f>IF(I111="","",MAX(0,IF(J111&lt;&gt;"",J111-I111,IF(OR(H111="Resolved",H111="Closed"),0,TODAY()-I111))))</f>
        <v/>
      </c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>
        <f>IF(I112="","",MAX(0,IF(J112&lt;&gt;"",J112-I112,IF(OR(H112="Resolved",H112="Closed"),0,TODAY()-I112))))</f>
        <v/>
      </c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>
        <f>IF(I113="","",MAX(0,IF(J113&lt;&gt;"",J113-I113,IF(OR(H113="Resolved",H113="Closed"),0,TODAY()-I113))))</f>
        <v/>
      </c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>
        <f>IF(I114="","",MAX(0,IF(J114&lt;&gt;"",J114-I114,IF(OR(H114="Resolved",H114="Closed"),0,TODAY()-I114))))</f>
        <v/>
      </c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>
        <f>IF(I115="","",MAX(0,IF(J115&lt;&gt;"",J115-I115,IF(OR(H115="Resolved",H115="Closed"),0,TODAY()-I115))))</f>
        <v/>
      </c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>
        <f>IF(I116="","",MAX(0,IF(J116&lt;&gt;"",J116-I116,IF(OR(H116="Resolved",H116="Closed"),0,TODAY()-I116))))</f>
        <v/>
      </c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>
        <f>IF(I117="","",MAX(0,IF(J117&lt;&gt;"",J117-I117,IF(OR(H117="Resolved",H117="Closed"),0,TODAY()-I117))))</f>
        <v/>
      </c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>
        <f>IF(I118="","",MAX(0,IF(J118&lt;&gt;"",J118-I118,IF(OR(H118="Resolved",H118="Closed"),0,TODAY()-I118))))</f>
        <v/>
      </c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>
        <f>IF(I119="","",MAX(0,IF(J119&lt;&gt;"",J119-I119,IF(OR(H119="Resolved",H119="Closed"),0,TODAY()-I119))))</f>
        <v/>
      </c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>
        <f>IF(I120="","",MAX(0,IF(J120&lt;&gt;"",J120-I120,IF(OR(H120="Resolved",H120="Closed"),0,TODAY()-I120))))</f>
        <v/>
      </c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>
        <f>IF(I121="","",MAX(0,IF(J121&lt;&gt;"",J121-I121,IF(OR(H121="Resolved",H121="Closed"),0,TODAY()-I121))))</f>
        <v/>
      </c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>
        <f>IF(I122="","",MAX(0,IF(J122&lt;&gt;"",J122-I122,IF(OR(H122="Resolved",H122="Closed"),0,TODAY()-I122))))</f>
        <v/>
      </c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>
        <f>IF(I123="","",MAX(0,IF(J123&lt;&gt;"",J123-I123,IF(OR(H123="Resolved",H123="Closed"),0,TODAY()-I123))))</f>
        <v/>
      </c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>
        <f>IF(I124="","",MAX(0,IF(J124&lt;&gt;"",J124-I124,IF(OR(H124="Resolved",H124="Closed"),0,TODAY()-I124))))</f>
        <v/>
      </c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>
        <f>IF(I125="","",MAX(0,IF(J125&lt;&gt;"",J125-I125,IF(OR(H125="Resolved",H125="Closed"),0,TODAY()-I125))))</f>
        <v/>
      </c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>
        <f>IF(I126="","",MAX(0,IF(J126&lt;&gt;"",J126-I126,IF(OR(H126="Resolved",H126="Closed"),0,TODAY()-I126))))</f>
        <v/>
      </c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>
        <f>IF(I127="","",MAX(0,IF(J127&lt;&gt;"",J127-I127,IF(OR(H127="Resolved",H127="Closed"),0,TODAY()-I127))))</f>
        <v/>
      </c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>
        <f>IF(I128="","",MAX(0,IF(J128&lt;&gt;"",J128-I128,IF(OR(H128="Resolved",H128="Closed"),0,TODAY()-I128))))</f>
        <v/>
      </c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>
        <f>IF(I129="","",MAX(0,IF(J129&lt;&gt;"",J129-I129,IF(OR(H129="Resolved",H129="Closed"),0,TODAY()-I129))))</f>
        <v/>
      </c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>
        <f>IF(I130="","",MAX(0,IF(J130&lt;&gt;"",J130-I130,IF(OR(H130="Resolved",H130="Closed"),0,TODAY()-I130))))</f>
        <v/>
      </c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>
        <f>IF(I131="","",MAX(0,IF(J131&lt;&gt;"",J131-I131,IF(OR(H131="Resolved",H131="Closed"),0,TODAY()-I131))))</f>
        <v/>
      </c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>
        <f>IF(I132="","",MAX(0,IF(J132&lt;&gt;"",J132-I132,IF(OR(H132="Resolved",H132="Closed"),0,TODAY()-I132))))</f>
        <v/>
      </c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>
        <f>IF(I133="","",MAX(0,IF(J133&lt;&gt;"",J133-I133,IF(OR(H133="Resolved",H133="Closed"),0,TODAY()-I133))))</f>
        <v/>
      </c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>
        <f>IF(I134="","",MAX(0,IF(J134&lt;&gt;"",J134-I134,IF(OR(H134="Resolved",H134="Closed"),0,TODAY()-I134))))</f>
        <v/>
      </c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>
        <f>IF(I135="","",MAX(0,IF(J135&lt;&gt;"",J135-I135,IF(OR(H135="Resolved",H135="Closed"),0,TODAY()-I135))))</f>
        <v/>
      </c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>
        <f>IF(I136="","",MAX(0,IF(J136&lt;&gt;"",J136-I136,IF(OR(H136="Resolved",H136="Closed"),0,TODAY()-I136))))</f>
        <v/>
      </c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>
        <f>IF(I137="","",MAX(0,IF(J137&lt;&gt;"",J137-I137,IF(OR(H137="Resolved",H137="Closed"),0,TODAY()-I137))))</f>
        <v/>
      </c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>
        <f>IF(I138="","",MAX(0,IF(J138&lt;&gt;"",J138-I138,IF(OR(H138="Resolved",H138="Closed"),0,TODAY()-I138))))</f>
        <v/>
      </c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>
        <f>IF(I139="","",MAX(0,IF(J139&lt;&gt;"",J139-I139,IF(OR(H139="Resolved",H139="Closed"),0,TODAY()-I139))))</f>
        <v/>
      </c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>
        <f>IF(I140="","",MAX(0,IF(J140&lt;&gt;"",J140-I140,IF(OR(H140="Resolved",H140="Closed"),0,TODAY()-I140))))</f>
        <v/>
      </c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>
        <f>IF(I141="","",MAX(0,IF(J141&lt;&gt;"",J141-I141,IF(OR(H141="Resolved",H141="Closed"),0,TODAY()-I141))))</f>
        <v/>
      </c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>
        <f>IF(I142="","",MAX(0,IF(J142&lt;&gt;"",J142-I142,IF(OR(H142="Resolved",H142="Closed"),0,TODAY()-I142))))</f>
        <v/>
      </c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>
        <f>IF(I143="","",MAX(0,IF(J143&lt;&gt;"",J143-I143,IF(OR(H143="Resolved",H143="Closed"),0,TODAY()-I143))))</f>
        <v/>
      </c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>
        <f>IF(I144="","",MAX(0,IF(J144&lt;&gt;"",J144-I144,IF(OR(H144="Resolved",H144="Closed"),0,TODAY()-I144))))</f>
        <v/>
      </c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>
        <f>IF(I145="","",MAX(0,IF(J145&lt;&gt;"",J145-I145,IF(OR(H145="Resolved",H145="Closed"),0,TODAY()-I145))))</f>
        <v/>
      </c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>
        <f>IF(I146="","",MAX(0,IF(J146&lt;&gt;"",J146-I146,IF(OR(H146="Resolved",H146="Closed"),0,TODAY()-I146))))</f>
        <v/>
      </c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>
        <f>IF(I147="","",MAX(0,IF(J147&lt;&gt;"",J147-I147,IF(OR(H147="Resolved",H147="Closed"),0,TODAY()-I147))))</f>
        <v/>
      </c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>
        <f>IF(I148="","",MAX(0,IF(J148&lt;&gt;"",J148-I148,IF(OR(H148="Resolved",H148="Closed"),0,TODAY()-I148))))</f>
        <v/>
      </c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>
        <f>IF(I149="","",MAX(0,IF(J149&lt;&gt;"",J149-I149,IF(OR(H149="Resolved",H149="Closed"),0,TODAY()-I149))))</f>
        <v/>
      </c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>
        <f>IF(I150="","",MAX(0,IF(J150&lt;&gt;"",J150-I150,IF(OR(H150="Resolved",H150="Closed"),0,TODAY()-I150))))</f>
        <v/>
      </c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>
        <f>IF(I151="","",MAX(0,IF(J151&lt;&gt;"",J151-I151,IF(OR(H151="Resolved",H151="Closed"),0,TODAY()-I151))))</f>
        <v/>
      </c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>
        <f>IF(I152="","",MAX(0,IF(J152&lt;&gt;"",J152-I152,IF(OR(H152="Resolved",H152="Closed"),0,TODAY()-I152))))</f>
        <v/>
      </c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>
        <f>IF(I153="","",MAX(0,IF(J153&lt;&gt;"",J153-I153,IF(OR(H153="Resolved",H153="Closed"),0,TODAY()-I153))))</f>
        <v/>
      </c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>
        <f>IF(I154="","",MAX(0,IF(J154&lt;&gt;"",J154-I154,IF(OR(H154="Resolved",H154="Closed"),0,TODAY()-I154))))</f>
        <v/>
      </c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>
        <f>IF(I155="","",MAX(0,IF(J155&lt;&gt;"",J155-I155,IF(OR(H155="Resolved",H155="Closed"),0,TODAY()-I155))))</f>
        <v/>
      </c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>
        <f>IF(I156="","",MAX(0,IF(J156&lt;&gt;"",J156-I156,IF(OR(H156="Resolved",H156="Closed"),0,TODAY()-I156))))</f>
        <v/>
      </c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>
        <f>IF(I157="","",MAX(0,IF(J157&lt;&gt;"",J157-I157,IF(OR(H157="Resolved",H157="Closed"),0,TODAY()-I157))))</f>
        <v/>
      </c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>
        <f>IF(I158="","",MAX(0,IF(J158&lt;&gt;"",J158-I158,IF(OR(H158="Resolved",H158="Closed"),0,TODAY()-I158))))</f>
        <v/>
      </c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>
        <f>IF(I159="","",MAX(0,IF(J159&lt;&gt;"",J159-I159,IF(OR(H159="Resolved",H159="Closed"),0,TODAY()-I159))))</f>
        <v/>
      </c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>
        <f>IF(I160="","",MAX(0,IF(J160&lt;&gt;"",J160-I160,IF(OR(H160="Resolved",H160="Closed"),0,TODAY()-I160))))</f>
        <v/>
      </c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>
        <f>IF(I161="","",MAX(0,IF(J161&lt;&gt;"",J161-I161,IF(OR(H161="Resolved",H161="Closed"),0,TODAY()-I161))))</f>
        <v/>
      </c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>
        <f>IF(I162="","",MAX(0,IF(J162&lt;&gt;"",J162-I162,IF(OR(H162="Resolved",H162="Closed"),0,TODAY()-I162))))</f>
        <v/>
      </c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>
        <f>IF(I163="","",MAX(0,IF(J163&lt;&gt;"",J163-I163,IF(OR(H163="Resolved",H163="Closed"),0,TODAY()-I163))))</f>
        <v/>
      </c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>
        <f>IF(I164="","",MAX(0,IF(J164&lt;&gt;"",J164-I164,IF(OR(H164="Resolved",H164="Closed"),0,TODAY()-I164))))</f>
        <v/>
      </c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>
        <f>IF(I165="","",MAX(0,IF(J165&lt;&gt;"",J165-I165,IF(OR(H165="Resolved",H165="Closed"),0,TODAY()-I165))))</f>
        <v/>
      </c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>
        <f>IF(I166="","",MAX(0,IF(J166&lt;&gt;"",J166-I166,IF(OR(H166="Resolved",H166="Closed"),0,TODAY()-I166))))</f>
        <v/>
      </c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>
        <f>IF(I167="","",MAX(0,IF(J167&lt;&gt;"",J167-I167,IF(OR(H167="Resolved",H167="Closed"),0,TODAY()-I167))))</f>
        <v/>
      </c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>
        <f>IF(I168="","",MAX(0,IF(J168&lt;&gt;"",J168-I168,IF(OR(H168="Resolved",H168="Closed"),0,TODAY()-I168))))</f>
        <v/>
      </c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>
        <f>IF(I169="","",MAX(0,IF(J169&lt;&gt;"",J169-I169,IF(OR(H169="Resolved",H169="Closed"),0,TODAY()-I169))))</f>
        <v/>
      </c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>
        <f>IF(I170="","",MAX(0,IF(J170&lt;&gt;"",J170-I170,IF(OR(H170="Resolved",H170="Closed"),0,TODAY()-I170))))</f>
        <v/>
      </c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>
        <f>IF(I171="","",MAX(0,IF(J171&lt;&gt;"",J171-I171,IF(OR(H171="Resolved",H171="Closed"),0,TODAY()-I171))))</f>
        <v/>
      </c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>
        <f>IF(I172="","",MAX(0,IF(J172&lt;&gt;"",J172-I172,IF(OR(H172="Resolved",H172="Closed"),0,TODAY()-I172))))</f>
        <v/>
      </c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>
        <f>IF(I173="","",MAX(0,IF(J173&lt;&gt;"",J173-I173,IF(OR(H173="Resolved",H173="Closed"),0,TODAY()-I173))))</f>
        <v/>
      </c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>
        <f>IF(I174="","",MAX(0,IF(J174&lt;&gt;"",J174-I174,IF(OR(H174="Resolved",H174="Closed"),0,TODAY()-I174))))</f>
        <v/>
      </c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>
        <f>IF(I175="","",MAX(0,IF(J175&lt;&gt;"",J175-I175,IF(OR(H175="Resolved",H175="Closed"),0,TODAY()-I175))))</f>
        <v/>
      </c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>
        <f>IF(I176="","",MAX(0,IF(J176&lt;&gt;"",J176-I176,IF(OR(H176="Resolved",H176="Closed"),0,TODAY()-I176))))</f>
        <v/>
      </c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>
        <f>IF(I177="","",MAX(0,IF(J177&lt;&gt;"",J177-I177,IF(OR(H177="Resolved",H177="Closed"),0,TODAY()-I177))))</f>
        <v/>
      </c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>
        <f>IF(I178="","",MAX(0,IF(J178&lt;&gt;"",J178-I178,IF(OR(H178="Resolved",H178="Closed"),0,TODAY()-I178))))</f>
        <v/>
      </c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>
        <f>IF(I179="","",MAX(0,IF(J179&lt;&gt;"",J179-I179,IF(OR(H179="Resolved",H179="Closed"),0,TODAY()-I179))))</f>
        <v/>
      </c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>
        <f>IF(I180="","",MAX(0,IF(J180&lt;&gt;"",J180-I180,IF(OR(H180="Resolved",H180="Closed"),0,TODAY()-I180))))</f>
        <v/>
      </c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>
        <f>IF(I181="","",MAX(0,IF(J181&lt;&gt;"",J181-I181,IF(OR(H181="Resolved",H181="Closed"),0,TODAY()-I181))))</f>
        <v/>
      </c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>
        <f>IF(I182="","",MAX(0,IF(J182&lt;&gt;"",J182-I182,IF(OR(H182="Resolved",H182="Closed"),0,TODAY()-I182))))</f>
        <v/>
      </c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>
        <f>IF(I183="","",MAX(0,IF(J183&lt;&gt;"",J183-I183,IF(OR(H183="Resolved",H183="Closed"),0,TODAY()-I183))))</f>
        <v/>
      </c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>
        <f>IF(I184="","",MAX(0,IF(J184&lt;&gt;"",J184-I184,IF(OR(H184="Resolved",H184="Closed"),0,TODAY()-I184))))</f>
        <v/>
      </c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>
        <f>IF(I185="","",MAX(0,IF(J185&lt;&gt;"",J185-I185,IF(OR(H185="Resolved",H185="Closed"),0,TODAY()-I185))))</f>
        <v/>
      </c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>
        <f>IF(I186="","",MAX(0,IF(J186&lt;&gt;"",J186-I186,IF(OR(H186="Resolved",H186="Closed"),0,TODAY()-I186))))</f>
        <v/>
      </c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>
        <f>IF(I187="","",MAX(0,IF(J187&lt;&gt;"",J187-I187,IF(OR(H187="Resolved",H187="Closed"),0,TODAY()-I187))))</f>
        <v/>
      </c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>
        <f>IF(I188="","",MAX(0,IF(J188&lt;&gt;"",J188-I188,IF(OR(H188="Resolved",H188="Closed"),0,TODAY()-I188))))</f>
        <v/>
      </c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>
        <f>IF(I189="","",MAX(0,IF(J189&lt;&gt;"",J189-I189,IF(OR(H189="Resolved",H189="Closed"),0,TODAY()-I189))))</f>
        <v/>
      </c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>
        <f>IF(I190="","",MAX(0,IF(J190&lt;&gt;"",J190-I190,IF(OR(H190="Resolved",H190="Closed"),0,TODAY()-I190))))</f>
        <v/>
      </c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>
        <f>IF(I191="","",MAX(0,IF(J191&lt;&gt;"",J191-I191,IF(OR(H191="Resolved",H191="Closed"),0,TODAY()-I191))))</f>
        <v/>
      </c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>
        <f>IF(I192="","",MAX(0,IF(J192&lt;&gt;"",J192-I192,IF(OR(H192="Resolved",H192="Closed"),0,TODAY()-I192))))</f>
        <v/>
      </c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>
        <f>IF(I193="","",MAX(0,IF(J193&lt;&gt;"",J193-I193,IF(OR(H193="Resolved",H193="Closed"),0,TODAY()-I193))))</f>
        <v/>
      </c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>
        <f>IF(I194="","",MAX(0,IF(J194&lt;&gt;"",J194-I194,IF(OR(H194="Resolved",H194="Closed"),0,TODAY()-I194))))</f>
        <v/>
      </c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>
        <f>IF(I195="","",MAX(0,IF(J195&lt;&gt;"",J195-I195,IF(OR(H195="Resolved",H195="Closed"),0,TODAY()-I195))))</f>
        <v/>
      </c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>
        <f>IF(I196="","",MAX(0,IF(J196&lt;&gt;"",J196-I196,IF(OR(H196="Resolved",H196="Closed"),0,TODAY()-I196))))</f>
        <v/>
      </c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>
        <f>IF(I197="","",MAX(0,IF(J197&lt;&gt;"",J197-I197,IF(OR(H197="Resolved",H197="Closed"),0,TODAY()-I197))))</f>
        <v/>
      </c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>
        <f>IF(I198="","",MAX(0,IF(J198&lt;&gt;"",J198-I198,IF(OR(H198="Resolved",H198="Closed"),0,TODAY()-I198))))</f>
        <v/>
      </c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>
        <f>IF(I199="","",MAX(0,IF(J199&lt;&gt;"",J199-I199,IF(OR(H199="Resolved",H199="Closed"),0,TODAY()-I199))))</f>
        <v/>
      </c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>
        <f>IF(I200="","",MAX(0,IF(J200&lt;&gt;"",J200-I200,IF(OR(H200="Resolved",H200="Closed"),0,TODAY()-I200))))</f>
        <v/>
      </c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>
        <f>IF(I201="","",MAX(0,IF(J201&lt;&gt;"",J201-I201,IF(OR(H201="Resolved",H201="Closed"),0,TODAY()-I201))))</f>
        <v/>
      </c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>
        <f>IF(I202="","",MAX(0,IF(J202&lt;&gt;"",J202-I202,IF(OR(H202="Resolved",H202="Closed"),0,TODAY()-I202))))</f>
        <v/>
      </c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>
        <f>IF(I203="","",MAX(0,IF(J203&lt;&gt;"",J203-I203,IF(OR(H203="Resolved",H203="Closed"),0,TODAY()-I203))))</f>
        <v/>
      </c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>
        <f>IF(I204="","",MAX(0,IF(J204&lt;&gt;"",J204-I204,IF(OR(H204="Resolved",H204="Closed"),0,TODAY()-I204))))</f>
        <v/>
      </c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>
        <f>IF(I205="","",MAX(0,IF(J205&lt;&gt;"",J205-I205,IF(OR(H205="Resolved",H205="Closed"),0,TODAY()-I205))))</f>
        <v/>
      </c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>
        <f>IF(I206="","",MAX(0,IF(J206&lt;&gt;"",J206-I206,IF(OR(H206="Resolved",H206="Closed"),0,TODAY()-I206))))</f>
        <v/>
      </c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>
        <f>IF(I207="","",MAX(0,IF(J207&lt;&gt;"",J207-I207,IF(OR(H207="Resolved",H207="Closed"),0,TODAY()-I207))))</f>
        <v/>
      </c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>
        <f>IF(I208="","",MAX(0,IF(J208&lt;&gt;"",J208-I208,IF(OR(H208="Resolved",H208="Closed"),0,TODAY()-I208))))</f>
        <v/>
      </c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>
        <f>IF(I209="","",MAX(0,IF(J209&lt;&gt;"",J209-I209,IF(OR(H209="Resolved",H209="Closed"),0,TODAY()-I209))))</f>
        <v/>
      </c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>
        <f>IF(I210="","",MAX(0,IF(J210&lt;&gt;"",J210-I210,IF(OR(H210="Resolved",H210="Closed"),0,TODAY()-I210))))</f>
        <v/>
      </c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>
        <f>IF(I211="","",MAX(0,IF(J211&lt;&gt;"",J211-I211,IF(OR(H211="Resolved",H211="Closed"),0,TODAY()-I211))))</f>
        <v/>
      </c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>
        <f>IF(I212="","",MAX(0,IF(J212&lt;&gt;"",J212-I212,IF(OR(H212="Resolved",H212="Closed"),0,TODAY()-I212))))</f>
        <v/>
      </c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>
        <f>IF(I213="","",MAX(0,IF(J213&lt;&gt;"",J213-I213,IF(OR(H213="Resolved",H213="Closed"),0,TODAY()-I213))))</f>
        <v/>
      </c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>
        <f>IF(I214="","",MAX(0,IF(J214&lt;&gt;"",J214-I214,IF(OR(H214="Resolved",H214="Closed"),0,TODAY()-I214))))</f>
        <v/>
      </c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>
        <f>IF(I215="","",MAX(0,IF(J215&lt;&gt;"",J215-I215,IF(OR(H215="Resolved",H215="Closed"),0,TODAY()-I215))))</f>
        <v/>
      </c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>
        <f>IF(I216="","",MAX(0,IF(J216&lt;&gt;"",J216-I216,IF(OR(H216="Resolved",H216="Closed"),0,TODAY()-I216))))</f>
        <v/>
      </c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>
        <f>IF(I217="","",MAX(0,IF(J217&lt;&gt;"",J217-I217,IF(OR(H217="Resolved",H217="Closed"),0,TODAY()-I217))))</f>
        <v/>
      </c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>
        <f>IF(I218="","",MAX(0,IF(J218&lt;&gt;"",J218-I218,IF(OR(H218="Resolved",H218="Closed"),0,TODAY()-I218))))</f>
        <v/>
      </c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>
        <f>IF(I219="","",MAX(0,IF(J219&lt;&gt;"",J219-I219,IF(OR(H219="Resolved",H219="Closed"),0,TODAY()-I219))))</f>
        <v/>
      </c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>
        <f>IF(I220="","",MAX(0,IF(J220&lt;&gt;"",J220-I220,IF(OR(H220="Resolved",H220="Closed"),0,TODAY()-I220))))</f>
        <v/>
      </c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>
        <f>IF(I221="","",MAX(0,IF(J221&lt;&gt;"",J221-I221,IF(OR(H221="Resolved",H221="Closed"),0,TODAY()-I221))))</f>
        <v/>
      </c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>
        <f>IF(I222="","",MAX(0,IF(J222&lt;&gt;"",J222-I222,IF(OR(H222="Resolved",H222="Closed"),0,TODAY()-I222))))</f>
        <v/>
      </c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>
        <f>IF(I223="","",MAX(0,IF(J223&lt;&gt;"",J223-I223,IF(OR(H223="Resolved",H223="Closed"),0,TODAY()-I223))))</f>
        <v/>
      </c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>
        <f>IF(I224="","",MAX(0,IF(J224&lt;&gt;"",J224-I224,IF(OR(H224="Resolved",H224="Closed"),0,TODAY()-I224))))</f>
        <v/>
      </c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>
        <f>IF(I225="","",MAX(0,IF(J225&lt;&gt;"",J225-I225,IF(OR(H225="Resolved",H225="Closed"),0,TODAY()-I225))))</f>
        <v/>
      </c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>
        <f>IF(I226="","",MAX(0,IF(J226&lt;&gt;"",J226-I226,IF(OR(H226="Resolved",H226="Closed"),0,TODAY()-I226))))</f>
        <v/>
      </c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>
        <f>IF(I227="","",MAX(0,IF(J227&lt;&gt;"",J227-I227,IF(OR(H227="Resolved",H227="Closed"),0,TODAY()-I227))))</f>
        <v/>
      </c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>
        <f>IF(I228="","",MAX(0,IF(J228&lt;&gt;"",J228-I228,IF(OR(H228="Resolved",H228="Closed"),0,TODAY()-I228))))</f>
        <v/>
      </c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>
        <f>IF(I229="","",MAX(0,IF(J229&lt;&gt;"",J229-I229,IF(OR(H229="Resolved",H229="Closed"),0,TODAY()-I229))))</f>
        <v/>
      </c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>
        <f>IF(I230="","",MAX(0,IF(J230&lt;&gt;"",J230-I230,IF(OR(H230="Resolved",H230="Closed"),0,TODAY()-I230))))</f>
        <v/>
      </c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>
        <f>IF(I231="","",MAX(0,IF(J231&lt;&gt;"",J231-I231,IF(OR(H231="Resolved",H231="Closed"),0,TODAY()-I231))))</f>
        <v/>
      </c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>
        <f>IF(I232="","",MAX(0,IF(J232&lt;&gt;"",J232-I232,IF(OR(H232="Resolved",H232="Closed"),0,TODAY()-I232))))</f>
        <v/>
      </c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>
        <f>IF(I233="","",MAX(0,IF(J233&lt;&gt;"",J233-I233,IF(OR(H233="Resolved",H233="Closed"),0,TODAY()-I233))))</f>
        <v/>
      </c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>
        <f>IF(I234="","",MAX(0,IF(J234&lt;&gt;"",J234-I234,IF(OR(H234="Resolved",H234="Closed"),0,TODAY()-I234))))</f>
        <v/>
      </c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>
        <f>IF(I235="","",MAX(0,IF(J235&lt;&gt;"",J235-I235,IF(OR(H235="Resolved",H235="Closed"),0,TODAY()-I235))))</f>
        <v/>
      </c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>
        <f>IF(I236="","",MAX(0,IF(J236&lt;&gt;"",J236-I236,IF(OR(H236="Resolved",H236="Closed"),0,TODAY()-I236))))</f>
        <v/>
      </c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>
        <f>IF(I237="","",MAX(0,IF(J237&lt;&gt;"",J237-I237,IF(OR(H237="Resolved",H237="Closed"),0,TODAY()-I237))))</f>
        <v/>
      </c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>
        <f>IF(I238="","",MAX(0,IF(J238&lt;&gt;"",J238-I238,IF(OR(H238="Resolved",H238="Closed"),0,TODAY()-I238))))</f>
        <v/>
      </c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>
        <f>IF(I239="","",MAX(0,IF(J239&lt;&gt;"",J239-I239,IF(OR(H239="Resolved",H239="Closed"),0,TODAY()-I239))))</f>
        <v/>
      </c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>
        <f>IF(I240="","",MAX(0,IF(J240&lt;&gt;"",J240-I240,IF(OR(H240="Resolved",H240="Closed"),0,TODAY()-I240))))</f>
        <v/>
      </c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>
        <f>IF(I241="","",MAX(0,IF(J241&lt;&gt;"",J241-I241,IF(OR(H241="Resolved",H241="Closed"),0,TODAY()-I241))))</f>
        <v/>
      </c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>
        <f>IF(I242="","",MAX(0,IF(J242&lt;&gt;"",J242-I242,IF(OR(H242="Resolved",H242="Closed"),0,TODAY()-I242))))</f>
        <v/>
      </c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>
        <f>IF(I243="","",MAX(0,IF(J243&lt;&gt;"",J243-I243,IF(OR(H243="Resolved",H243="Closed"),0,TODAY()-I243))))</f>
        <v/>
      </c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>
        <f>IF(I244="","",MAX(0,IF(J244&lt;&gt;"",J244-I244,IF(OR(H244="Resolved",H244="Closed"),0,TODAY()-I244))))</f>
        <v/>
      </c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>
        <f>IF(I245="","",MAX(0,IF(J245&lt;&gt;"",J245-I245,IF(OR(H245="Resolved",H245="Closed"),0,TODAY()-I245))))</f>
        <v/>
      </c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>
        <f>IF(I246="","",MAX(0,IF(J246&lt;&gt;"",J246-I246,IF(OR(H246="Resolved",H246="Closed"),0,TODAY()-I246))))</f>
        <v/>
      </c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>
        <f>IF(I247="","",MAX(0,IF(J247&lt;&gt;"",J247-I247,IF(OR(H247="Resolved",H247="Closed"),0,TODAY()-I247))))</f>
        <v/>
      </c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>
        <f>IF(I248="","",MAX(0,IF(J248&lt;&gt;"",J248-I248,IF(OR(H248="Resolved",H248="Closed"),0,TODAY()-I248))))</f>
        <v/>
      </c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>
        <f>IF(I249="","",MAX(0,IF(J249&lt;&gt;"",J249-I249,IF(OR(H249="Resolved",H249="Closed"),0,TODAY()-I249))))</f>
        <v/>
      </c>
      <c r="L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>
        <f>IF(I250="","",MAX(0,IF(J250&lt;&gt;"",J250-I250,IF(OR(H250="Resolved",H250="Closed"),0,TODAY()-I250))))</f>
        <v/>
      </c>
      <c r="L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>
        <f>IF(I251="","",MAX(0,IF(J251&lt;&gt;"",J251-I251,IF(OR(H251="Resolved",H251="Closed"),0,TODAY()-I251))))</f>
        <v/>
      </c>
      <c r="L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>
        <f>IF(I252="","",MAX(0,IF(J252&lt;&gt;"",J252-I252,IF(OR(H252="Resolved",H252="Closed"),0,TODAY()-I252))))</f>
        <v/>
      </c>
      <c r="L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>
        <f>IF(I253="","",MAX(0,IF(J253&lt;&gt;"",J253-I253,IF(OR(H253="Resolved",H253="Closed"),0,TODAY()-I253))))</f>
        <v/>
      </c>
      <c r="L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>
        <f>IF(I254="","",MAX(0,IF(J254&lt;&gt;"",J254-I254,IF(OR(H254="Resolved",H254="Closed"),0,TODAY()-I254))))</f>
        <v/>
      </c>
      <c r="L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>
        <f>IF(I255="","",MAX(0,IF(J255&lt;&gt;"",J255-I255,IF(OR(H255="Resolved",H255="Closed"),0,TODAY()-I255))))</f>
        <v/>
      </c>
      <c r="L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>
        <f>IF(I256="","",MAX(0,IF(J256&lt;&gt;"",J256-I256,IF(OR(H256="Resolved",H256="Closed"),0,TODAY()-I256))))</f>
        <v/>
      </c>
      <c r="L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>
        <f>IF(I257="","",MAX(0,IF(J257&lt;&gt;"",J257-I257,IF(OR(H257="Resolved",H257="Closed"),0,TODAY()-I257))))</f>
        <v/>
      </c>
      <c r="L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>
        <f>IF(I258="","",MAX(0,IF(J258&lt;&gt;"",J258-I258,IF(OR(H258="Resolved",H258="Closed"),0,TODAY()-I258))))</f>
        <v/>
      </c>
      <c r="L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>
        <f>IF(I259="","",MAX(0,IF(J259&lt;&gt;"",J259-I259,IF(OR(H259="Resolved",H259="Closed"),0,TODAY()-I259))))</f>
        <v/>
      </c>
      <c r="L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>
        <f>IF(I260="","",MAX(0,IF(J260&lt;&gt;"",J260-I260,IF(OR(H260="Resolved",H260="Closed"),0,TODAY()-I260))))</f>
        <v/>
      </c>
      <c r="L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>
        <f>IF(I261="","",MAX(0,IF(J261&lt;&gt;"",J261-I261,IF(OR(H261="Resolved",H261="Closed"),0,TODAY()-I261))))</f>
        <v/>
      </c>
      <c r="L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>
        <f>IF(I262="","",MAX(0,IF(J262&lt;&gt;"",J262-I262,IF(OR(H262="Resolved",H262="Closed"),0,TODAY()-I262))))</f>
        <v/>
      </c>
      <c r="L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>
        <f>IF(I263="","",MAX(0,IF(J263&lt;&gt;"",J263-I263,IF(OR(H263="Resolved",H263="Closed"),0,TODAY()-I263))))</f>
        <v/>
      </c>
      <c r="L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>
        <f>IF(I264="","",MAX(0,IF(J264&lt;&gt;"",J264-I264,IF(OR(H264="Resolved",H264="Closed"),0,TODAY()-I264))))</f>
        <v/>
      </c>
      <c r="L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>
        <f>IF(I265="","",MAX(0,IF(J265&lt;&gt;"",J265-I265,IF(OR(H265="Resolved",H265="Closed"),0,TODAY()-I265))))</f>
        <v/>
      </c>
      <c r="L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>
        <f>IF(I266="","",MAX(0,IF(J266&lt;&gt;"",J266-I266,IF(OR(H266="Resolved",H266="Closed"),0,TODAY()-I266))))</f>
        <v/>
      </c>
      <c r="L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>
        <f>IF(I267="","",MAX(0,IF(J267&lt;&gt;"",J267-I267,IF(OR(H267="Resolved",H267="Closed"),0,TODAY()-I267))))</f>
        <v/>
      </c>
      <c r="L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>
        <f>IF(I268="","",MAX(0,IF(J268&lt;&gt;"",J268-I268,IF(OR(H268="Resolved",H268="Closed"),0,TODAY()-I268))))</f>
        <v/>
      </c>
      <c r="L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>
        <f>IF(I269="","",MAX(0,IF(J269&lt;&gt;"",J269-I269,IF(OR(H269="Resolved",H269="Closed"),0,TODAY()-I269))))</f>
        <v/>
      </c>
      <c r="L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>
        <f>IF(I270="","",MAX(0,IF(J270&lt;&gt;"",J270-I270,IF(OR(H270="Resolved",H270="Closed"),0,TODAY()-I270))))</f>
        <v/>
      </c>
      <c r="L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>
        <f>IF(I271="","",MAX(0,IF(J271&lt;&gt;"",J271-I271,IF(OR(H271="Resolved",H271="Closed"),0,TODAY()-I271))))</f>
        <v/>
      </c>
      <c r="L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>
        <f>IF(I272="","",MAX(0,IF(J272&lt;&gt;"",J272-I272,IF(OR(H272="Resolved",H272="Closed"),0,TODAY()-I272))))</f>
        <v/>
      </c>
      <c r="L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>
        <f>IF(I273="","",MAX(0,IF(J273&lt;&gt;"",J273-I273,IF(OR(H273="Resolved",H273="Closed"),0,TODAY()-I273))))</f>
        <v/>
      </c>
      <c r="L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>
        <f>IF(I274="","",MAX(0,IF(J274&lt;&gt;"",J274-I274,IF(OR(H274="Resolved",H274="Closed"),0,TODAY()-I274))))</f>
        <v/>
      </c>
      <c r="L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>
        <f>IF(I275="","",MAX(0,IF(J275&lt;&gt;"",J275-I275,IF(OR(H275="Resolved",H275="Closed"),0,TODAY()-I275))))</f>
        <v/>
      </c>
      <c r="L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>
        <f>IF(I276="","",MAX(0,IF(J276&lt;&gt;"",J276-I276,IF(OR(H276="Resolved",H276="Closed"),0,TODAY()-I276))))</f>
        <v/>
      </c>
      <c r="L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>
        <f>IF(I277="","",MAX(0,IF(J277&lt;&gt;"",J277-I277,IF(OR(H277="Resolved",H277="Closed"),0,TODAY()-I277))))</f>
        <v/>
      </c>
      <c r="L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>
        <f>IF(I278="","",MAX(0,IF(J278&lt;&gt;"",J278-I278,IF(OR(H278="Resolved",H278="Closed"),0,TODAY()-I278))))</f>
        <v/>
      </c>
      <c r="L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>
        <f>IF(I279="","",MAX(0,IF(J279&lt;&gt;"",J279-I279,IF(OR(H279="Resolved",H279="Closed"),0,TODAY()-I279))))</f>
        <v/>
      </c>
      <c r="L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>
        <f>IF(I280="","",MAX(0,IF(J280&lt;&gt;"",J280-I280,IF(OR(H280="Resolved",H280="Closed"),0,TODAY()-I280))))</f>
        <v/>
      </c>
      <c r="L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>
        <f>IF(I281="","",MAX(0,IF(J281&lt;&gt;"",J281-I281,IF(OR(H281="Resolved",H281="Closed"),0,TODAY()-I281))))</f>
        <v/>
      </c>
      <c r="L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>
        <f>IF(I282="","",MAX(0,IF(J282&lt;&gt;"",J282-I282,IF(OR(H282="Resolved",H282="Closed"),0,TODAY()-I282))))</f>
        <v/>
      </c>
      <c r="L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>
        <f>IF(I283="","",MAX(0,IF(J283&lt;&gt;"",J283-I283,IF(OR(H283="Resolved",H283="Closed"),0,TODAY()-I283))))</f>
        <v/>
      </c>
      <c r="L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>
        <f>IF(I284="","",MAX(0,IF(J284&lt;&gt;"",J284-I284,IF(OR(H284="Resolved",H284="Closed"),0,TODAY()-I284))))</f>
        <v/>
      </c>
      <c r="L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>
        <f>IF(I285="","",MAX(0,IF(J285&lt;&gt;"",J285-I285,IF(OR(H285="Resolved",H285="Closed"),0,TODAY()-I285))))</f>
        <v/>
      </c>
      <c r="L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>
        <f>IF(I286="","",MAX(0,IF(J286&lt;&gt;"",J286-I286,IF(OR(H286="Resolved",H286="Closed"),0,TODAY()-I286))))</f>
        <v/>
      </c>
      <c r="L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>
        <f>IF(I287="","",MAX(0,IF(J287&lt;&gt;"",J287-I287,IF(OR(H287="Resolved",H287="Closed"),0,TODAY()-I287))))</f>
        <v/>
      </c>
      <c r="L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>
        <f>IF(I288="","",MAX(0,IF(J288&lt;&gt;"",J288-I288,IF(OR(H288="Resolved",H288="Closed"),0,TODAY()-I288))))</f>
        <v/>
      </c>
      <c r="L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>
        <f>IF(I289="","",MAX(0,IF(J289&lt;&gt;"",J289-I289,IF(OR(H289="Resolved",H289="Closed"),0,TODAY()-I289))))</f>
        <v/>
      </c>
      <c r="L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>
        <f>IF(I290="","",MAX(0,IF(J290&lt;&gt;"",J290-I290,IF(OR(H290="Resolved",H290="Closed"),0,TODAY()-I290))))</f>
        <v/>
      </c>
      <c r="L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>
        <f>IF(I291="","",MAX(0,IF(J291&lt;&gt;"",J291-I291,IF(OR(H291="Resolved",H291="Closed"),0,TODAY()-I291))))</f>
        <v/>
      </c>
      <c r="L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>
        <f>IF(I292="","",MAX(0,IF(J292&lt;&gt;"",J292-I292,IF(OR(H292="Resolved",H292="Closed"),0,TODAY()-I292))))</f>
        <v/>
      </c>
      <c r="L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>
        <f>IF(I293="","",MAX(0,IF(J293&lt;&gt;"",J293-I293,IF(OR(H293="Resolved",H293="Closed"),0,TODAY()-I293))))</f>
        <v/>
      </c>
      <c r="L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>
        <f>IF(I294="","",MAX(0,IF(J294&lt;&gt;"",J294-I294,IF(OR(H294="Resolved",H294="Closed"),0,TODAY()-I294))))</f>
        <v/>
      </c>
      <c r="L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>
        <f>IF(I295="","",MAX(0,IF(J295&lt;&gt;"",J295-I295,IF(OR(H295="Resolved",H295="Closed"),0,TODAY()-I295))))</f>
        <v/>
      </c>
      <c r="L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>
        <f>IF(I296="","",MAX(0,IF(J296&lt;&gt;"",J296-I296,IF(OR(H296="Resolved",H296="Closed"),0,TODAY()-I296))))</f>
        <v/>
      </c>
      <c r="L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>
        <f>IF(I297="","",MAX(0,IF(J297&lt;&gt;"",J297-I297,IF(OR(H297="Resolved",H297="Closed"),0,TODAY()-I297))))</f>
        <v/>
      </c>
      <c r="L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>
        <f>IF(I298="","",MAX(0,IF(J298&lt;&gt;"",J298-I298,IF(OR(H298="Resolved",H298="Closed"),0,TODAY()-I298))))</f>
        <v/>
      </c>
      <c r="L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>
        <f>IF(I299="","",MAX(0,IF(J299&lt;&gt;"",J299-I299,IF(OR(H299="Resolved",H299="Closed"),0,TODAY()-I299))))</f>
        <v/>
      </c>
      <c r="L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>
        <f>IF(I300="","",MAX(0,IF(J300&lt;&gt;"",J300-I300,IF(OR(H300="Resolved",H300="Closed"),0,TODAY()-I300))))</f>
        <v/>
      </c>
      <c r="L300" s="8" t="n"/>
    </row>
  </sheetData>
  <autoFilter ref="A1:L300"/>
  <conditionalFormatting sqref="A2:L300">
    <cfRule type="expression" priority="1" dxfId="2">
      <formula>$H2="Completed"</formula>
    </cfRule>
    <cfRule type="expression" priority="2" dxfId="1">
      <formula>OR($H2="Delayed",$H2="Blocked",$H2="Open")</formula>
    </cfRule>
    <cfRule type="expression" priority="3" dxfId="3">
      <formula>OR($H2="At Risk",$H2="In Progress")</formula>
    </cfRule>
  </conditionalFormatting>
  <dataValidations count="4">
    <dataValidation sqref="B2:B300" showDropDown="0" showInputMessage="0" showErrorMessage="1" allowBlank="1" errorTitle="Invalid selection" error="Select from the dropdown list." type="list">
      <formula1>"PRJ-001,PRJ-002,PRJ-003,PRJ-004"</formula1>
    </dataValidation>
    <dataValidation sqref="F2:F300" showDropDown="0" showInputMessage="0" showErrorMessage="1" allowBlank="1" errorTitle="Invalid selection" error="Select from the dropdown list." type="list">
      <formula1>"Priya Nair,Arjun Patel,Leena Das,Nikhil Verma,Imran Ali,Riya Sen,Sara Thomas,Ananya Rao,Rohit Menon,Meera Iyer,Vikram Shah"</formula1>
    </dataValidation>
    <dataValidation sqref="G2:G300" showDropDown="0" showInputMessage="0" showErrorMessage="1" allowBlank="1" errorTitle="Invalid selection" error="Select from the dropdown list." type="list">
      <formula1>"Low,Medium,High,Critical"</formula1>
    </dataValidation>
    <dataValidation sqref="H2:H300" showDropDown="0" showInputMessage="0" showErrorMessage="1" allowBlank="1" errorTitle="Invalid selection" error="Select from the dropdown list." type="list">
      <formula1>"Open,In Progress,Resolved,Closed,Reopened"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4" customWidth="1" min="6" max="6"/>
    <col width="14" customWidth="1" min="7" max="7"/>
    <col width="34" customWidth="1" min="8" max="8"/>
    <col width="13" customWidth="1" min="9" max="9"/>
    <col width="13" customWidth="1" min="10" max="10"/>
    <col width="34" customWidth="1" min="11" max="11"/>
  </cols>
  <sheetData>
    <row r="1">
      <c r="A1" s="6" t="inlineStr">
        <is>
          <t>Risk ID</t>
        </is>
      </c>
      <c r="B1" s="6" t="inlineStr">
        <is>
          <t>Project ID</t>
        </is>
      </c>
      <c r="C1" s="6" t="inlineStr">
        <is>
          <t>Risk Description</t>
        </is>
      </c>
      <c r="D1" s="6" t="inlineStr">
        <is>
          <t>Impact</t>
        </is>
      </c>
      <c r="E1" s="6" t="inlineStr">
        <is>
          <t>Probability</t>
        </is>
      </c>
      <c r="F1" s="6" t="inlineStr">
        <is>
          <t>Risk Score</t>
        </is>
      </c>
      <c r="G1" s="6" t="inlineStr">
        <is>
          <t>Risk Level</t>
        </is>
      </c>
      <c r="H1" s="6" t="inlineStr">
        <is>
          <t>Mitigation Plan</t>
        </is>
      </c>
      <c r="I1" s="6" t="inlineStr">
        <is>
          <t>Owner</t>
        </is>
      </c>
      <c r="J1" s="6" t="inlineStr">
        <is>
          <t>Status</t>
        </is>
      </c>
      <c r="K1" s="6" t="inlineStr">
        <is>
          <t>Remarks</t>
        </is>
      </c>
    </row>
    <row r="2">
      <c r="A2" s="8" t="inlineStr">
        <is>
          <t>RSK-001</t>
        </is>
      </c>
      <c r="B2" s="8" t="inlineStr">
        <is>
          <t>PRJ-001</t>
        </is>
      </c>
      <c r="C2" s="8" t="inlineStr">
        <is>
          <t>UAT defect leakage may delay release</t>
        </is>
      </c>
      <c r="D2" s="8" t="n">
        <v>4</v>
      </c>
      <c r="E2" s="8" t="n">
        <v>4</v>
      </c>
      <c r="F2" s="8">
        <f>IF(OR(D2="",E2=""),"",D2*E2)</f>
        <v/>
      </c>
      <c r="G2" s="8">
        <f>IF(F2="","",IF(F2&gt;=20,"Critical",IF(F2&gt;=12,"High",IF(F2&gt;=6,"Medium","Low"))))</f>
        <v/>
      </c>
      <c r="H2" s="8" t="inlineStr">
        <is>
          <t>Daily defect review</t>
        </is>
      </c>
      <c r="I2" s="8" t="inlineStr">
        <is>
          <t>Ananya Rao</t>
        </is>
      </c>
      <c r="J2" s="8" t="inlineStr">
        <is>
          <t>Open</t>
        </is>
      </c>
      <c r="K2" s="8" t="inlineStr"/>
    </row>
    <row r="3">
      <c r="A3" s="8" t="inlineStr">
        <is>
          <t>RSK-002</t>
        </is>
      </c>
      <c r="B3" s="8" t="inlineStr">
        <is>
          <t>PRJ-002</t>
        </is>
      </c>
      <c r="C3" s="8" t="inlineStr">
        <is>
          <t>Vendor API readiness risk</t>
        </is>
      </c>
      <c r="D3" s="8" t="n">
        <v>5</v>
      </c>
      <c r="E3" s="8" t="n">
        <v>5</v>
      </c>
      <c r="F3" s="8">
        <f>IF(OR(D3="",E3=""),"",D3*E3)</f>
        <v/>
      </c>
      <c r="G3" s="8">
        <f>IF(F3="","",IF(F3&gt;=20,"Critical",IF(F3&gt;=12,"High",IF(F3&gt;=6,"Medium","Low"))))</f>
        <v/>
      </c>
      <c r="H3" s="8" t="inlineStr">
        <is>
          <t>Executive escalation</t>
        </is>
      </c>
      <c r="I3" s="8" t="inlineStr">
        <is>
          <t>Rohit Menon</t>
        </is>
      </c>
      <c r="J3" s="8" t="inlineStr">
        <is>
          <t>Open</t>
        </is>
      </c>
      <c r="K3" s="8" t="inlineStr"/>
    </row>
    <row r="4">
      <c r="A4" s="8" t="n"/>
      <c r="B4" s="8" t="n"/>
      <c r="C4" s="8" t="n"/>
      <c r="D4" s="8" t="n"/>
      <c r="E4" s="8" t="n"/>
      <c r="F4" s="8">
        <f>IF(OR(D4="",E4=""),"",D4*E4)</f>
        <v/>
      </c>
      <c r="G4" s="8">
        <f>IF(F4="","",IF(F4&gt;=20,"Critical",IF(F4&gt;=12,"High",IF(F4&gt;=6,"Medium","Low"))))</f>
        <v/>
      </c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>
        <f>IF(OR(D5="",E5=""),"",D5*E5)</f>
        <v/>
      </c>
      <c r="G5" s="8">
        <f>IF(F5="","",IF(F5&gt;=20,"Critical",IF(F5&gt;=12,"High",IF(F5&gt;=6,"Medium","Low"))))</f>
        <v/>
      </c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>
        <f>IF(OR(D6="",E6=""),"",D6*E6)</f>
        <v/>
      </c>
      <c r="G6" s="8">
        <f>IF(F6="","",IF(F6&gt;=20,"Critical",IF(F6&gt;=12,"High",IF(F6&gt;=6,"Medium","Low"))))</f>
        <v/>
      </c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>
        <f>IF(OR(D7="",E7=""),"",D7*E7)</f>
        <v/>
      </c>
      <c r="G7" s="8">
        <f>IF(F7="","",IF(F7&gt;=20,"Critical",IF(F7&gt;=12,"High",IF(F7&gt;=6,"Medium","Low"))))</f>
        <v/>
      </c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>
        <f>IF(OR(D8="",E8=""),"",D8*E8)</f>
        <v/>
      </c>
      <c r="G8" s="8">
        <f>IF(F8="","",IF(F8&gt;=20,"Critical",IF(F8&gt;=12,"High",IF(F8&gt;=6,"Medium","Low"))))</f>
        <v/>
      </c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>
        <f>IF(OR(D9="",E9=""),"",D9*E9)</f>
        <v/>
      </c>
      <c r="G9" s="8">
        <f>IF(F9="","",IF(F9&gt;=20,"Critical",IF(F9&gt;=12,"High",IF(F9&gt;=6,"Medium","Low"))))</f>
        <v/>
      </c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>
        <f>IF(OR(D10="",E10=""),"",D10*E10)</f>
        <v/>
      </c>
      <c r="G10" s="8">
        <f>IF(F10="","",IF(F10&gt;=20,"Critical",IF(F10&gt;=12,"High",IF(F10&gt;=6,"Medium","Low"))))</f>
        <v/>
      </c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>
        <f>IF(OR(D11="",E11=""),"",D11*E11)</f>
        <v/>
      </c>
      <c r="G11" s="8">
        <f>IF(F11="","",IF(F11&gt;=20,"Critical",IF(F11&gt;=12,"High",IF(F11&gt;=6,"Medium","Low"))))</f>
        <v/>
      </c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>
        <f>IF(OR(D12="",E12=""),"",D12*E12)</f>
        <v/>
      </c>
      <c r="G12" s="8">
        <f>IF(F12="","",IF(F12&gt;=20,"Critical",IF(F12&gt;=12,"High",IF(F12&gt;=6,"Medium","Low"))))</f>
        <v/>
      </c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>
        <f>IF(OR(D13="",E13=""),"",D13*E13)</f>
        <v/>
      </c>
      <c r="G13" s="8">
        <f>IF(F13="","",IF(F13&gt;=20,"Critical",IF(F13&gt;=12,"High",IF(F13&gt;=6,"Medium","Low"))))</f>
        <v/>
      </c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>
        <f>IF(OR(D14="",E14=""),"",D14*E14)</f>
        <v/>
      </c>
      <c r="G14" s="8">
        <f>IF(F14="","",IF(F14&gt;=20,"Critical",IF(F14&gt;=12,"High",IF(F14&gt;=6,"Medium","Low"))))</f>
        <v/>
      </c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>
        <f>IF(OR(D15="",E15=""),"",D15*E15)</f>
        <v/>
      </c>
      <c r="G15" s="8">
        <f>IF(F15="","",IF(F15&gt;=20,"Critical",IF(F15&gt;=12,"High",IF(F15&gt;=6,"Medium","Low"))))</f>
        <v/>
      </c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>
        <f>IF(OR(D16="",E16=""),"",D16*E16)</f>
        <v/>
      </c>
      <c r="G16" s="8">
        <f>IF(F16="","",IF(F16&gt;=20,"Critical",IF(F16&gt;=12,"High",IF(F16&gt;=6,"Medium","Low"))))</f>
        <v/>
      </c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>
        <f>IF(OR(D17="",E17=""),"",D17*E17)</f>
        <v/>
      </c>
      <c r="G17" s="8">
        <f>IF(F17="","",IF(F17&gt;=20,"Critical",IF(F17&gt;=12,"High",IF(F17&gt;=6,"Medium","Low"))))</f>
        <v/>
      </c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>
        <f>IF(OR(D18="",E18=""),"",D18*E18)</f>
        <v/>
      </c>
      <c r="G18" s="8">
        <f>IF(F18="","",IF(F18&gt;=20,"Critical",IF(F18&gt;=12,"High",IF(F18&gt;=6,"Medium","Low"))))</f>
        <v/>
      </c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>
        <f>IF(OR(D19="",E19=""),"",D19*E19)</f>
        <v/>
      </c>
      <c r="G19" s="8">
        <f>IF(F19="","",IF(F19&gt;=20,"Critical",IF(F19&gt;=12,"High",IF(F19&gt;=6,"Medium","Low"))))</f>
        <v/>
      </c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>
        <f>IF(OR(D20="",E20=""),"",D20*E20)</f>
        <v/>
      </c>
      <c r="G20" s="8">
        <f>IF(F20="","",IF(F20&gt;=20,"Critical",IF(F20&gt;=12,"High",IF(F20&gt;=6,"Medium","Low"))))</f>
        <v/>
      </c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>
        <f>IF(OR(D21="",E21=""),"",D21*E21)</f>
        <v/>
      </c>
      <c r="G21" s="8">
        <f>IF(F21="","",IF(F21&gt;=20,"Critical",IF(F21&gt;=12,"High",IF(F21&gt;=6,"Medium","Low"))))</f>
        <v/>
      </c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>
        <f>IF(OR(D22="",E22=""),"",D22*E22)</f>
        <v/>
      </c>
      <c r="G22" s="8">
        <f>IF(F22="","",IF(F22&gt;=20,"Critical",IF(F22&gt;=12,"High",IF(F22&gt;=6,"Medium","Low"))))</f>
        <v/>
      </c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>
        <f>IF(OR(D23="",E23=""),"",D23*E23)</f>
        <v/>
      </c>
      <c r="G23" s="8">
        <f>IF(F23="","",IF(F23&gt;=20,"Critical",IF(F23&gt;=12,"High",IF(F23&gt;=6,"Medium","Low"))))</f>
        <v/>
      </c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>
        <f>IF(OR(D24="",E24=""),"",D24*E24)</f>
        <v/>
      </c>
      <c r="G24" s="8">
        <f>IF(F24="","",IF(F24&gt;=20,"Critical",IF(F24&gt;=12,"High",IF(F24&gt;=6,"Medium","Low"))))</f>
        <v/>
      </c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>
        <f>IF(OR(D25="",E25=""),"",D25*E25)</f>
        <v/>
      </c>
      <c r="G25" s="8">
        <f>IF(F25="","",IF(F25&gt;=20,"Critical",IF(F25&gt;=12,"High",IF(F25&gt;=6,"Medium","Low"))))</f>
        <v/>
      </c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>
        <f>IF(OR(D26="",E26=""),"",D26*E26)</f>
        <v/>
      </c>
      <c r="G26" s="8">
        <f>IF(F26="","",IF(F26&gt;=20,"Critical",IF(F26&gt;=12,"High",IF(F26&gt;=6,"Medium","Low"))))</f>
        <v/>
      </c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>
        <f>IF(OR(D27="",E27=""),"",D27*E27)</f>
        <v/>
      </c>
      <c r="G27" s="8">
        <f>IF(F27="","",IF(F27&gt;=20,"Critical",IF(F27&gt;=12,"High",IF(F27&gt;=6,"Medium","Low"))))</f>
        <v/>
      </c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>
        <f>IF(OR(D28="",E28=""),"",D28*E28)</f>
        <v/>
      </c>
      <c r="G28" s="8">
        <f>IF(F28="","",IF(F28&gt;=20,"Critical",IF(F28&gt;=12,"High",IF(F28&gt;=6,"Medium","Low"))))</f>
        <v/>
      </c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>
        <f>IF(OR(D29="",E29=""),"",D29*E29)</f>
        <v/>
      </c>
      <c r="G29" s="8">
        <f>IF(F29="","",IF(F29&gt;=20,"Critical",IF(F29&gt;=12,"High",IF(F29&gt;=6,"Medium","Low"))))</f>
        <v/>
      </c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>
        <f>IF(OR(D30="",E30=""),"",D30*E30)</f>
        <v/>
      </c>
      <c r="G30" s="8">
        <f>IF(F30="","",IF(F30&gt;=20,"Critical",IF(F30&gt;=12,"High",IF(F30&gt;=6,"Medium","Low"))))</f>
        <v/>
      </c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>
        <f>IF(OR(D31="",E31=""),"",D31*E31)</f>
        <v/>
      </c>
      <c r="G31" s="8">
        <f>IF(F31="","",IF(F31&gt;=20,"Critical",IF(F31&gt;=12,"High",IF(F31&gt;=6,"Medium","Low"))))</f>
        <v/>
      </c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>
        <f>IF(OR(D32="",E32=""),"",D32*E32)</f>
        <v/>
      </c>
      <c r="G32" s="8">
        <f>IF(F32="","",IF(F32&gt;=20,"Critical",IF(F32&gt;=12,"High",IF(F32&gt;=6,"Medium","Low"))))</f>
        <v/>
      </c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>
        <f>IF(OR(D33="",E33=""),"",D33*E33)</f>
        <v/>
      </c>
      <c r="G33" s="8">
        <f>IF(F33="","",IF(F33&gt;=20,"Critical",IF(F33&gt;=12,"High",IF(F33&gt;=6,"Medium","Low"))))</f>
        <v/>
      </c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>
        <f>IF(OR(D34="",E34=""),"",D34*E34)</f>
        <v/>
      </c>
      <c r="G34" s="8">
        <f>IF(F34="","",IF(F34&gt;=20,"Critical",IF(F34&gt;=12,"High",IF(F34&gt;=6,"Medium","Low"))))</f>
        <v/>
      </c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>
        <f>IF(OR(D35="",E35=""),"",D35*E35)</f>
        <v/>
      </c>
      <c r="G35" s="8">
        <f>IF(F35="","",IF(F35&gt;=20,"Critical",IF(F35&gt;=12,"High",IF(F35&gt;=6,"Medium","Low"))))</f>
        <v/>
      </c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>
        <f>IF(OR(D36="",E36=""),"",D36*E36)</f>
        <v/>
      </c>
      <c r="G36" s="8">
        <f>IF(F36="","",IF(F36&gt;=20,"Critical",IF(F36&gt;=12,"High",IF(F36&gt;=6,"Medium","Low"))))</f>
        <v/>
      </c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>
        <f>IF(OR(D37="",E37=""),"",D37*E37)</f>
        <v/>
      </c>
      <c r="G37" s="8">
        <f>IF(F37="","",IF(F37&gt;=20,"Critical",IF(F37&gt;=12,"High",IF(F37&gt;=6,"Medium","Low"))))</f>
        <v/>
      </c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>
        <f>IF(OR(D38="",E38=""),"",D38*E38)</f>
        <v/>
      </c>
      <c r="G38" s="8">
        <f>IF(F38="","",IF(F38&gt;=20,"Critical",IF(F38&gt;=12,"High",IF(F38&gt;=6,"Medium","Low"))))</f>
        <v/>
      </c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>
        <f>IF(OR(D39="",E39=""),"",D39*E39)</f>
        <v/>
      </c>
      <c r="G39" s="8">
        <f>IF(F39="","",IF(F39&gt;=20,"Critical",IF(F39&gt;=12,"High",IF(F39&gt;=6,"Medium","Low"))))</f>
        <v/>
      </c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>
        <f>IF(OR(D40="",E40=""),"",D40*E40)</f>
        <v/>
      </c>
      <c r="G40" s="8">
        <f>IF(F40="","",IF(F40&gt;=20,"Critical",IF(F40&gt;=12,"High",IF(F40&gt;=6,"Medium","Low"))))</f>
        <v/>
      </c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>
        <f>IF(OR(D41="",E41=""),"",D41*E41)</f>
        <v/>
      </c>
      <c r="G41" s="8">
        <f>IF(F41="","",IF(F41&gt;=20,"Critical",IF(F41&gt;=12,"High",IF(F41&gt;=6,"Medium","Low"))))</f>
        <v/>
      </c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>
        <f>IF(OR(D42="",E42=""),"",D42*E42)</f>
        <v/>
      </c>
      <c r="G42" s="8">
        <f>IF(F42="","",IF(F42&gt;=20,"Critical",IF(F42&gt;=12,"High",IF(F42&gt;=6,"Medium","Low"))))</f>
        <v/>
      </c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>
        <f>IF(OR(D43="",E43=""),"",D43*E43)</f>
        <v/>
      </c>
      <c r="G43" s="8">
        <f>IF(F43="","",IF(F43&gt;=20,"Critical",IF(F43&gt;=12,"High",IF(F43&gt;=6,"Medium","Low"))))</f>
        <v/>
      </c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>
        <f>IF(OR(D44="",E44=""),"",D44*E44)</f>
        <v/>
      </c>
      <c r="G44" s="8">
        <f>IF(F44="","",IF(F44&gt;=20,"Critical",IF(F44&gt;=12,"High",IF(F44&gt;=6,"Medium","Low"))))</f>
        <v/>
      </c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>
        <f>IF(OR(D45="",E45=""),"",D45*E45)</f>
        <v/>
      </c>
      <c r="G45" s="8">
        <f>IF(F45="","",IF(F45&gt;=20,"Critical",IF(F45&gt;=12,"High",IF(F45&gt;=6,"Medium","Low"))))</f>
        <v/>
      </c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>
        <f>IF(OR(D46="",E46=""),"",D46*E46)</f>
        <v/>
      </c>
      <c r="G46" s="8">
        <f>IF(F46="","",IF(F46&gt;=20,"Critical",IF(F46&gt;=12,"High",IF(F46&gt;=6,"Medium","Low"))))</f>
        <v/>
      </c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>
        <f>IF(OR(D47="",E47=""),"",D47*E47)</f>
        <v/>
      </c>
      <c r="G47" s="8">
        <f>IF(F47="","",IF(F47&gt;=20,"Critical",IF(F47&gt;=12,"High",IF(F47&gt;=6,"Medium","Low"))))</f>
        <v/>
      </c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>
        <f>IF(OR(D48="",E48=""),"",D48*E48)</f>
        <v/>
      </c>
      <c r="G48" s="8">
        <f>IF(F48="","",IF(F48&gt;=20,"Critical",IF(F48&gt;=12,"High",IF(F48&gt;=6,"Medium","Low"))))</f>
        <v/>
      </c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>
        <f>IF(OR(D49="",E49=""),"",D49*E49)</f>
        <v/>
      </c>
      <c r="G49" s="8">
        <f>IF(F49="","",IF(F49&gt;=20,"Critical",IF(F49&gt;=12,"High",IF(F49&gt;=6,"Medium","Low"))))</f>
        <v/>
      </c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>
        <f>IF(OR(D50="",E50=""),"",D50*E50)</f>
        <v/>
      </c>
      <c r="G50" s="8">
        <f>IF(F50="","",IF(F50&gt;=20,"Critical",IF(F50&gt;=12,"High",IF(F50&gt;=6,"Medium","Low"))))</f>
        <v/>
      </c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>
        <f>IF(OR(D51="",E51=""),"",D51*E51)</f>
        <v/>
      </c>
      <c r="G51" s="8">
        <f>IF(F51="","",IF(F51&gt;=20,"Critical",IF(F51&gt;=12,"High",IF(F51&gt;=6,"Medium","Low"))))</f>
        <v/>
      </c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>
        <f>IF(OR(D52="",E52=""),"",D52*E52)</f>
        <v/>
      </c>
      <c r="G52" s="8">
        <f>IF(F52="","",IF(F52&gt;=20,"Critical",IF(F52&gt;=12,"High",IF(F52&gt;=6,"Medium","Low"))))</f>
        <v/>
      </c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>
        <f>IF(OR(D53="",E53=""),"",D53*E53)</f>
        <v/>
      </c>
      <c r="G53" s="8">
        <f>IF(F53="","",IF(F53&gt;=20,"Critical",IF(F53&gt;=12,"High",IF(F53&gt;=6,"Medium","Low"))))</f>
        <v/>
      </c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>
        <f>IF(OR(D54="",E54=""),"",D54*E54)</f>
        <v/>
      </c>
      <c r="G54" s="8">
        <f>IF(F54="","",IF(F54&gt;=20,"Critical",IF(F54&gt;=12,"High",IF(F54&gt;=6,"Medium","Low"))))</f>
        <v/>
      </c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8">
        <f>IF(OR(D55="",E55=""),"",D55*E55)</f>
        <v/>
      </c>
      <c r="G55" s="8">
        <f>IF(F55="","",IF(F55&gt;=20,"Critical",IF(F55&gt;=12,"High",IF(F55&gt;=6,"Medium","Low"))))</f>
        <v/>
      </c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8">
        <f>IF(OR(D56="",E56=""),"",D56*E56)</f>
        <v/>
      </c>
      <c r="G56" s="8">
        <f>IF(F56="","",IF(F56&gt;=20,"Critical",IF(F56&gt;=12,"High",IF(F56&gt;=6,"Medium","Low"))))</f>
        <v/>
      </c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8">
        <f>IF(OR(D57="",E57=""),"",D57*E57)</f>
        <v/>
      </c>
      <c r="G57" s="8">
        <f>IF(F57="","",IF(F57&gt;=20,"Critical",IF(F57&gt;=12,"High",IF(F57&gt;=6,"Medium","Low"))))</f>
        <v/>
      </c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8">
        <f>IF(OR(D58="",E58=""),"",D58*E58)</f>
        <v/>
      </c>
      <c r="G58" s="8">
        <f>IF(F58="","",IF(F58&gt;=20,"Critical",IF(F58&gt;=12,"High",IF(F58&gt;=6,"Medium","Low"))))</f>
        <v/>
      </c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8">
        <f>IF(OR(D59="",E59=""),"",D59*E59)</f>
        <v/>
      </c>
      <c r="G59" s="8">
        <f>IF(F59="","",IF(F59&gt;=20,"Critical",IF(F59&gt;=12,"High",IF(F59&gt;=6,"Medium","Low"))))</f>
        <v/>
      </c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8">
        <f>IF(OR(D60="",E60=""),"",D60*E60)</f>
        <v/>
      </c>
      <c r="G60" s="8">
        <f>IF(F60="","",IF(F60&gt;=20,"Critical",IF(F60&gt;=12,"High",IF(F60&gt;=6,"Medium","Low"))))</f>
        <v/>
      </c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8">
        <f>IF(OR(D61="",E61=""),"",D61*E61)</f>
        <v/>
      </c>
      <c r="G61" s="8">
        <f>IF(F61="","",IF(F61&gt;=20,"Critical",IF(F61&gt;=12,"High",IF(F61&gt;=6,"Medium","Low"))))</f>
        <v/>
      </c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8">
        <f>IF(OR(D62="",E62=""),"",D62*E62)</f>
        <v/>
      </c>
      <c r="G62" s="8">
        <f>IF(F62="","",IF(F62&gt;=20,"Critical",IF(F62&gt;=12,"High",IF(F62&gt;=6,"Medium","Low"))))</f>
        <v/>
      </c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8">
        <f>IF(OR(D63="",E63=""),"",D63*E63)</f>
        <v/>
      </c>
      <c r="G63" s="8">
        <f>IF(F63="","",IF(F63&gt;=20,"Critical",IF(F63&gt;=12,"High",IF(F63&gt;=6,"Medium","Low"))))</f>
        <v/>
      </c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8">
        <f>IF(OR(D64="",E64=""),"",D64*E64)</f>
        <v/>
      </c>
      <c r="G64" s="8">
        <f>IF(F64="","",IF(F64&gt;=20,"Critical",IF(F64&gt;=12,"High",IF(F64&gt;=6,"Medium","Low"))))</f>
        <v/>
      </c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8">
        <f>IF(OR(D65="",E65=""),"",D65*E65)</f>
        <v/>
      </c>
      <c r="G65" s="8">
        <f>IF(F65="","",IF(F65&gt;=20,"Critical",IF(F65&gt;=12,"High",IF(F65&gt;=6,"Medium","Low"))))</f>
        <v/>
      </c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8">
        <f>IF(OR(D66="",E66=""),"",D66*E66)</f>
        <v/>
      </c>
      <c r="G66" s="8">
        <f>IF(F66="","",IF(F66&gt;=20,"Critical",IF(F66&gt;=12,"High",IF(F66&gt;=6,"Medium","Low"))))</f>
        <v/>
      </c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8">
        <f>IF(OR(D67="",E67=""),"",D67*E67)</f>
        <v/>
      </c>
      <c r="G67" s="8">
        <f>IF(F67="","",IF(F67&gt;=20,"Critical",IF(F67&gt;=12,"High",IF(F67&gt;=6,"Medium","Low"))))</f>
        <v/>
      </c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8">
        <f>IF(OR(D68="",E68=""),"",D68*E68)</f>
        <v/>
      </c>
      <c r="G68" s="8">
        <f>IF(F68="","",IF(F68&gt;=20,"Critical",IF(F68&gt;=12,"High",IF(F68&gt;=6,"Medium","Low"))))</f>
        <v/>
      </c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8">
        <f>IF(OR(D69="",E69=""),"",D69*E69)</f>
        <v/>
      </c>
      <c r="G69" s="8">
        <f>IF(F69="","",IF(F69&gt;=20,"Critical",IF(F69&gt;=12,"High",IF(F69&gt;=6,"Medium","Low"))))</f>
        <v/>
      </c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8">
        <f>IF(OR(D70="",E70=""),"",D70*E70)</f>
        <v/>
      </c>
      <c r="G70" s="8">
        <f>IF(F70="","",IF(F70&gt;=20,"Critical",IF(F70&gt;=12,"High",IF(F70&gt;=6,"Medium","Low"))))</f>
        <v/>
      </c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8">
        <f>IF(OR(D71="",E71=""),"",D71*E71)</f>
        <v/>
      </c>
      <c r="G71" s="8">
        <f>IF(F71="","",IF(F71&gt;=20,"Critical",IF(F71&gt;=12,"High",IF(F71&gt;=6,"Medium","Low"))))</f>
        <v/>
      </c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8">
        <f>IF(OR(D72="",E72=""),"",D72*E72)</f>
        <v/>
      </c>
      <c r="G72" s="8">
        <f>IF(F72="","",IF(F72&gt;=20,"Critical",IF(F72&gt;=12,"High",IF(F72&gt;=6,"Medium","Low"))))</f>
        <v/>
      </c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8">
        <f>IF(OR(D73="",E73=""),"",D73*E73)</f>
        <v/>
      </c>
      <c r="G73" s="8">
        <f>IF(F73="","",IF(F73&gt;=20,"Critical",IF(F73&gt;=12,"High",IF(F73&gt;=6,"Medium","Low"))))</f>
        <v/>
      </c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8">
        <f>IF(OR(D74="",E74=""),"",D74*E74)</f>
        <v/>
      </c>
      <c r="G74" s="8">
        <f>IF(F74="","",IF(F74&gt;=20,"Critical",IF(F74&gt;=12,"High",IF(F74&gt;=6,"Medium","Low"))))</f>
        <v/>
      </c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8">
        <f>IF(OR(D75="",E75=""),"",D75*E75)</f>
        <v/>
      </c>
      <c r="G75" s="8">
        <f>IF(F75="","",IF(F75&gt;=20,"Critical",IF(F75&gt;=12,"High",IF(F75&gt;=6,"Medium","Low"))))</f>
        <v/>
      </c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8">
        <f>IF(OR(D76="",E76=""),"",D76*E76)</f>
        <v/>
      </c>
      <c r="G76" s="8">
        <f>IF(F76="","",IF(F76&gt;=20,"Critical",IF(F76&gt;=12,"High",IF(F76&gt;=6,"Medium","Low"))))</f>
        <v/>
      </c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8">
        <f>IF(OR(D77="",E77=""),"",D77*E77)</f>
        <v/>
      </c>
      <c r="G77" s="8">
        <f>IF(F77="","",IF(F77&gt;=20,"Critical",IF(F77&gt;=12,"High",IF(F77&gt;=6,"Medium","Low"))))</f>
        <v/>
      </c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8">
        <f>IF(OR(D78="",E78=""),"",D78*E78)</f>
        <v/>
      </c>
      <c r="G78" s="8">
        <f>IF(F78="","",IF(F78&gt;=20,"Critical",IF(F78&gt;=12,"High",IF(F78&gt;=6,"Medium","Low"))))</f>
        <v/>
      </c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8">
        <f>IF(OR(D79="",E79=""),"",D79*E79)</f>
        <v/>
      </c>
      <c r="G79" s="8">
        <f>IF(F79="","",IF(F79&gt;=20,"Critical",IF(F79&gt;=12,"High",IF(F79&gt;=6,"Medium","Low"))))</f>
        <v/>
      </c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8">
        <f>IF(OR(D80="",E80=""),"",D80*E80)</f>
        <v/>
      </c>
      <c r="G80" s="8">
        <f>IF(F80="","",IF(F80&gt;=20,"Critical",IF(F80&gt;=12,"High",IF(F80&gt;=6,"Medium","Low"))))</f>
        <v/>
      </c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8">
        <f>IF(OR(D81="",E81=""),"",D81*E81)</f>
        <v/>
      </c>
      <c r="G81" s="8">
        <f>IF(F81="","",IF(F81&gt;=20,"Critical",IF(F81&gt;=12,"High",IF(F81&gt;=6,"Medium","Low"))))</f>
        <v/>
      </c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8">
        <f>IF(OR(D82="",E82=""),"",D82*E82)</f>
        <v/>
      </c>
      <c r="G82" s="8">
        <f>IF(F82="","",IF(F82&gt;=20,"Critical",IF(F82&gt;=12,"High",IF(F82&gt;=6,"Medium","Low"))))</f>
        <v/>
      </c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8">
        <f>IF(OR(D83="",E83=""),"",D83*E83)</f>
        <v/>
      </c>
      <c r="G83" s="8">
        <f>IF(F83="","",IF(F83&gt;=20,"Critical",IF(F83&gt;=12,"High",IF(F83&gt;=6,"Medium","Low"))))</f>
        <v/>
      </c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8">
        <f>IF(OR(D84="",E84=""),"",D84*E84)</f>
        <v/>
      </c>
      <c r="G84" s="8">
        <f>IF(F84="","",IF(F84&gt;=20,"Critical",IF(F84&gt;=12,"High",IF(F84&gt;=6,"Medium","Low"))))</f>
        <v/>
      </c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8">
        <f>IF(OR(D85="",E85=""),"",D85*E85)</f>
        <v/>
      </c>
      <c r="G85" s="8">
        <f>IF(F85="","",IF(F85&gt;=20,"Critical",IF(F85&gt;=12,"High",IF(F85&gt;=6,"Medium","Low"))))</f>
        <v/>
      </c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8">
        <f>IF(OR(D86="",E86=""),"",D86*E86)</f>
        <v/>
      </c>
      <c r="G86" s="8">
        <f>IF(F86="","",IF(F86&gt;=20,"Critical",IF(F86&gt;=12,"High",IF(F86&gt;=6,"Medium","Low"))))</f>
        <v/>
      </c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8">
        <f>IF(OR(D87="",E87=""),"",D87*E87)</f>
        <v/>
      </c>
      <c r="G87" s="8">
        <f>IF(F87="","",IF(F87&gt;=20,"Critical",IF(F87&gt;=12,"High",IF(F87&gt;=6,"Medium","Low"))))</f>
        <v/>
      </c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8">
        <f>IF(OR(D88="",E88=""),"",D88*E88)</f>
        <v/>
      </c>
      <c r="G88" s="8">
        <f>IF(F88="","",IF(F88&gt;=20,"Critical",IF(F88&gt;=12,"High",IF(F88&gt;=6,"Medium","Low"))))</f>
        <v/>
      </c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8">
        <f>IF(OR(D89="",E89=""),"",D89*E89)</f>
        <v/>
      </c>
      <c r="G89" s="8">
        <f>IF(F89="","",IF(F89&gt;=20,"Critical",IF(F89&gt;=12,"High",IF(F89&gt;=6,"Medium","Low"))))</f>
        <v/>
      </c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8">
        <f>IF(OR(D90="",E90=""),"",D90*E90)</f>
        <v/>
      </c>
      <c r="G90" s="8">
        <f>IF(F90="","",IF(F90&gt;=20,"Critical",IF(F90&gt;=12,"High",IF(F90&gt;=6,"Medium","Low"))))</f>
        <v/>
      </c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8">
        <f>IF(OR(D91="",E91=""),"",D91*E91)</f>
        <v/>
      </c>
      <c r="G91" s="8">
        <f>IF(F91="","",IF(F91&gt;=20,"Critical",IF(F91&gt;=12,"High",IF(F91&gt;=6,"Medium","Low"))))</f>
        <v/>
      </c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8">
        <f>IF(OR(D92="",E92=""),"",D92*E92)</f>
        <v/>
      </c>
      <c r="G92" s="8">
        <f>IF(F92="","",IF(F92&gt;=20,"Critical",IF(F92&gt;=12,"High",IF(F92&gt;=6,"Medium","Low"))))</f>
        <v/>
      </c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8">
        <f>IF(OR(D93="",E93=""),"",D93*E93)</f>
        <v/>
      </c>
      <c r="G93" s="8">
        <f>IF(F93="","",IF(F93&gt;=20,"Critical",IF(F93&gt;=12,"High",IF(F93&gt;=6,"Medium","Low"))))</f>
        <v/>
      </c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8">
        <f>IF(OR(D94="",E94=""),"",D94*E94)</f>
        <v/>
      </c>
      <c r="G94" s="8">
        <f>IF(F94="","",IF(F94&gt;=20,"Critical",IF(F94&gt;=12,"High",IF(F94&gt;=6,"Medium","Low"))))</f>
        <v/>
      </c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8">
        <f>IF(OR(D95="",E95=""),"",D95*E95)</f>
        <v/>
      </c>
      <c r="G95" s="8">
        <f>IF(F95="","",IF(F95&gt;=20,"Critical",IF(F95&gt;=12,"High",IF(F95&gt;=6,"Medium","Low"))))</f>
        <v/>
      </c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8">
        <f>IF(OR(D96="",E96=""),"",D96*E96)</f>
        <v/>
      </c>
      <c r="G96" s="8">
        <f>IF(F96="","",IF(F96&gt;=20,"Critical",IF(F96&gt;=12,"High",IF(F96&gt;=6,"Medium","Low"))))</f>
        <v/>
      </c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8">
        <f>IF(OR(D97="",E97=""),"",D97*E97)</f>
        <v/>
      </c>
      <c r="G97" s="8">
        <f>IF(F97="","",IF(F97&gt;=20,"Critical",IF(F97&gt;=12,"High",IF(F97&gt;=6,"Medium","Low"))))</f>
        <v/>
      </c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8">
        <f>IF(OR(D98="",E98=""),"",D98*E98)</f>
        <v/>
      </c>
      <c r="G98" s="8">
        <f>IF(F98="","",IF(F98&gt;=20,"Critical",IF(F98&gt;=12,"High",IF(F98&gt;=6,"Medium","Low"))))</f>
        <v/>
      </c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8">
        <f>IF(OR(D99="",E99=""),"",D99*E99)</f>
        <v/>
      </c>
      <c r="G99" s="8">
        <f>IF(F99="","",IF(F99&gt;=20,"Critical",IF(F99&gt;=12,"High",IF(F99&gt;=6,"Medium","Low"))))</f>
        <v/>
      </c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8">
        <f>IF(OR(D100="",E100=""),"",D100*E100)</f>
        <v/>
      </c>
      <c r="G100" s="8">
        <f>IF(F100="","",IF(F100&gt;=20,"Critical",IF(F100&gt;=12,"High",IF(F100&gt;=6,"Medium","Low"))))</f>
        <v/>
      </c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8">
        <f>IF(OR(D101="",E101=""),"",D101*E101)</f>
        <v/>
      </c>
      <c r="G101" s="8">
        <f>IF(F101="","",IF(F101&gt;=20,"Critical",IF(F101&gt;=12,"High",IF(F101&gt;=6,"Medium","Low"))))</f>
        <v/>
      </c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8">
        <f>IF(OR(D102="",E102=""),"",D102*E102)</f>
        <v/>
      </c>
      <c r="G102" s="8">
        <f>IF(F102="","",IF(F102&gt;=20,"Critical",IF(F102&gt;=12,"High",IF(F102&gt;=6,"Medium","Low"))))</f>
        <v/>
      </c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8">
        <f>IF(OR(D103="",E103=""),"",D103*E103)</f>
        <v/>
      </c>
      <c r="G103" s="8">
        <f>IF(F103="","",IF(F103&gt;=20,"Critical",IF(F103&gt;=12,"High",IF(F103&gt;=6,"Medium","Low"))))</f>
        <v/>
      </c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8">
        <f>IF(OR(D104="",E104=""),"",D104*E104)</f>
        <v/>
      </c>
      <c r="G104" s="8">
        <f>IF(F104="","",IF(F104&gt;=20,"Critical",IF(F104&gt;=12,"High",IF(F104&gt;=6,"Medium","Low"))))</f>
        <v/>
      </c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8">
        <f>IF(OR(D105="",E105=""),"",D105*E105)</f>
        <v/>
      </c>
      <c r="G105" s="8">
        <f>IF(F105="","",IF(F105&gt;=20,"Critical",IF(F105&gt;=12,"High",IF(F105&gt;=6,"Medium","Low"))))</f>
        <v/>
      </c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8">
        <f>IF(OR(D106="",E106=""),"",D106*E106)</f>
        <v/>
      </c>
      <c r="G106" s="8">
        <f>IF(F106="","",IF(F106&gt;=20,"Critical",IF(F106&gt;=12,"High",IF(F106&gt;=6,"Medium","Low"))))</f>
        <v/>
      </c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8">
        <f>IF(OR(D107="",E107=""),"",D107*E107)</f>
        <v/>
      </c>
      <c r="G107" s="8">
        <f>IF(F107="","",IF(F107&gt;=20,"Critical",IF(F107&gt;=12,"High",IF(F107&gt;=6,"Medium","Low"))))</f>
        <v/>
      </c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8">
        <f>IF(OR(D108="",E108=""),"",D108*E108)</f>
        <v/>
      </c>
      <c r="G108" s="8">
        <f>IF(F108="","",IF(F108&gt;=20,"Critical",IF(F108&gt;=12,"High",IF(F108&gt;=6,"Medium","Low"))))</f>
        <v/>
      </c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8">
        <f>IF(OR(D109="",E109=""),"",D109*E109)</f>
        <v/>
      </c>
      <c r="G109" s="8">
        <f>IF(F109="","",IF(F109&gt;=20,"Critical",IF(F109&gt;=12,"High",IF(F109&gt;=6,"Medium","Low"))))</f>
        <v/>
      </c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8">
        <f>IF(OR(D110="",E110=""),"",D110*E110)</f>
        <v/>
      </c>
      <c r="G110" s="8">
        <f>IF(F110="","",IF(F110&gt;=20,"Critical",IF(F110&gt;=12,"High",IF(F110&gt;=6,"Medium","Low"))))</f>
        <v/>
      </c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8">
        <f>IF(OR(D111="",E111=""),"",D111*E111)</f>
        <v/>
      </c>
      <c r="G111" s="8">
        <f>IF(F111="","",IF(F111&gt;=20,"Critical",IF(F111&gt;=12,"High",IF(F111&gt;=6,"Medium","Low"))))</f>
        <v/>
      </c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8">
        <f>IF(OR(D112="",E112=""),"",D112*E112)</f>
        <v/>
      </c>
      <c r="G112" s="8">
        <f>IF(F112="","",IF(F112&gt;=20,"Critical",IF(F112&gt;=12,"High",IF(F112&gt;=6,"Medium","Low"))))</f>
        <v/>
      </c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8">
        <f>IF(OR(D113="",E113=""),"",D113*E113)</f>
        <v/>
      </c>
      <c r="G113" s="8">
        <f>IF(F113="","",IF(F113&gt;=20,"Critical",IF(F113&gt;=12,"High",IF(F113&gt;=6,"Medium","Low"))))</f>
        <v/>
      </c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8">
        <f>IF(OR(D114="",E114=""),"",D114*E114)</f>
        <v/>
      </c>
      <c r="G114" s="8">
        <f>IF(F114="","",IF(F114&gt;=20,"Critical",IF(F114&gt;=12,"High",IF(F114&gt;=6,"Medium","Low"))))</f>
        <v/>
      </c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8">
        <f>IF(OR(D115="",E115=""),"",D115*E115)</f>
        <v/>
      </c>
      <c r="G115" s="8">
        <f>IF(F115="","",IF(F115&gt;=20,"Critical",IF(F115&gt;=12,"High",IF(F115&gt;=6,"Medium","Low"))))</f>
        <v/>
      </c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8">
        <f>IF(OR(D116="",E116=""),"",D116*E116)</f>
        <v/>
      </c>
      <c r="G116" s="8">
        <f>IF(F116="","",IF(F116&gt;=20,"Critical",IF(F116&gt;=12,"High",IF(F116&gt;=6,"Medium","Low"))))</f>
        <v/>
      </c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8">
        <f>IF(OR(D117="",E117=""),"",D117*E117)</f>
        <v/>
      </c>
      <c r="G117" s="8">
        <f>IF(F117="","",IF(F117&gt;=20,"Critical",IF(F117&gt;=12,"High",IF(F117&gt;=6,"Medium","Low"))))</f>
        <v/>
      </c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8">
        <f>IF(OR(D118="",E118=""),"",D118*E118)</f>
        <v/>
      </c>
      <c r="G118" s="8">
        <f>IF(F118="","",IF(F118&gt;=20,"Critical",IF(F118&gt;=12,"High",IF(F118&gt;=6,"Medium","Low"))))</f>
        <v/>
      </c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8">
        <f>IF(OR(D119="",E119=""),"",D119*E119)</f>
        <v/>
      </c>
      <c r="G119" s="8">
        <f>IF(F119="","",IF(F119&gt;=20,"Critical",IF(F119&gt;=12,"High",IF(F119&gt;=6,"Medium","Low"))))</f>
        <v/>
      </c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8">
        <f>IF(OR(D120="",E120=""),"",D120*E120)</f>
        <v/>
      </c>
      <c r="G120" s="8">
        <f>IF(F120="","",IF(F120&gt;=20,"Critical",IF(F120&gt;=12,"High",IF(F120&gt;=6,"Medium","Low"))))</f>
        <v/>
      </c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8">
        <f>IF(OR(D121="",E121=""),"",D121*E121)</f>
        <v/>
      </c>
      <c r="G121" s="8">
        <f>IF(F121="","",IF(F121&gt;=20,"Critical",IF(F121&gt;=12,"High",IF(F121&gt;=6,"Medium","Low"))))</f>
        <v/>
      </c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8">
        <f>IF(OR(D122="",E122=""),"",D122*E122)</f>
        <v/>
      </c>
      <c r="G122" s="8">
        <f>IF(F122="","",IF(F122&gt;=20,"Critical",IF(F122&gt;=12,"High",IF(F122&gt;=6,"Medium","Low"))))</f>
        <v/>
      </c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8">
        <f>IF(OR(D123="",E123=""),"",D123*E123)</f>
        <v/>
      </c>
      <c r="G123" s="8">
        <f>IF(F123="","",IF(F123&gt;=20,"Critical",IF(F123&gt;=12,"High",IF(F123&gt;=6,"Medium","Low"))))</f>
        <v/>
      </c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8">
        <f>IF(OR(D124="",E124=""),"",D124*E124)</f>
        <v/>
      </c>
      <c r="G124" s="8">
        <f>IF(F124="","",IF(F124&gt;=20,"Critical",IF(F124&gt;=12,"High",IF(F124&gt;=6,"Medium","Low"))))</f>
        <v/>
      </c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8">
        <f>IF(OR(D125="",E125=""),"",D125*E125)</f>
        <v/>
      </c>
      <c r="G125" s="8">
        <f>IF(F125="","",IF(F125&gt;=20,"Critical",IF(F125&gt;=12,"High",IF(F125&gt;=6,"Medium","Low"))))</f>
        <v/>
      </c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8">
        <f>IF(OR(D126="",E126=""),"",D126*E126)</f>
        <v/>
      </c>
      <c r="G126" s="8">
        <f>IF(F126="","",IF(F126&gt;=20,"Critical",IF(F126&gt;=12,"High",IF(F126&gt;=6,"Medium","Low"))))</f>
        <v/>
      </c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8">
        <f>IF(OR(D127="",E127=""),"",D127*E127)</f>
        <v/>
      </c>
      <c r="G127" s="8">
        <f>IF(F127="","",IF(F127&gt;=20,"Critical",IF(F127&gt;=12,"High",IF(F127&gt;=6,"Medium","Low"))))</f>
        <v/>
      </c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8">
        <f>IF(OR(D128="",E128=""),"",D128*E128)</f>
        <v/>
      </c>
      <c r="G128" s="8">
        <f>IF(F128="","",IF(F128&gt;=20,"Critical",IF(F128&gt;=12,"High",IF(F128&gt;=6,"Medium","Low"))))</f>
        <v/>
      </c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8">
        <f>IF(OR(D129="",E129=""),"",D129*E129)</f>
        <v/>
      </c>
      <c r="G129" s="8">
        <f>IF(F129="","",IF(F129&gt;=20,"Critical",IF(F129&gt;=12,"High",IF(F129&gt;=6,"Medium","Low"))))</f>
        <v/>
      </c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8">
        <f>IF(OR(D130="",E130=""),"",D130*E130)</f>
        <v/>
      </c>
      <c r="G130" s="8">
        <f>IF(F130="","",IF(F130&gt;=20,"Critical",IF(F130&gt;=12,"High",IF(F130&gt;=6,"Medium","Low"))))</f>
        <v/>
      </c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8">
        <f>IF(OR(D131="",E131=""),"",D131*E131)</f>
        <v/>
      </c>
      <c r="G131" s="8">
        <f>IF(F131="","",IF(F131&gt;=20,"Critical",IF(F131&gt;=12,"High",IF(F131&gt;=6,"Medium","Low"))))</f>
        <v/>
      </c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8">
        <f>IF(OR(D132="",E132=""),"",D132*E132)</f>
        <v/>
      </c>
      <c r="G132" s="8">
        <f>IF(F132="","",IF(F132&gt;=20,"Critical",IF(F132&gt;=12,"High",IF(F132&gt;=6,"Medium","Low"))))</f>
        <v/>
      </c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8">
        <f>IF(OR(D133="",E133=""),"",D133*E133)</f>
        <v/>
      </c>
      <c r="G133" s="8">
        <f>IF(F133="","",IF(F133&gt;=20,"Critical",IF(F133&gt;=12,"High",IF(F133&gt;=6,"Medium","Low"))))</f>
        <v/>
      </c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8">
        <f>IF(OR(D134="",E134=""),"",D134*E134)</f>
        <v/>
      </c>
      <c r="G134" s="8">
        <f>IF(F134="","",IF(F134&gt;=20,"Critical",IF(F134&gt;=12,"High",IF(F134&gt;=6,"Medium","Low"))))</f>
        <v/>
      </c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8">
        <f>IF(OR(D135="",E135=""),"",D135*E135)</f>
        <v/>
      </c>
      <c r="G135" s="8">
        <f>IF(F135="","",IF(F135&gt;=20,"Critical",IF(F135&gt;=12,"High",IF(F135&gt;=6,"Medium","Low"))))</f>
        <v/>
      </c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8">
        <f>IF(OR(D136="",E136=""),"",D136*E136)</f>
        <v/>
      </c>
      <c r="G136" s="8">
        <f>IF(F136="","",IF(F136&gt;=20,"Critical",IF(F136&gt;=12,"High",IF(F136&gt;=6,"Medium","Low"))))</f>
        <v/>
      </c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8">
        <f>IF(OR(D137="",E137=""),"",D137*E137)</f>
        <v/>
      </c>
      <c r="G137" s="8">
        <f>IF(F137="","",IF(F137&gt;=20,"Critical",IF(F137&gt;=12,"High",IF(F137&gt;=6,"Medium","Low"))))</f>
        <v/>
      </c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8">
        <f>IF(OR(D138="",E138=""),"",D138*E138)</f>
        <v/>
      </c>
      <c r="G138" s="8">
        <f>IF(F138="","",IF(F138&gt;=20,"Critical",IF(F138&gt;=12,"High",IF(F138&gt;=6,"Medium","Low"))))</f>
        <v/>
      </c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8">
        <f>IF(OR(D139="",E139=""),"",D139*E139)</f>
        <v/>
      </c>
      <c r="G139" s="8">
        <f>IF(F139="","",IF(F139&gt;=20,"Critical",IF(F139&gt;=12,"High",IF(F139&gt;=6,"Medium","Low"))))</f>
        <v/>
      </c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8">
        <f>IF(OR(D140="",E140=""),"",D140*E140)</f>
        <v/>
      </c>
      <c r="G140" s="8">
        <f>IF(F140="","",IF(F140&gt;=20,"Critical",IF(F140&gt;=12,"High",IF(F140&gt;=6,"Medium","Low"))))</f>
        <v/>
      </c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8">
        <f>IF(OR(D141="",E141=""),"",D141*E141)</f>
        <v/>
      </c>
      <c r="G141" s="8">
        <f>IF(F141="","",IF(F141&gt;=20,"Critical",IF(F141&gt;=12,"High",IF(F141&gt;=6,"Medium","Low"))))</f>
        <v/>
      </c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8">
        <f>IF(OR(D142="",E142=""),"",D142*E142)</f>
        <v/>
      </c>
      <c r="G142" s="8">
        <f>IF(F142="","",IF(F142&gt;=20,"Critical",IF(F142&gt;=12,"High",IF(F142&gt;=6,"Medium","Low"))))</f>
        <v/>
      </c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8">
        <f>IF(OR(D143="",E143=""),"",D143*E143)</f>
        <v/>
      </c>
      <c r="G143" s="8">
        <f>IF(F143="","",IF(F143&gt;=20,"Critical",IF(F143&gt;=12,"High",IF(F143&gt;=6,"Medium","Low"))))</f>
        <v/>
      </c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8">
        <f>IF(OR(D144="",E144=""),"",D144*E144)</f>
        <v/>
      </c>
      <c r="G144" s="8">
        <f>IF(F144="","",IF(F144&gt;=20,"Critical",IF(F144&gt;=12,"High",IF(F144&gt;=6,"Medium","Low"))))</f>
        <v/>
      </c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8">
        <f>IF(OR(D145="",E145=""),"",D145*E145)</f>
        <v/>
      </c>
      <c r="G145" s="8">
        <f>IF(F145="","",IF(F145&gt;=20,"Critical",IF(F145&gt;=12,"High",IF(F145&gt;=6,"Medium","Low"))))</f>
        <v/>
      </c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8">
        <f>IF(OR(D146="",E146=""),"",D146*E146)</f>
        <v/>
      </c>
      <c r="G146" s="8">
        <f>IF(F146="","",IF(F146&gt;=20,"Critical",IF(F146&gt;=12,"High",IF(F146&gt;=6,"Medium","Low"))))</f>
        <v/>
      </c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8">
        <f>IF(OR(D147="",E147=""),"",D147*E147)</f>
        <v/>
      </c>
      <c r="G147" s="8">
        <f>IF(F147="","",IF(F147&gt;=20,"Critical",IF(F147&gt;=12,"High",IF(F147&gt;=6,"Medium","Low"))))</f>
        <v/>
      </c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8">
        <f>IF(OR(D148="",E148=""),"",D148*E148)</f>
        <v/>
      </c>
      <c r="G148" s="8">
        <f>IF(F148="","",IF(F148&gt;=20,"Critical",IF(F148&gt;=12,"High",IF(F148&gt;=6,"Medium","Low"))))</f>
        <v/>
      </c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8">
        <f>IF(OR(D149="",E149=""),"",D149*E149)</f>
        <v/>
      </c>
      <c r="G149" s="8">
        <f>IF(F149="","",IF(F149&gt;=20,"Critical",IF(F149&gt;=12,"High",IF(F149&gt;=6,"Medium","Low"))))</f>
        <v/>
      </c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8">
        <f>IF(OR(D150="",E150=""),"",D150*E150)</f>
        <v/>
      </c>
      <c r="G150" s="8">
        <f>IF(F150="","",IF(F150&gt;=20,"Critical",IF(F150&gt;=12,"High",IF(F150&gt;=6,"Medium","Low"))))</f>
        <v/>
      </c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8">
        <f>IF(OR(D151="",E151=""),"",D151*E151)</f>
        <v/>
      </c>
      <c r="G151" s="8">
        <f>IF(F151="","",IF(F151&gt;=20,"Critical",IF(F151&gt;=12,"High",IF(F151&gt;=6,"Medium","Low"))))</f>
        <v/>
      </c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8">
        <f>IF(OR(D152="",E152=""),"",D152*E152)</f>
        <v/>
      </c>
      <c r="G152" s="8">
        <f>IF(F152="","",IF(F152&gt;=20,"Critical",IF(F152&gt;=12,"High",IF(F152&gt;=6,"Medium","Low"))))</f>
        <v/>
      </c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8">
        <f>IF(OR(D153="",E153=""),"",D153*E153)</f>
        <v/>
      </c>
      <c r="G153" s="8">
        <f>IF(F153="","",IF(F153&gt;=20,"Critical",IF(F153&gt;=12,"High",IF(F153&gt;=6,"Medium","Low"))))</f>
        <v/>
      </c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8">
        <f>IF(OR(D154="",E154=""),"",D154*E154)</f>
        <v/>
      </c>
      <c r="G154" s="8">
        <f>IF(F154="","",IF(F154&gt;=20,"Critical",IF(F154&gt;=12,"High",IF(F154&gt;=6,"Medium","Low"))))</f>
        <v/>
      </c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8">
        <f>IF(OR(D155="",E155=""),"",D155*E155)</f>
        <v/>
      </c>
      <c r="G155" s="8">
        <f>IF(F155="","",IF(F155&gt;=20,"Critical",IF(F155&gt;=12,"High",IF(F155&gt;=6,"Medium","Low"))))</f>
        <v/>
      </c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8">
        <f>IF(OR(D156="",E156=""),"",D156*E156)</f>
        <v/>
      </c>
      <c r="G156" s="8">
        <f>IF(F156="","",IF(F156&gt;=20,"Critical",IF(F156&gt;=12,"High",IF(F156&gt;=6,"Medium","Low"))))</f>
        <v/>
      </c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8">
        <f>IF(OR(D157="",E157=""),"",D157*E157)</f>
        <v/>
      </c>
      <c r="G157" s="8">
        <f>IF(F157="","",IF(F157&gt;=20,"Critical",IF(F157&gt;=12,"High",IF(F157&gt;=6,"Medium","Low"))))</f>
        <v/>
      </c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8">
        <f>IF(OR(D158="",E158=""),"",D158*E158)</f>
        <v/>
      </c>
      <c r="G158" s="8">
        <f>IF(F158="","",IF(F158&gt;=20,"Critical",IF(F158&gt;=12,"High",IF(F158&gt;=6,"Medium","Low"))))</f>
        <v/>
      </c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8">
        <f>IF(OR(D159="",E159=""),"",D159*E159)</f>
        <v/>
      </c>
      <c r="G159" s="8">
        <f>IF(F159="","",IF(F159&gt;=20,"Critical",IF(F159&gt;=12,"High",IF(F159&gt;=6,"Medium","Low"))))</f>
        <v/>
      </c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8">
        <f>IF(OR(D160="",E160=""),"",D160*E160)</f>
        <v/>
      </c>
      <c r="G160" s="8">
        <f>IF(F160="","",IF(F160&gt;=20,"Critical",IF(F160&gt;=12,"High",IF(F160&gt;=6,"Medium","Low"))))</f>
        <v/>
      </c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8">
        <f>IF(OR(D161="",E161=""),"",D161*E161)</f>
        <v/>
      </c>
      <c r="G161" s="8">
        <f>IF(F161="","",IF(F161&gt;=20,"Critical",IF(F161&gt;=12,"High",IF(F161&gt;=6,"Medium","Low"))))</f>
        <v/>
      </c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8">
        <f>IF(OR(D162="",E162=""),"",D162*E162)</f>
        <v/>
      </c>
      <c r="G162" s="8">
        <f>IF(F162="","",IF(F162&gt;=20,"Critical",IF(F162&gt;=12,"High",IF(F162&gt;=6,"Medium","Low"))))</f>
        <v/>
      </c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8">
        <f>IF(OR(D163="",E163=""),"",D163*E163)</f>
        <v/>
      </c>
      <c r="G163" s="8">
        <f>IF(F163="","",IF(F163&gt;=20,"Critical",IF(F163&gt;=12,"High",IF(F163&gt;=6,"Medium","Low"))))</f>
        <v/>
      </c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8">
        <f>IF(OR(D164="",E164=""),"",D164*E164)</f>
        <v/>
      </c>
      <c r="G164" s="8">
        <f>IF(F164="","",IF(F164&gt;=20,"Critical",IF(F164&gt;=12,"High",IF(F164&gt;=6,"Medium","Low"))))</f>
        <v/>
      </c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8">
        <f>IF(OR(D165="",E165=""),"",D165*E165)</f>
        <v/>
      </c>
      <c r="G165" s="8">
        <f>IF(F165="","",IF(F165&gt;=20,"Critical",IF(F165&gt;=12,"High",IF(F165&gt;=6,"Medium","Low"))))</f>
        <v/>
      </c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8">
        <f>IF(OR(D166="",E166=""),"",D166*E166)</f>
        <v/>
      </c>
      <c r="G166" s="8">
        <f>IF(F166="","",IF(F166&gt;=20,"Critical",IF(F166&gt;=12,"High",IF(F166&gt;=6,"Medium","Low"))))</f>
        <v/>
      </c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8">
        <f>IF(OR(D167="",E167=""),"",D167*E167)</f>
        <v/>
      </c>
      <c r="G167" s="8">
        <f>IF(F167="","",IF(F167&gt;=20,"Critical",IF(F167&gt;=12,"High",IF(F167&gt;=6,"Medium","Low"))))</f>
        <v/>
      </c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8">
        <f>IF(OR(D168="",E168=""),"",D168*E168)</f>
        <v/>
      </c>
      <c r="G168" s="8">
        <f>IF(F168="","",IF(F168&gt;=20,"Critical",IF(F168&gt;=12,"High",IF(F168&gt;=6,"Medium","Low"))))</f>
        <v/>
      </c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8">
        <f>IF(OR(D169="",E169=""),"",D169*E169)</f>
        <v/>
      </c>
      <c r="G169" s="8">
        <f>IF(F169="","",IF(F169&gt;=20,"Critical",IF(F169&gt;=12,"High",IF(F169&gt;=6,"Medium","Low"))))</f>
        <v/>
      </c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8">
        <f>IF(OR(D170="",E170=""),"",D170*E170)</f>
        <v/>
      </c>
      <c r="G170" s="8">
        <f>IF(F170="","",IF(F170&gt;=20,"Critical",IF(F170&gt;=12,"High",IF(F170&gt;=6,"Medium","Low"))))</f>
        <v/>
      </c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8">
        <f>IF(OR(D171="",E171=""),"",D171*E171)</f>
        <v/>
      </c>
      <c r="G171" s="8">
        <f>IF(F171="","",IF(F171&gt;=20,"Critical",IF(F171&gt;=12,"High",IF(F171&gt;=6,"Medium","Low"))))</f>
        <v/>
      </c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8">
        <f>IF(OR(D172="",E172=""),"",D172*E172)</f>
        <v/>
      </c>
      <c r="G172" s="8">
        <f>IF(F172="","",IF(F172&gt;=20,"Critical",IF(F172&gt;=12,"High",IF(F172&gt;=6,"Medium","Low"))))</f>
        <v/>
      </c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8">
        <f>IF(OR(D173="",E173=""),"",D173*E173)</f>
        <v/>
      </c>
      <c r="G173" s="8">
        <f>IF(F173="","",IF(F173&gt;=20,"Critical",IF(F173&gt;=12,"High",IF(F173&gt;=6,"Medium","Low"))))</f>
        <v/>
      </c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8">
        <f>IF(OR(D174="",E174=""),"",D174*E174)</f>
        <v/>
      </c>
      <c r="G174" s="8">
        <f>IF(F174="","",IF(F174&gt;=20,"Critical",IF(F174&gt;=12,"High",IF(F174&gt;=6,"Medium","Low"))))</f>
        <v/>
      </c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8">
        <f>IF(OR(D175="",E175=""),"",D175*E175)</f>
        <v/>
      </c>
      <c r="G175" s="8">
        <f>IF(F175="","",IF(F175&gt;=20,"Critical",IF(F175&gt;=12,"High",IF(F175&gt;=6,"Medium","Low"))))</f>
        <v/>
      </c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8">
        <f>IF(OR(D176="",E176=""),"",D176*E176)</f>
        <v/>
      </c>
      <c r="G176" s="8">
        <f>IF(F176="","",IF(F176&gt;=20,"Critical",IF(F176&gt;=12,"High",IF(F176&gt;=6,"Medium","Low"))))</f>
        <v/>
      </c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8">
        <f>IF(OR(D177="",E177=""),"",D177*E177)</f>
        <v/>
      </c>
      <c r="G177" s="8">
        <f>IF(F177="","",IF(F177&gt;=20,"Critical",IF(F177&gt;=12,"High",IF(F177&gt;=6,"Medium","Low"))))</f>
        <v/>
      </c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8">
        <f>IF(OR(D178="",E178=""),"",D178*E178)</f>
        <v/>
      </c>
      <c r="G178" s="8">
        <f>IF(F178="","",IF(F178&gt;=20,"Critical",IF(F178&gt;=12,"High",IF(F178&gt;=6,"Medium","Low"))))</f>
        <v/>
      </c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8">
        <f>IF(OR(D179="",E179=""),"",D179*E179)</f>
        <v/>
      </c>
      <c r="G179" s="8">
        <f>IF(F179="","",IF(F179&gt;=20,"Critical",IF(F179&gt;=12,"High",IF(F179&gt;=6,"Medium","Low"))))</f>
        <v/>
      </c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8">
        <f>IF(OR(D180="",E180=""),"",D180*E180)</f>
        <v/>
      </c>
      <c r="G180" s="8">
        <f>IF(F180="","",IF(F180&gt;=20,"Critical",IF(F180&gt;=12,"High",IF(F180&gt;=6,"Medium","Low"))))</f>
        <v/>
      </c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8">
        <f>IF(OR(D181="",E181=""),"",D181*E181)</f>
        <v/>
      </c>
      <c r="G181" s="8">
        <f>IF(F181="","",IF(F181&gt;=20,"Critical",IF(F181&gt;=12,"High",IF(F181&gt;=6,"Medium","Low"))))</f>
        <v/>
      </c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8">
        <f>IF(OR(D182="",E182=""),"",D182*E182)</f>
        <v/>
      </c>
      <c r="G182" s="8">
        <f>IF(F182="","",IF(F182&gt;=20,"Critical",IF(F182&gt;=12,"High",IF(F182&gt;=6,"Medium","Low"))))</f>
        <v/>
      </c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8">
        <f>IF(OR(D183="",E183=""),"",D183*E183)</f>
        <v/>
      </c>
      <c r="G183" s="8">
        <f>IF(F183="","",IF(F183&gt;=20,"Critical",IF(F183&gt;=12,"High",IF(F183&gt;=6,"Medium","Low"))))</f>
        <v/>
      </c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8">
        <f>IF(OR(D184="",E184=""),"",D184*E184)</f>
        <v/>
      </c>
      <c r="G184" s="8">
        <f>IF(F184="","",IF(F184&gt;=20,"Critical",IF(F184&gt;=12,"High",IF(F184&gt;=6,"Medium","Low"))))</f>
        <v/>
      </c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8">
        <f>IF(OR(D185="",E185=""),"",D185*E185)</f>
        <v/>
      </c>
      <c r="G185" s="8">
        <f>IF(F185="","",IF(F185&gt;=20,"Critical",IF(F185&gt;=12,"High",IF(F185&gt;=6,"Medium","Low"))))</f>
        <v/>
      </c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8">
        <f>IF(OR(D186="",E186=""),"",D186*E186)</f>
        <v/>
      </c>
      <c r="G186" s="8">
        <f>IF(F186="","",IF(F186&gt;=20,"Critical",IF(F186&gt;=12,"High",IF(F186&gt;=6,"Medium","Low"))))</f>
        <v/>
      </c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8">
        <f>IF(OR(D187="",E187=""),"",D187*E187)</f>
        <v/>
      </c>
      <c r="G187" s="8">
        <f>IF(F187="","",IF(F187&gt;=20,"Critical",IF(F187&gt;=12,"High",IF(F187&gt;=6,"Medium","Low"))))</f>
        <v/>
      </c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8">
        <f>IF(OR(D188="",E188=""),"",D188*E188)</f>
        <v/>
      </c>
      <c r="G188" s="8">
        <f>IF(F188="","",IF(F188&gt;=20,"Critical",IF(F188&gt;=12,"High",IF(F188&gt;=6,"Medium","Low"))))</f>
        <v/>
      </c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8">
        <f>IF(OR(D189="",E189=""),"",D189*E189)</f>
        <v/>
      </c>
      <c r="G189" s="8">
        <f>IF(F189="","",IF(F189&gt;=20,"Critical",IF(F189&gt;=12,"High",IF(F189&gt;=6,"Medium","Low"))))</f>
        <v/>
      </c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8">
        <f>IF(OR(D190="",E190=""),"",D190*E190)</f>
        <v/>
      </c>
      <c r="G190" s="8">
        <f>IF(F190="","",IF(F190&gt;=20,"Critical",IF(F190&gt;=12,"High",IF(F190&gt;=6,"Medium","Low"))))</f>
        <v/>
      </c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8">
        <f>IF(OR(D191="",E191=""),"",D191*E191)</f>
        <v/>
      </c>
      <c r="G191" s="8">
        <f>IF(F191="","",IF(F191&gt;=20,"Critical",IF(F191&gt;=12,"High",IF(F191&gt;=6,"Medium","Low"))))</f>
        <v/>
      </c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8">
        <f>IF(OR(D192="",E192=""),"",D192*E192)</f>
        <v/>
      </c>
      <c r="G192" s="8">
        <f>IF(F192="","",IF(F192&gt;=20,"Critical",IF(F192&gt;=12,"High",IF(F192&gt;=6,"Medium","Low"))))</f>
        <v/>
      </c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8">
        <f>IF(OR(D193="",E193=""),"",D193*E193)</f>
        <v/>
      </c>
      <c r="G193" s="8">
        <f>IF(F193="","",IF(F193&gt;=20,"Critical",IF(F193&gt;=12,"High",IF(F193&gt;=6,"Medium","Low"))))</f>
        <v/>
      </c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8">
        <f>IF(OR(D194="",E194=""),"",D194*E194)</f>
        <v/>
      </c>
      <c r="G194" s="8">
        <f>IF(F194="","",IF(F194&gt;=20,"Critical",IF(F194&gt;=12,"High",IF(F194&gt;=6,"Medium","Low"))))</f>
        <v/>
      </c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8">
        <f>IF(OR(D195="",E195=""),"",D195*E195)</f>
        <v/>
      </c>
      <c r="G195" s="8">
        <f>IF(F195="","",IF(F195&gt;=20,"Critical",IF(F195&gt;=12,"High",IF(F195&gt;=6,"Medium","Low"))))</f>
        <v/>
      </c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8">
        <f>IF(OR(D196="",E196=""),"",D196*E196)</f>
        <v/>
      </c>
      <c r="G196" s="8">
        <f>IF(F196="","",IF(F196&gt;=20,"Critical",IF(F196&gt;=12,"High",IF(F196&gt;=6,"Medium","Low"))))</f>
        <v/>
      </c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8">
        <f>IF(OR(D197="",E197=""),"",D197*E197)</f>
        <v/>
      </c>
      <c r="G197" s="8">
        <f>IF(F197="","",IF(F197&gt;=20,"Critical",IF(F197&gt;=12,"High",IF(F197&gt;=6,"Medium","Low"))))</f>
        <v/>
      </c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8">
        <f>IF(OR(D198="",E198=""),"",D198*E198)</f>
        <v/>
      </c>
      <c r="G198" s="8">
        <f>IF(F198="","",IF(F198&gt;=20,"Critical",IF(F198&gt;=12,"High",IF(F198&gt;=6,"Medium","Low"))))</f>
        <v/>
      </c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8">
        <f>IF(OR(D199="",E199=""),"",D199*E199)</f>
        <v/>
      </c>
      <c r="G199" s="8">
        <f>IF(F199="","",IF(F199&gt;=20,"Critical",IF(F199&gt;=12,"High",IF(F199&gt;=6,"Medium","Low"))))</f>
        <v/>
      </c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8">
        <f>IF(OR(D200="",E200=""),"",D200*E200)</f>
        <v/>
      </c>
      <c r="G200" s="8">
        <f>IF(F200="","",IF(F200&gt;=20,"Critical",IF(F200&gt;=12,"High",IF(F200&gt;=6,"Medium","Low"))))</f>
        <v/>
      </c>
      <c r="H200" s="8" t="n"/>
      <c r="I200" s="8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>
        <f>IF(OR(D201="",E201=""),"",D201*E201)</f>
        <v/>
      </c>
      <c r="G201" s="8">
        <f>IF(F201="","",IF(F201&gt;=20,"Critical",IF(F201&gt;=12,"High",IF(F201&gt;=6,"Medium","Low"))))</f>
        <v/>
      </c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>
        <f>IF(OR(D202="",E202=""),"",D202*E202)</f>
        <v/>
      </c>
      <c r="G202" s="8">
        <f>IF(F202="","",IF(F202&gt;=20,"Critical",IF(F202&gt;=12,"High",IF(F202&gt;=6,"Medium","Low"))))</f>
        <v/>
      </c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>
        <f>IF(OR(D203="",E203=""),"",D203*E203)</f>
        <v/>
      </c>
      <c r="G203" s="8">
        <f>IF(F203="","",IF(F203&gt;=20,"Critical",IF(F203&gt;=12,"High",IF(F203&gt;=6,"Medium","Low"))))</f>
        <v/>
      </c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>
        <f>IF(OR(D204="",E204=""),"",D204*E204)</f>
        <v/>
      </c>
      <c r="G204" s="8">
        <f>IF(F204="","",IF(F204&gt;=20,"Critical",IF(F204&gt;=12,"High",IF(F204&gt;=6,"Medium","Low"))))</f>
        <v/>
      </c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>
        <f>IF(OR(D205="",E205=""),"",D205*E205)</f>
        <v/>
      </c>
      <c r="G205" s="8">
        <f>IF(F205="","",IF(F205&gt;=20,"Critical",IF(F205&gt;=12,"High",IF(F205&gt;=6,"Medium","Low"))))</f>
        <v/>
      </c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>
        <f>IF(OR(D206="",E206=""),"",D206*E206)</f>
        <v/>
      </c>
      <c r="G206" s="8">
        <f>IF(F206="","",IF(F206&gt;=20,"Critical",IF(F206&gt;=12,"High",IF(F206&gt;=6,"Medium","Low"))))</f>
        <v/>
      </c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>
        <f>IF(OR(D207="",E207=""),"",D207*E207)</f>
        <v/>
      </c>
      <c r="G207" s="8">
        <f>IF(F207="","",IF(F207&gt;=20,"Critical",IF(F207&gt;=12,"High",IF(F207&gt;=6,"Medium","Low"))))</f>
        <v/>
      </c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>
        <f>IF(OR(D208="",E208=""),"",D208*E208)</f>
        <v/>
      </c>
      <c r="G208" s="8">
        <f>IF(F208="","",IF(F208&gt;=20,"Critical",IF(F208&gt;=12,"High",IF(F208&gt;=6,"Medium","Low"))))</f>
        <v/>
      </c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>
        <f>IF(OR(D209="",E209=""),"",D209*E209)</f>
        <v/>
      </c>
      <c r="G209" s="8">
        <f>IF(F209="","",IF(F209&gt;=20,"Critical",IF(F209&gt;=12,"High",IF(F209&gt;=6,"Medium","Low"))))</f>
        <v/>
      </c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>
        <f>IF(OR(D210="",E210=""),"",D210*E210)</f>
        <v/>
      </c>
      <c r="G210" s="8">
        <f>IF(F210="","",IF(F210&gt;=20,"Critical",IF(F210&gt;=12,"High",IF(F210&gt;=6,"Medium","Low"))))</f>
        <v/>
      </c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>
        <f>IF(OR(D211="",E211=""),"",D211*E211)</f>
        <v/>
      </c>
      <c r="G211" s="8">
        <f>IF(F211="","",IF(F211&gt;=20,"Critical",IF(F211&gt;=12,"High",IF(F211&gt;=6,"Medium","Low"))))</f>
        <v/>
      </c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>
        <f>IF(OR(D212="",E212=""),"",D212*E212)</f>
        <v/>
      </c>
      <c r="G212" s="8">
        <f>IF(F212="","",IF(F212&gt;=20,"Critical",IF(F212&gt;=12,"High",IF(F212&gt;=6,"Medium","Low"))))</f>
        <v/>
      </c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>
        <f>IF(OR(D213="",E213=""),"",D213*E213)</f>
        <v/>
      </c>
      <c r="G213" s="8">
        <f>IF(F213="","",IF(F213&gt;=20,"Critical",IF(F213&gt;=12,"High",IF(F213&gt;=6,"Medium","Low"))))</f>
        <v/>
      </c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>
        <f>IF(OR(D214="",E214=""),"",D214*E214)</f>
        <v/>
      </c>
      <c r="G214" s="8">
        <f>IF(F214="","",IF(F214&gt;=20,"Critical",IF(F214&gt;=12,"High",IF(F214&gt;=6,"Medium","Low"))))</f>
        <v/>
      </c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>
        <f>IF(OR(D215="",E215=""),"",D215*E215)</f>
        <v/>
      </c>
      <c r="G215" s="8">
        <f>IF(F215="","",IF(F215&gt;=20,"Critical",IF(F215&gt;=12,"High",IF(F215&gt;=6,"Medium","Low"))))</f>
        <v/>
      </c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>
        <f>IF(OR(D216="",E216=""),"",D216*E216)</f>
        <v/>
      </c>
      <c r="G216" s="8">
        <f>IF(F216="","",IF(F216&gt;=20,"Critical",IF(F216&gt;=12,"High",IF(F216&gt;=6,"Medium","Low"))))</f>
        <v/>
      </c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>
        <f>IF(OR(D217="",E217=""),"",D217*E217)</f>
        <v/>
      </c>
      <c r="G217" s="8">
        <f>IF(F217="","",IF(F217&gt;=20,"Critical",IF(F217&gt;=12,"High",IF(F217&gt;=6,"Medium","Low"))))</f>
        <v/>
      </c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>
        <f>IF(OR(D218="",E218=""),"",D218*E218)</f>
        <v/>
      </c>
      <c r="G218" s="8">
        <f>IF(F218="","",IF(F218&gt;=20,"Critical",IF(F218&gt;=12,"High",IF(F218&gt;=6,"Medium","Low"))))</f>
        <v/>
      </c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>
        <f>IF(OR(D219="",E219=""),"",D219*E219)</f>
        <v/>
      </c>
      <c r="G219" s="8">
        <f>IF(F219="","",IF(F219&gt;=20,"Critical",IF(F219&gt;=12,"High",IF(F219&gt;=6,"Medium","Low"))))</f>
        <v/>
      </c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>
        <f>IF(OR(D220="",E220=""),"",D220*E220)</f>
        <v/>
      </c>
      <c r="G220" s="8">
        <f>IF(F220="","",IF(F220&gt;=20,"Critical",IF(F220&gt;=12,"High",IF(F220&gt;=6,"Medium","Low"))))</f>
        <v/>
      </c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>
        <f>IF(OR(D221="",E221=""),"",D221*E221)</f>
        <v/>
      </c>
      <c r="G221" s="8">
        <f>IF(F221="","",IF(F221&gt;=20,"Critical",IF(F221&gt;=12,"High",IF(F221&gt;=6,"Medium","Low"))))</f>
        <v/>
      </c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>
        <f>IF(OR(D222="",E222=""),"",D222*E222)</f>
        <v/>
      </c>
      <c r="G222" s="8">
        <f>IF(F222="","",IF(F222&gt;=20,"Critical",IF(F222&gt;=12,"High",IF(F222&gt;=6,"Medium","Low"))))</f>
        <v/>
      </c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>
        <f>IF(OR(D223="",E223=""),"",D223*E223)</f>
        <v/>
      </c>
      <c r="G223" s="8">
        <f>IF(F223="","",IF(F223&gt;=20,"Critical",IF(F223&gt;=12,"High",IF(F223&gt;=6,"Medium","Low"))))</f>
        <v/>
      </c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>
        <f>IF(OR(D224="",E224=""),"",D224*E224)</f>
        <v/>
      </c>
      <c r="G224" s="8">
        <f>IF(F224="","",IF(F224&gt;=20,"Critical",IF(F224&gt;=12,"High",IF(F224&gt;=6,"Medium","Low"))))</f>
        <v/>
      </c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>
        <f>IF(OR(D225="",E225=""),"",D225*E225)</f>
        <v/>
      </c>
      <c r="G225" s="8">
        <f>IF(F225="","",IF(F225&gt;=20,"Critical",IF(F225&gt;=12,"High",IF(F225&gt;=6,"Medium","Low"))))</f>
        <v/>
      </c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>
        <f>IF(OR(D226="",E226=""),"",D226*E226)</f>
        <v/>
      </c>
      <c r="G226" s="8">
        <f>IF(F226="","",IF(F226&gt;=20,"Critical",IF(F226&gt;=12,"High",IF(F226&gt;=6,"Medium","Low"))))</f>
        <v/>
      </c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>
        <f>IF(OR(D227="",E227=""),"",D227*E227)</f>
        <v/>
      </c>
      <c r="G227" s="8">
        <f>IF(F227="","",IF(F227&gt;=20,"Critical",IF(F227&gt;=12,"High",IF(F227&gt;=6,"Medium","Low"))))</f>
        <v/>
      </c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>
        <f>IF(OR(D228="",E228=""),"",D228*E228)</f>
        <v/>
      </c>
      <c r="G228" s="8">
        <f>IF(F228="","",IF(F228&gt;=20,"Critical",IF(F228&gt;=12,"High",IF(F228&gt;=6,"Medium","Low"))))</f>
        <v/>
      </c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>
        <f>IF(OR(D229="",E229=""),"",D229*E229)</f>
        <v/>
      </c>
      <c r="G229" s="8">
        <f>IF(F229="","",IF(F229&gt;=20,"Critical",IF(F229&gt;=12,"High",IF(F229&gt;=6,"Medium","Low"))))</f>
        <v/>
      </c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>
        <f>IF(OR(D230="",E230=""),"",D230*E230)</f>
        <v/>
      </c>
      <c r="G230" s="8">
        <f>IF(F230="","",IF(F230&gt;=20,"Critical",IF(F230&gt;=12,"High",IF(F230&gt;=6,"Medium","Low"))))</f>
        <v/>
      </c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>
        <f>IF(OR(D231="",E231=""),"",D231*E231)</f>
        <v/>
      </c>
      <c r="G231" s="8">
        <f>IF(F231="","",IF(F231&gt;=20,"Critical",IF(F231&gt;=12,"High",IF(F231&gt;=6,"Medium","Low"))))</f>
        <v/>
      </c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>
        <f>IF(OR(D232="",E232=""),"",D232*E232)</f>
        <v/>
      </c>
      <c r="G232" s="8">
        <f>IF(F232="","",IF(F232&gt;=20,"Critical",IF(F232&gt;=12,"High",IF(F232&gt;=6,"Medium","Low"))))</f>
        <v/>
      </c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>
        <f>IF(OR(D233="",E233=""),"",D233*E233)</f>
        <v/>
      </c>
      <c r="G233" s="8">
        <f>IF(F233="","",IF(F233&gt;=20,"Critical",IF(F233&gt;=12,"High",IF(F233&gt;=6,"Medium","Low"))))</f>
        <v/>
      </c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>
        <f>IF(OR(D234="",E234=""),"",D234*E234)</f>
        <v/>
      </c>
      <c r="G234" s="8">
        <f>IF(F234="","",IF(F234&gt;=20,"Critical",IF(F234&gt;=12,"High",IF(F234&gt;=6,"Medium","Low"))))</f>
        <v/>
      </c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>
        <f>IF(OR(D235="",E235=""),"",D235*E235)</f>
        <v/>
      </c>
      <c r="G235" s="8">
        <f>IF(F235="","",IF(F235&gt;=20,"Critical",IF(F235&gt;=12,"High",IF(F235&gt;=6,"Medium","Low"))))</f>
        <v/>
      </c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>
        <f>IF(OR(D236="",E236=""),"",D236*E236)</f>
        <v/>
      </c>
      <c r="G236" s="8">
        <f>IF(F236="","",IF(F236&gt;=20,"Critical",IF(F236&gt;=12,"High",IF(F236&gt;=6,"Medium","Low"))))</f>
        <v/>
      </c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>
        <f>IF(OR(D237="",E237=""),"",D237*E237)</f>
        <v/>
      </c>
      <c r="G237" s="8">
        <f>IF(F237="","",IF(F237&gt;=20,"Critical",IF(F237&gt;=12,"High",IF(F237&gt;=6,"Medium","Low"))))</f>
        <v/>
      </c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>
        <f>IF(OR(D238="",E238=""),"",D238*E238)</f>
        <v/>
      </c>
      <c r="G238" s="8">
        <f>IF(F238="","",IF(F238&gt;=20,"Critical",IF(F238&gt;=12,"High",IF(F238&gt;=6,"Medium","Low"))))</f>
        <v/>
      </c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>
        <f>IF(OR(D239="",E239=""),"",D239*E239)</f>
        <v/>
      </c>
      <c r="G239" s="8">
        <f>IF(F239="","",IF(F239&gt;=20,"Critical",IF(F239&gt;=12,"High",IF(F239&gt;=6,"Medium","Low"))))</f>
        <v/>
      </c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>
        <f>IF(OR(D240="",E240=""),"",D240*E240)</f>
        <v/>
      </c>
      <c r="G240" s="8">
        <f>IF(F240="","",IF(F240&gt;=20,"Critical",IF(F240&gt;=12,"High",IF(F240&gt;=6,"Medium","Low"))))</f>
        <v/>
      </c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>
        <f>IF(OR(D241="",E241=""),"",D241*E241)</f>
        <v/>
      </c>
      <c r="G241" s="8">
        <f>IF(F241="","",IF(F241&gt;=20,"Critical",IF(F241&gt;=12,"High",IF(F241&gt;=6,"Medium","Low"))))</f>
        <v/>
      </c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>
        <f>IF(OR(D242="",E242=""),"",D242*E242)</f>
        <v/>
      </c>
      <c r="G242" s="8">
        <f>IF(F242="","",IF(F242&gt;=20,"Critical",IF(F242&gt;=12,"High",IF(F242&gt;=6,"Medium","Low"))))</f>
        <v/>
      </c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>
        <f>IF(OR(D243="",E243=""),"",D243*E243)</f>
        <v/>
      </c>
      <c r="G243" s="8">
        <f>IF(F243="","",IF(F243&gt;=20,"Critical",IF(F243&gt;=12,"High",IF(F243&gt;=6,"Medium","Low"))))</f>
        <v/>
      </c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>
        <f>IF(OR(D244="",E244=""),"",D244*E244)</f>
        <v/>
      </c>
      <c r="G244" s="8">
        <f>IF(F244="","",IF(F244&gt;=20,"Critical",IF(F244&gt;=12,"High",IF(F244&gt;=6,"Medium","Low"))))</f>
        <v/>
      </c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>
        <f>IF(OR(D245="",E245=""),"",D245*E245)</f>
        <v/>
      </c>
      <c r="G245" s="8">
        <f>IF(F245="","",IF(F245&gt;=20,"Critical",IF(F245&gt;=12,"High",IF(F245&gt;=6,"Medium","Low"))))</f>
        <v/>
      </c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>
        <f>IF(OR(D246="",E246=""),"",D246*E246)</f>
        <v/>
      </c>
      <c r="G246" s="8">
        <f>IF(F246="","",IF(F246&gt;=20,"Critical",IF(F246&gt;=12,"High",IF(F246&gt;=6,"Medium","Low"))))</f>
        <v/>
      </c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>
        <f>IF(OR(D247="",E247=""),"",D247*E247)</f>
        <v/>
      </c>
      <c r="G247" s="8">
        <f>IF(F247="","",IF(F247&gt;=20,"Critical",IF(F247&gt;=12,"High",IF(F247&gt;=6,"Medium","Low"))))</f>
        <v/>
      </c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>
        <f>IF(OR(D248="",E248=""),"",D248*E248)</f>
        <v/>
      </c>
      <c r="G248" s="8">
        <f>IF(F248="","",IF(F248&gt;=20,"Critical",IF(F248&gt;=12,"High",IF(F248&gt;=6,"Medium","Low"))))</f>
        <v/>
      </c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>
        <f>IF(OR(D249="",E249=""),"",D249*E249)</f>
        <v/>
      </c>
      <c r="G249" s="8">
        <f>IF(F249="","",IF(F249&gt;=20,"Critical",IF(F249&gt;=12,"High",IF(F249&gt;=6,"Medium","Low"))))</f>
        <v/>
      </c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>
        <f>IF(OR(D250="",E250=""),"",D250*E250)</f>
        <v/>
      </c>
      <c r="G250" s="8">
        <f>IF(F250="","",IF(F250&gt;=20,"Critical",IF(F250&gt;=12,"High",IF(F250&gt;=6,"Medium","Low"))))</f>
        <v/>
      </c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>
        <f>IF(OR(D251="",E251=""),"",D251*E251)</f>
        <v/>
      </c>
      <c r="G251" s="8">
        <f>IF(F251="","",IF(F251&gt;=20,"Critical",IF(F251&gt;=12,"High",IF(F251&gt;=6,"Medium","Low"))))</f>
        <v/>
      </c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>
        <f>IF(OR(D252="",E252=""),"",D252*E252)</f>
        <v/>
      </c>
      <c r="G252" s="8">
        <f>IF(F252="","",IF(F252&gt;=20,"Critical",IF(F252&gt;=12,"High",IF(F252&gt;=6,"Medium","Low"))))</f>
        <v/>
      </c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>
        <f>IF(OR(D253="",E253=""),"",D253*E253)</f>
        <v/>
      </c>
      <c r="G253" s="8">
        <f>IF(F253="","",IF(F253&gt;=20,"Critical",IF(F253&gt;=12,"High",IF(F253&gt;=6,"Medium","Low"))))</f>
        <v/>
      </c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>
        <f>IF(OR(D254="",E254=""),"",D254*E254)</f>
        <v/>
      </c>
      <c r="G254" s="8">
        <f>IF(F254="","",IF(F254&gt;=20,"Critical",IF(F254&gt;=12,"High",IF(F254&gt;=6,"Medium","Low"))))</f>
        <v/>
      </c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>
        <f>IF(OR(D255="",E255=""),"",D255*E255)</f>
        <v/>
      </c>
      <c r="G255" s="8">
        <f>IF(F255="","",IF(F255&gt;=20,"Critical",IF(F255&gt;=12,"High",IF(F255&gt;=6,"Medium","Low"))))</f>
        <v/>
      </c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>
        <f>IF(OR(D256="",E256=""),"",D256*E256)</f>
        <v/>
      </c>
      <c r="G256" s="8">
        <f>IF(F256="","",IF(F256&gt;=20,"Critical",IF(F256&gt;=12,"High",IF(F256&gt;=6,"Medium","Low"))))</f>
        <v/>
      </c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>
        <f>IF(OR(D257="",E257=""),"",D257*E257)</f>
        <v/>
      </c>
      <c r="G257" s="8">
        <f>IF(F257="","",IF(F257&gt;=20,"Critical",IF(F257&gt;=12,"High",IF(F257&gt;=6,"Medium","Low"))))</f>
        <v/>
      </c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>
        <f>IF(OR(D258="",E258=""),"",D258*E258)</f>
        <v/>
      </c>
      <c r="G258" s="8">
        <f>IF(F258="","",IF(F258&gt;=20,"Critical",IF(F258&gt;=12,"High",IF(F258&gt;=6,"Medium","Low"))))</f>
        <v/>
      </c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>
        <f>IF(OR(D259="",E259=""),"",D259*E259)</f>
        <v/>
      </c>
      <c r="G259" s="8">
        <f>IF(F259="","",IF(F259&gt;=20,"Critical",IF(F259&gt;=12,"High",IF(F259&gt;=6,"Medium","Low"))))</f>
        <v/>
      </c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>
        <f>IF(OR(D260="",E260=""),"",D260*E260)</f>
        <v/>
      </c>
      <c r="G260" s="8">
        <f>IF(F260="","",IF(F260&gt;=20,"Critical",IF(F260&gt;=12,"High",IF(F260&gt;=6,"Medium","Low"))))</f>
        <v/>
      </c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>
        <f>IF(OR(D261="",E261=""),"",D261*E261)</f>
        <v/>
      </c>
      <c r="G261" s="8">
        <f>IF(F261="","",IF(F261&gt;=20,"Critical",IF(F261&gt;=12,"High",IF(F261&gt;=6,"Medium","Low"))))</f>
        <v/>
      </c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>
        <f>IF(OR(D262="",E262=""),"",D262*E262)</f>
        <v/>
      </c>
      <c r="G262" s="8">
        <f>IF(F262="","",IF(F262&gt;=20,"Critical",IF(F262&gt;=12,"High",IF(F262&gt;=6,"Medium","Low"))))</f>
        <v/>
      </c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>
        <f>IF(OR(D263="",E263=""),"",D263*E263)</f>
        <v/>
      </c>
      <c r="G263" s="8">
        <f>IF(F263="","",IF(F263&gt;=20,"Critical",IF(F263&gt;=12,"High",IF(F263&gt;=6,"Medium","Low"))))</f>
        <v/>
      </c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>
        <f>IF(OR(D264="",E264=""),"",D264*E264)</f>
        <v/>
      </c>
      <c r="G264" s="8">
        <f>IF(F264="","",IF(F264&gt;=20,"Critical",IF(F264&gt;=12,"High",IF(F264&gt;=6,"Medium","Low"))))</f>
        <v/>
      </c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>
        <f>IF(OR(D265="",E265=""),"",D265*E265)</f>
        <v/>
      </c>
      <c r="G265" s="8">
        <f>IF(F265="","",IF(F265&gt;=20,"Critical",IF(F265&gt;=12,"High",IF(F265&gt;=6,"Medium","Low"))))</f>
        <v/>
      </c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>
        <f>IF(OR(D266="",E266=""),"",D266*E266)</f>
        <v/>
      </c>
      <c r="G266" s="8">
        <f>IF(F266="","",IF(F266&gt;=20,"Critical",IF(F266&gt;=12,"High",IF(F266&gt;=6,"Medium","Low"))))</f>
        <v/>
      </c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>
        <f>IF(OR(D267="",E267=""),"",D267*E267)</f>
        <v/>
      </c>
      <c r="G267" s="8">
        <f>IF(F267="","",IF(F267&gt;=20,"Critical",IF(F267&gt;=12,"High",IF(F267&gt;=6,"Medium","Low"))))</f>
        <v/>
      </c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>
        <f>IF(OR(D268="",E268=""),"",D268*E268)</f>
        <v/>
      </c>
      <c r="G268" s="8">
        <f>IF(F268="","",IF(F268&gt;=20,"Critical",IF(F268&gt;=12,"High",IF(F268&gt;=6,"Medium","Low"))))</f>
        <v/>
      </c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>
        <f>IF(OR(D269="",E269=""),"",D269*E269)</f>
        <v/>
      </c>
      <c r="G269" s="8">
        <f>IF(F269="","",IF(F269&gt;=20,"Critical",IF(F269&gt;=12,"High",IF(F269&gt;=6,"Medium","Low"))))</f>
        <v/>
      </c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>
        <f>IF(OR(D270="",E270=""),"",D270*E270)</f>
        <v/>
      </c>
      <c r="G270" s="8">
        <f>IF(F270="","",IF(F270&gt;=20,"Critical",IF(F270&gt;=12,"High",IF(F270&gt;=6,"Medium","Low"))))</f>
        <v/>
      </c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>
        <f>IF(OR(D271="",E271=""),"",D271*E271)</f>
        <v/>
      </c>
      <c r="G271" s="8">
        <f>IF(F271="","",IF(F271&gt;=20,"Critical",IF(F271&gt;=12,"High",IF(F271&gt;=6,"Medium","Low"))))</f>
        <v/>
      </c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>
        <f>IF(OR(D272="",E272=""),"",D272*E272)</f>
        <v/>
      </c>
      <c r="G272" s="8">
        <f>IF(F272="","",IF(F272&gt;=20,"Critical",IF(F272&gt;=12,"High",IF(F272&gt;=6,"Medium","Low"))))</f>
        <v/>
      </c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>
        <f>IF(OR(D273="",E273=""),"",D273*E273)</f>
        <v/>
      </c>
      <c r="G273" s="8">
        <f>IF(F273="","",IF(F273&gt;=20,"Critical",IF(F273&gt;=12,"High",IF(F273&gt;=6,"Medium","Low"))))</f>
        <v/>
      </c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>
        <f>IF(OR(D274="",E274=""),"",D274*E274)</f>
        <v/>
      </c>
      <c r="G274" s="8">
        <f>IF(F274="","",IF(F274&gt;=20,"Critical",IF(F274&gt;=12,"High",IF(F274&gt;=6,"Medium","Low"))))</f>
        <v/>
      </c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>
        <f>IF(OR(D275="",E275=""),"",D275*E275)</f>
        <v/>
      </c>
      <c r="G275" s="8">
        <f>IF(F275="","",IF(F275&gt;=20,"Critical",IF(F275&gt;=12,"High",IF(F275&gt;=6,"Medium","Low"))))</f>
        <v/>
      </c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>
        <f>IF(OR(D276="",E276=""),"",D276*E276)</f>
        <v/>
      </c>
      <c r="G276" s="8">
        <f>IF(F276="","",IF(F276&gt;=20,"Critical",IF(F276&gt;=12,"High",IF(F276&gt;=6,"Medium","Low"))))</f>
        <v/>
      </c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>
        <f>IF(OR(D277="",E277=""),"",D277*E277)</f>
        <v/>
      </c>
      <c r="G277" s="8">
        <f>IF(F277="","",IF(F277&gt;=20,"Critical",IF(F277&gt;=12,"High",IF(F277&gt;=6,"Medium","Low"))))</f>
        <v/>
      </c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>
        <f>IF(OR(D278="",E278=""),"",D278*E278)</f>
        <v/>
      </c>
      <c r="G278" s="8">
        <f>IF(F278="","",IF(F278&gt;=20,"Critical",IF(F278&gt;=12,"High",IF(F278&gt;=6,"Medium","Low"))))</f>
        <v/>
      </c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>
        <f>IF(OR(D279="",E279=""),"",D279*E279)</f>
        <v/>
      </c>
      <c r="G279" s="8">
        <f>IF(F279="","",IF(F279&gt;=20,"Critical",IF(F279&gt;=12,"High",IF(F279&gt;=6,"Medium","Low"))))</f>
        <v/>
      </c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>
        <f>IF(OR(D280="",E280=""),"",D280*E280)</f>
        <v/>
      </c>
      <c r="G280" s="8">
        <f>IF(F280="","",IF(F280&gt;=20,"Critical",IF(F280&gt;=12,"High",IF(F280&gt;=6,"Medium","Low"))))</f>
        <v/>
      </c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>
        <f>IF(OR(D281="",E281=""),"",D281*E281)</f>
        <v/>
      </c>
      <c r="G281" s="8">
        <f>IF(F281="","",IF(F281&gt;=20,"Critical",IF(F281&gt;=12,"High",IF(F281&gt;=6,"Medium","Low"))))</f>
        <v/>
      </c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>
        <f>IF(OR(D282="",E282=""),"",D282*E282)</f>
        <v/>
      </c>
      <c r="G282" s="8">
        <f>IF(F282="","",IF(F282&gt;=20,"Critical",IF(F282&gt;=12,"High",IF(F282&gt;=6,"Medium","Low"))))</f>
        <v/>
      </c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>
        <f>IF(OR(D283="",E283=""),"",D283*E283)</f>
        <v/>
      </c>
      <c r="G283" s="8">
        <f>IF(F283="","",IF(F283&gt;=20,"Critical",IF(F283&gt;=12,"High",IF(F283&gt;=6,"Medium","Low"))))</f>
        <v/>
      </c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>
        <f>IF(OR(D284="",E284=""),"",D284*E284)</f>
        <v/>
      </c>
      <c r="G284" s="8">
        <f>IF(F284="","",IF(F284&gt;=20,"Critical",IF(F284&gt;=12,"High",IF(F284&gt;=6,"Medium","Low"))))</f>
        <v/>
      </c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>
        <f>IF(OR(D285="",E285=""),"",D285*E285)</f>
        <v/>
      </c>
      <c r="G285" s="8">
        <f>IF(F285="","",IF(F285&gt;=20,"Critical",IF(F285&gt;=12,"High",IF(F285&gt;=6,"Medium","Low"))))</f>
        <v/>
      </c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>
        <f>IF(OR(D286="",E286=""),"",D286*E286)</f>
        <v/>
      </c>
      <c r="G286" s="8">
        <f>IF(F286="","",IF(F286&gt;=20,"Critical",IF(F286&gt;=12,"High",IF(F286&gt;=6,"Medium","Low"))))</f>
        <v/>
      </c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>
        <f>IF(OR(D287="",E287=""),"",D287*E287)</f>
        <v/>
      </c>
      <c r="G287" s="8">
        <f>IF(F287="","",IF(F287&gt;=20,"Critical",IF(F287&gt;=12,"High",IF(F287&gt;=6,"Medium","Low"))))</f>
        <v/>
      </c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>
        <f>IF(OR(D288="",E288=""),"",D288*E288)</f>
        <v/>
      </c>
      <c r="G288" s="8">
        <f>IF(F288="","",IF(F288&gt;=20,"Critical",IF(F288&gt;=12,"High",IF(F288&gt;=6,"Medium","Low"))))</f>
        <v/>
      </c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>
        <f>IF(OR(D289="",E289=""),"",D289*E289)</f>
        <v/>
      </c>
      <c r="G289" s="8">
        <f>IF(F289="","",IF(F289&gt;=20,"Critical",IF(F289&gt;=12,"High",IF(F289&gt;=6,"Medium","Low"))))</f>
        <v/>
      </c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>
        <f>IF(OR(D290="",E290=""),"",D290*E290)</f>
        <v/>
      </c>
      <c r="G290" s="8">
        <f>IF(F290="","",IF(F290&gt;=20,"Critical",IF(F290&gt;=12,"High",IF(F290&gt;=6,"Medium","Low"))))</f>
        <v/>
      </c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>
        <f>IF(OR(D291="",E291=""),"",D291*E291)</f>
        <v/>
      </c>
      <c r="G291" s="8">
        <f>IF(F291="","",IF(F291&gt;=20,"Critical",IF(F291&gt;=12,"High",IF(F291&gt;=6,"Medium","Low"))))</f>
        <v/>
      </c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>
        <f>IF(OR(D292="",E292=""),"",D292*E292)</f>
        <v/>
      </c>
      <c r="G292" s="8">
        <f>IF(F292="","",IF(F292&gt;=20,"Critical",IF(F292&gt;=12,"High",IF(F292&gt;=6,"Medium","Low"))))</f>
        <v/>
      </c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>
        <f>IF(OR(D293="",E293=""),"",D293*E293)</f>
        <v/>
      </c>
      <c r="G293" s="8">
        <f>IF(F293="","",IF(F293&gt;=20,"Critical",IF(F293&gt;=12,"High",IF(F293&gt;=6,"Medium","Low"))))</f>
        <v/>
      </c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>
        <f>IF(OR(D294="",E294=""),"",D294*E294)</f>
        <v/>
      </c>
      <c r="G294" s="8">
        <f>IF(F294="","",IF(F294&gt;=20,"Critical",IF(F294&gt;=12,"High",IF(F294&gt;=6,"Medium","Low"))))</f>
        <v/>
      </c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>
        <f>IF(OR(D295="",E295=""),"",D295*E295)</f>
        <v/>
      </c>
      <c r="G295" s="8">
        <f>IF(F295="","",IF(F295&gt;=20,"Critical",IF(F295&gt;=12,"High",IF(F295&gt;=6,"Medium","Low"))))</f>
        <v/>
      </c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>
        <f>IF(OR(D296="",E296=""),"",D296*E296)</f>
        <v/>
      </c>
      <c r="G296" s="8">
        <f>IF(F296="","",IF(F296&gt;=20,"Critical",IF(F296&gt;=12,"High",IF(F296&gt;=6,"Medium","Low"))))</f>
        <v/>
      </c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>
        <f>IF(OR(D297="",E297=""),"",D297*E297)</f>
        <v/>
      </c>
      <c r="G297" s="8">
        <f>IF(F297="","",IF(F297&gt;=20,"Critical",IF(F297&gt;=12,"High",IF(F297&gt;=6,"Medium","Low"))))</f>
        <v/>
      </c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>
        <f>IF(OR(D298="",E298=""),"",D298*E298)</f>
        <v/>
      </c>
      <c r="G298" s="8">
        <f>IF(F298="","",IF(F298&gt;=20,"Critical",IF(F298&gt;=12,"High",IF(F298&gt;=6,"Medium","Low"))))</f>
        <v/>
      </c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>
        <f>IF(OR(D299="",E299=""),"",D299*E299)</f>
        <v/>
      </c>
      <c r="G299" s="8">
        <f>IF(F299="","",IF(F299&gt;=20,"Critical",IF(F299&gt;=12,"High",IF(F299&gt;=6,"Medium","Low"))))</f>
        <v/>
      </c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>
        <f>IF(OR(D300="",E300=""),"",D300*E300)</f>
        <v/>
      </c>
      <c r="G300" s="8">
        <f>IF(F300="","",IF(F300&gt;=20,"Critical",IF(F300&gt;=12,"High",IF(F300&gt;=6,"Medium","Low"))))</f>
        <v/>
      </c>
      <c r="H300" s="8" t="n"/>
      <c r="I300" s="8" t="n"/>
      <c r="J300" s="8" t="n"/>
      <c r="K300" s="8" t="n"/>
    </row>
  </sheetData>
  <autoFilter ref="A1:K300"/>
  <dataValidations count="6">
    <dataValidation sqref="B2:B300" showDropDown="0" showInputMessage="0" showErrorMessage="1" allowBlank="1" errorTitle="Invalid selection" error="Select from the dropdown list." type="list">
      <formula1>"PRJ-001,PRJ-002,PRJ-003,PRJ-004"</formula1>
    </dataValidation>
    <dataValidation sqref="D2:D300" showDropDown="0" showInputMessage="0" showErrorMessage="1" allowBlank="1" errorTitle="Invalid selection" error="Select from the dropdown list." type="list">
      <formula1>"1,2,3,4,5"</formula1>
    </dataValidation>
    <dataValidation sqref="E2:E300" showDropDown="0" showInputMessage="0" showErrorMessage="1" allowBlank="1" errorTitle="Invalid selection" error="Select from the dropdown list." type="list">
      <formula1>"1,2,3,4,5"</formula1>
    </dataValidation>
    <dataValidation sqref="G2:G300" showDropDown="0" showInputMessage="0" showErrorMessage="1" allowBlank="1" errorTitle="Invalid selection" error="Select from the dropdown list." type="list">
      <formula1>"Low,Medium,High,Critical"</formula1>
    </dataValidation>
    <dataValidation sqref="I2:I300" showDropDown="0" showInputMessage="0" showErrorMessage="1" allowBlank="1" errorTitle="Invalid selection" error="Select from the dropdown list." type="list">
      <formula1>"Priya Nair,Arjun Patel,Leena Das,Nikhil Verma,Imran Ali,Riya Sen,Sara Thomas,Ananya Rao,Rohit Menon,Meera Iyer,Vikram Shah"</formula1>
    </dataValidation>
    <dataValidation sqref="J2:J300" showDropDown="0" showInputMessage="0" showErrorMessage="1" allowBlank="1" errorTitle="Invalid selection" error="Select from the dropdown list." type="list">
      <formula1>"Open,In Progress,Resolved,Closed,Reopened"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3" customWidth="1" min="4" max="4"/>
    <col width="16" customWidth="1" min="5" max="5"/>
    <col width="14" customWidth="1" min="6" max="6"/>
    <col width="13" customWidth="1" min="7" max="7"/>
    <col width="20" customWidth="1" min="8" max="8"/>
    <col width="34" customWidth="1" min="9" max="9"/>
  </cols>
  <sheetData>
    <row r="1">
      <c r="A1" s="6" t="inlineStr">
        <is>
          <t>Resource Name</t>
        </is>
      </c>
      <c r="B1" s="6" t="inlineStr">
        <is>
          <t>Role</t>
        </is>
      </c>
      <c r="C1" s="6" t="inlineStr">
        <is>
          <t>Project ID</t>
        </is>
      </c>
      <c r="D1" s="6" t="inlineStr">
        <is>
          <t>Module</t>
        </is>
      </c>
      <c r="E1" s="6" t="inlineStr">
        <is>
          <t>Allocation %</t>
        </is>
      </c>
      <c r="F1" s="6" t="inlineStr">
        <is>
          <t>Start Date</t>
        </is>
      </c>
      <c r="G1" s="6" t="inlineStr">
        <is>
          <t>End Date</t>
        </is>
      </c>
      <c r="H1" s="6" t="inlineStr">
        <is>
          <t>Current Workload</t>
        </is>
      </c>
      <c r="I1" s="6" t="inlineStr">
        <is>
          <t>Remarks</t>
        </is>
      </c>
    </row>
    <row r="2">
      <c r="A2" s="8" t="inlineStr">
        <is>
          <t>Priya Nair</t>
        </is>
      </c>
      <c r="B2" s="8" t="inlineStr">
        <is>
          <t>Frontend Engineer</t>
        </is>
      </c>
      <c r="C2" s="8" t="inlineStr">
        <is>
          <t>PRJ-001</t>
        </is>
      </c>
      <c r="D2" s="8" t="inlineStr">
        <is>
          <t>Login</t>
        </is>
      </c>
      <c r="E2" s="10" t="n">
        <v>0.6</v>
      </c>
      <c r="F2" s="9" t="n">
        <v>46042</v>
      </c>
      <c r="G2" s="9" t="n">
        <v>46215</v>
      </c>
      <c r="H2" s="8">
        <f>IF(A2="","",SUMIF(A:A,A2,E:E))</f>
        <v/>
      </c>
      <c r="I2" s="8" t="inlineStr"/>
    </row>
    <row r="3">
      <c r="A3" s="8" t="inlineStr">
        <is>
          <t>Arjun Patel</t>
        </is>
      </c>
      <c r="B3" s="8" t="inlineStr">
        <is>
          <t>Backend Engineer</t>
        </is>
      </c>
      <c r="C3" s="8" t="inlineStr">
        <is>
          <t>PRJ-001</t>
        </is>
      </c>
      <c r="D3" s="8" t="inlineStr">
        <is>
          <t>Payments</t>
        </is>
      </c>
      <c r="E3" s="10" t="n">
        <v>0.8</v>
      </c>
      <c r="F3" s="9" t="n">
        <v>46096</v>
      </c>
      <c r="G3" s="9" t="n">
        <v>46215</v>
      </c>
      <c r="H3" s="8">
        <f>IF(A3="","",SUMIF(A:A,A3,E:E))</f>
        <v/>
      </c>
      <c r="I3" s="8" t="inlineStr"/>
    </row>
    <row r="4">
      <c r="A4" s="8" t="inlineStr">
        <is>
          <t>Leena Das</t>
        </is>
      </c>
      <c r="B4" s="8" t="inlineStr">
        <is>
          <t>Business Analyst</t>
        </is>
      </c>
      <c r="C4" s="8" t="inlineStr">
        <is>
          <t>PRJ-002</t>
        </is>
      </c>
      <c r="D4" s="8" t="inlineStr">
        <is>
          <t>Workflow</t>
        </is>
      </c>
      <c r="E4" s="10" t="n">
        <v>0.75</v>
      </c>
      <c r="F4" s="9" t="n">
        <v>46068</v>
      </c>
      <c r="G4" s="9" t="n">
        <v>46249</v>
      </c>
      <c r="H4" s="8">
        <f>IF(A4="","",SUMIF(A:A,A4,E:E))</f>
        <v/>
      </c>
      <c r="I4" s="8" t="inlineStr"/>
    </row>
    <row r="5">
      <c r="A5" s="8" t="n"/>
      <c r="B5" s="8" t="n"/>
      <c r="C5" s="8" t="n"/>
      <c r="D5" s="8" t="n"/>
      <c r="E5" s="8" t="n"/>
      <c r="F5" s="8" t="n"/>
      <c r="G5" s="8" t="n"/>
      <c r="H5" s="8">
        <f>IF(A5="","",SUMIF(A:A,A5,E:E))</f>
        <v/>
      </c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>
        <f>IF(A6="","",SUMIF(A:A,A6,E:E))</f>
        <v/>
      </c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>
        <f>IF(A7="","",SUMIF(A:A,A7,E:E))</f>
        <v/>
      </c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>
        <f>IF(A8="","",SUMIF(A:A,A8,E:E))</f>
        <v/>
      </c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>
        <f>IF(A9="","",SUMIF(A:A,A9,E:E))</f>
        <v/>
      </c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>
        <f>IF(A10="","",SUMIF(A:A,A10,E:E))</f>
        <v/>
      </c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>
        <f>IF(A11="","",SUMIF(A:A,A11,E:E))</f>
        <v/>
      </c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>
        <f>IF(A12="","",SUMIF(A:A,A12,E:E))</f>
        <v/>
      </c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>
        <f>IF(A13="","",SUMIF(A:A,A13,E:E))</f>
        <v/>
      </c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>
        <f>IF(A14="","",SUMIF(A:A,A14,E:E))</f>
        <v/>
      </c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>
        <f>IF(A15="","",SUMIF(A:A,A15,E:E))</f>
        <v/>
      </c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>
        <f>IF(A16="","",SUMIF(A:A,A16,E:E))</f>
        <v/>
      </c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>
        <f>IF(A17="","",SUMIF(A:A,A17,E:E))</f>
        <v/>
      </c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>
        <f>IF(A18="","",SUMIF(A:A,A18,E:E))</f>
        <v/>
      </c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>
        <f>IF(A19="","",SUMIF(A:A,A19,E:E))</f>
        <v/>
      </c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>
        <f>IF(A20="","",SUMIF(A:A,A20,E:E))</f>
        <v/>
      </c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>
        <f>IF(A21="","",SUMIF(A:A,A21,E:E))</f>
        <v/>
      </c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>
        <f>IF(A22="","",SUMIF(A:A,A22,E:E))</f>
        <v/>
      </c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>
        <f>IF(A23="","",SUMIF(A:A,A23,E:E))</f>
        <v/>
      </c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>
        <f>IF(A24="","",SUMIF(A:A,A24,E:E))</f>
        <v/>
      </c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>
        <f>IF(A25="","",SUMIF(A:A,A25,E:E))</f>
        <v/>
      </c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>
        <f>IF(A26="","",SUMIF(A:A,A26,E:E))</f>
        <v/>
      </c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>
        <f>IF(A27="","",SUMIF(A:A,A27,E:E))</f>
        <v/>
      </c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>
        <f>IF(A28="","",SUMIF(A:A,A28,E:E))</f>
        <v/>
      </c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>
        <f>IF(A29="","",SUMIF(A:A,A29,E:E))</f>
        <v/>
      </c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>
        <f>IF(A30="","",SUMIF(A:A,A30,E:E))</f>
        <v/>
      </c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>
        <f>IF(A31="","",SUMIF(A:A,A31,E:E))</f>
        <v/>
      </c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>
        <f>IF(A32="","",SUMIF(A:A,A32,E:E))</f>
        <v/>
      </c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>
        <f>IF(A33="","",SUMIF(A:A,A33,E:E))</f>
        <v/>
      </c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>
        <f>IF(A34="","",SUMIF(A:A,A34,E:E))</f>
        <v/>
      </c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>
        <f>IF(A35="","",SUMIF(A:A,A35,E:E))</f>
        <v/>
      </c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>
        <f>IF(A36="","",SUMIF(A:A,A36,E:E))</f>
        <v/>
      </c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>
        <f>IF(A37="","",SUMIF(A:A,A37,E:E))</f>
        <v/>
      </c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>
        <f>IF(A38="","",SUMIF(A:A,A38,E:E))</f>
        <v/>
      </c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>
        <f>IF(A39="","",SUMIF(A:A,A39,E:E))</f>
        <v/>
      </c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>
        <f>IF(A40="","",SUMIF(A:A,A40,E:E))</f>
        <v/>
      </c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>
        <f>IF(A41="","",SUMIF(A:A,A41,E:E))</f>
        <v/>
      </c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>
        <f>IF(A42="","",SUMIF(A:A,A42,E:E))</f>
        <v/>
      </c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>
        <f>IF(A43="","",SUMIF(A:A,A43,E:E))</f>
        <v/>
      </c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>
        <f>IF(A44="","",SUMIF(A:A,A44,E:E))</f>
        <v/>
      </c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>
        <f>IF(A45="","",SUMIF(A:A,A45,E:E))</f>
        <v/>
      </c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>
        <f>IF(A46="","",SUMIF(A:A,A46,E:E))</f>
        <v/>
      </c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>
        <f>IF(A47="","",SUMIF(A:A,A47,E:E))</f>
        <v/>
      </c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>
        <f>IF(A48="","",SUMIF(A:A,A48,E:E))</f>
        <v/>
      </c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>
        <f>IF(A49="","",SUMIF(A:A,A49,E:E))</f>
        <v/>
      </c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>
        <f>IF(A50="","",SUMIF(A:A,A50,E:E))</f>
        <v/>
      </c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>
        <f>IF(A51="","",SUMIF(A:A,A51,E:E))</f>
        <v/>
      </c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>
        <f>IF(A52="","",SUMIF(A:A,A52,E:E))</f>
        <v/>
      </c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>
        <f>IF(A53="","",SUMIF(A:A,A53,E:E))</f>
        <v/>
      </c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>
        <f>IF(A54="","",SUMIF(A:A,A54,E:E))</f>
        <v/>
      </c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>
        <f>IF(A55="","",SUMIF(A:A,A55,E:E))</f>
        <v/>
      </c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>
        <f>IF(A56="","",SUMIF(A:A,A56,E:E))</f>
        <v/>
      </c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>
        <f>IF(A57="","",SUMIF(A:A,A57,E:E))</f>
        <v/>
      </c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>
        <f>IF(A58="","",SUMIF(A:A,A58,E:E))</f>
        <v/>
      </c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>
        <f>IF(A59="","",SUMIF(A:A,A59,E:E))</f>
        <v/>
      </c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>
        <f>IF(A60="","",SUMIF(A:A,A60,E:E))</f>
        <v/>
      </c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>
        <f>IF(A61="","",SUMIF(A:A,A61,E:E))</f>
        <v/>
      </c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>
        <f>IF(A62="","",SUMIF(A:A,A62,E:E))</f>
        <v/>
      </c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>
        <f>IF(A63="","",SUMIF(A:A,A63,E:E))</f>
        <v/>
      </c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>
        <f>IF(A64="","",SUMIF(A:A,A64,E:E))</f>
        <v/>
      </c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>
        <f>IF(A65="","",SUMIF(A:A,A65,E:E))</f>
        <v/>
      </c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>
        <f>IF(A66="","",SUMIF(A:A,A66,E:E))</f>
        <v/>
      </c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>
        <f>IF(A67="","",SUMIF(A:A,A67,E:E))</f>
        <v/>
      </c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>
        <f>IF(A68="","",SUMIF(A:A,A68,E:E))</f>
        <v/>
      </c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>
        <f>IF(A69="","",SUMIF(A:A,A69,E:E))</f>
        <v/>
      </c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>
        <f>IF(A70="","",SUMIF(A:A,A70,E:E))</f>
        <v/>
      </c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>
        <f>IF(A71="","",SUMIF(A:A,A71,E:E))</f>
        <v/>
      </c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>
        <f>IF(A72="","",SUMIF(A:A,A72,E:E))</f>
        <v/>
      </c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>
        <f>IF(A73="","",SUMIF(A:A,A73,E:E))</f>
        <v/>
      </c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>
        <f>IF(A74="","",SUMIF(A:A,A74,E:E))</f>
        <v/>
      </c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>
        <f>IF(A75="","",SUMIF(A:A,A75,E:E))</f>
        <v/>
      </c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>
        <f>IF(A76="","",SUMIF(A:A,A76,E:E))</f>
        <v/>
      </c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>
        <f>IF(A77="","",SUMIF(A:A,A77,E:E))</f>
        <v/>
      </c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>
        <f>IF(A78="","",SUMIF(A:A,A78,E:E))</f>
        <v/>
      </c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>
        <f>IF(A79="","",SUMIF(A:A,A79,E:E))</f>
        <v/>
      </c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>
        <f>IF(A80="","",SUMIF(A:A,A80,E:E))</f>
        <v/>
      </c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>
        <f>IF(A81="","",SUMIF(A:A,A81,E:E))</f>
        <v/>
      </c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>
        <f>IF(A82="","",SUMIF(A:A,A82,E:E))</f>
        <v/>
      </c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>
        <f>IF(A83="","",SUMIF(A:A,A83,E:E))</f>
        <v/>
      </c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>
        <f>IF(A84="","",SUMIF(A:A,A84,E:E))</f>
        <v/>
      </c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>
        <f>IF(A85="","",SUMIF(A:A,A85,E:E))</f>
        <v/>
      </c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>
        <f>IF(A86="","",SUMIF(A:A,A86,E:E))</f>
        <v/>
      </c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>
        <f>IF(A87="","",SUMIF(A:A,A87,E:E))</f>
        <v/>
      </c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>
        <f>IF(A88="","",SUMIF(A:A,A88,E:E))</f>
        <v/>
      </c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>
        <f>IF(A89="","",SUMIF(A:A,A89,E:E))</f>
        <v/>
      </c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>
        <f>IF(A90="","",SUMIF(A:A,A90,E:E))</f>
        <v/>
      </c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>
        <f>IF(A91="","",SUMIF(A:A,A91,E:E))</f>
        <v/>
      </c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>
        <f>IF(A92="","",SUMIF(A:A,A92,E:E))</f>
        <v/>
      </c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>
        <f>IF(A93="","",SUMIF(A:A,A93,E:E))</f>
        <v/>
      </c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>
        <f>IF(A94="","",SUMIF(A:A,A94,E:E))</f>
        <v/>
      </c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>
        <f>IF(A95="","",SUMIF(A:A,A95,E:E))</f>
        <v/>
      </c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>
        <f>IF(A96="","",SUMIF(A:A,A96,E:E))</f>
        <v/>
      </c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>
        <f>IF(A97="","",SUMIF(A:A,A97,E:E))</f>
        <v/>
      </c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>
        <f>IF(A98="","",SUMIF(A:A,A98,E:E))</f>
        <v/>
      </c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>
        <f>IF(A99="","",SUMIF(A:A,A99,E:E))</f>
        <v/>
      </c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>
        <f>IF(A100="","",SUMIF(A:A,A100,E:E))</f>
        <v/>
      </c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>
        <f>IF(A101="","",SUMIF(A:A,A101,E:E))</f>
        <v/>
      </c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>
        <f>IF(A102="","",SUMIF(A:A,A102,E:E))</f>
        <v/>
      </c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>
        <f>IF(A103="","",SUMIF(A:A,A103,E:E))</f>
        <v/>
      </c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>
        <f>IF(A104="","",SUMIF(A:A,A104,E:E))</f>
        <v/>
      </c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>
        <f>IF(A105="","",SUMIF(A:A,A105,E:E))</f>
        <v/>
      </c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>
        <f>IF(A106="","",SUMIF(A:A,A106,E:E))</f>
        <v/>
      </c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>
        <f>IF(A107="","",SUMIF(A:A,A107,E:E))</f>
        <v/>
      </c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>
        <f>IF(A108="","",SUMIF(A:A,A108,E:E))</f>
        <v/>
      </c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>
        <f>IF(A109="","",SUMIF(A:A,A109,E:E))</f>
        <v/>
      </c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>
        <f>IF(A110="","",SUMIF(A:A,A110,E:E))</f>
        <v/>
      </c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>
        <f>IF(A111="","",SUMIF(A:A,A111,E:E))</f>
        <v/>
      </c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>
        <f>IF(A112="","",SUMIF(A:A,A112,E:E))</f>
        <v/>
      </c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>
        <f>IF(A113="","",SUMIF(A:A,A113,E:E))</f>
        <v/>
      </c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>
        <f>IF(A114="","",SUMIF(A:A,A114,E:E))</f>
        <v/>
      </c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>
        <f>IF(A115="","",SUMIF(A:A,A115,E:E))</f>
        <v/>
      </c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>
        <f>IF(A116="","",SUMIF(A:A,A116,E:E))</f>
        <v/>
      </c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>
        <f>IF(A117="","",SUMIF(A:A,A117,E:E))</f>
        <v/>
      </c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>
        <f>IF(A118="","",SUMIF(A:A,A118,E:E))</f>
        <v/>
      </c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>
        <f>IF(A119="","",SUMIF(A:A,A119,E:E))</f>
        <v/>
      </c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>
        <f>IF(A120="","",SUMIF(A:A,A120,E:E))</f>
        <v/>
      </c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>
        <f>IF(A121="","",SUMIF(A:A,A121,E:E))</f>
        <v/>
      </c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>
        <f>IF(A122="","",SUMIF(A:A,A122,E:E))</f>
        <v/>
      </c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>
        <f>IF(A123="","",SUMIF(A:A,A123,E:E))</f>
        <v/>
      </c>
      <c r="I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>
        <f>IF(A124="","",SUMIF(A:A,A124,E:E))</f>
        <v/>
      </c>
      <c r="I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>
        <f>IF(A125="","",SUMIF(A:A,A125,E:E))</f>
        <v/>
      </c>
      <c r="I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>
        <f>IF(A126="","",SUMIF(A:A,A126,E:E))</f>
        <v/>
      </c>
      <c r="I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>
        <f>IF(A127="","",SUMIF(A:A,A127,E:E))</f>
        <v/>
      </c>
      <c r="I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>
        <f>IF(A128="","",SUMIF(A:A,A128,E:E))</f>
        <v/>
      </c>
      <c r="I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>
        <f>IF(A129="","",SUMIF(A:A,A129,E:E))</f>
        <v/>
      </c>
      <c r="I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>
        <f>IF(A130="","",SUMIF(A:A,A130,E:E))</f>
        <v/>
      </c>
      <c r="I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>
        <f>IF(A131="","",SUMIF(A:A,A131,E:E))</f>
        <v/>
      </c>
      <c r="I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>
        <f>IF(A132="","",SUMIF(A:A,A132,E:E))</f>
        <v/>
      </c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>
        <f>IF(A133="","",SUMIF(A:A,A133,E:E))</f>
        <v/>
      </c>
      <c r="I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>
        <f>IF(A134="","",SUMIF(A:A,A134,E:E))</f>
        <v/>
      </c>
      <c r="I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>
        <f>IF(A135="","",SUMIF(A:A,A135,E:E))</f>
        <v/>
      </c>
      <c r="I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>
        <f>IF(A136="","",SUMIF(A:A,A136,E:E))</f>
        <v/>
      </c>
      <c r="I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>
        <f>IF(A137="","",SUMIF(A:A,A137,E:E))</f>
        <v/>
      </c>
      <c r="I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>
        <f>IF(A138="","",SUMIF(A:A,A138,E:E))</f>
        <v/>
      </c>
      <c r="I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>
        <f>IF(A139="","",SUMIF(A:A,A139,E:E))</f>
        <v/>
      </c>
      <c r="I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>
        <f>IF(A140="","",SUMIF(A:A,A140,E:E))</f>
        <v/>
      </c>
      <c r="I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>
        <f>IF(A141="","",SUMIF(A:A,A141,E:E))</f>
        <v/>
      </c>
      <c r="I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>
        <f>IF(A142="","",SUMIF(A:A,A142,E:E))</f>
        <v/>
      </c>
      <c r="I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>
        <f>IF(A143="","",SUMIF(A:A,A143,E:E))</f>
        <v/>
      </c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>
        <f>IF(A144="","",SUMIF(A:A,A144,E:E))</f>
        <v/>
      </c>
      <c r="I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>
        <f>IF(A145="","",SUMIF(A:A,A145,E:E))</f>
        <v/>
      </c>
      <c r="I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>
        <f>IF(A146="","",SUMIF(A:A,A146,E:E))</f>
        <v/>
      </c>
      <c r="I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>
        <f>IF(A147="","",SUMIF(A:A,A147,E:E))</f>
        <v/>
      </c>
      <c r="I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>
        <f>IF(A148="","",SUMIF(A:A,A148,E:E))</f>
        <v/>
      </c>
      <c r="I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>
        <f>IF(A149="","",SUMIF(A:A,A149,E:E))</f>
        <v/>
      </c>
      <c r="I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>
        <f>IF(A150="","",SUMIF(A:A,A150,E:E))</f>
        <v/>
      </c>
      <c r="I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>
        <f>IF(A151="","",SUMIF(A:A,A151,E:E))</f>
        <v/>
      </c>
      <c r="I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>
        <f>IF(A152="","",SUMIF(A:A,A152,E:E))</f>
        <v/>
      </c>
      <c r="I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>
        <f>IF(A153="","",SUMIF(A:A,A153,E:E))</f>
        <v/>
      </c>
      <c r="I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>
        <f>IF(A154="","",SUMIF(A:A,A154,E:E))</f>
        <v/>
      </c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>
        <f>IF(A155="","",SUMIF(A:A,A155,E:E))</f>
        <v/>
      </c>
      <c r="I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>
        <f>IF(A156="","",SUMIF(A:A,A156,E:E))</f>
        <v/>
      </c>
      <c r="I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>
        <f>IF(A157="","",SUMIF(A:A,A157,E:E))</f>
        <v/>
      </c>
      <c r="I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>
        <f>IF(A158="","",SUMIF(A:A,A158,E:E))</f>
        <v/>
      </c>
      <c r="I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>
        <f>IF(A159="","",SUMIF(A:A,A159,E:E))</f>
        <v/>
      </c>
      <c r="I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>
        <f>IF(A160="","",SUMIF(A:A,A160,E:E))</f>
        <v/>
      </c>
      <c r="I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>
        <f>IF(A161="","",SUMIF(A:A,A161,E:E))</f>
        <v/>
      </c>
      <c r="I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>
        <f>IF(A162="","",SUMIF(A:A,A162,E:E))</f>
        <v/>
      </c>
      <c r="I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>
        <f>IF(A163="","",SUMIF(A:A,A163,E:E))</f>
        <v/>
      </c>
      <c r="I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>
        <f>IF(A164="","",SUMIF(A:A,A164,E:E))</f>
        <v/>
      </c>
      <c r="I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>
        <f>IF(A165="","",SUMIF(A:A,A165,E:E))</f>
        <v/>
      </c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>
        <f>IF(A166="","",SUMIF(A:A,A166,E:E))</f>
        <v/>
      </c>
      <c r="I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>
        <f>IF(A167="","",SUMIF(A:A,A167,E:E))</f>
        <v/>
      </c>
      <c r="I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>
        <f>IF(A168="","",SUMIF(A:A,A168,E:E))</f>
        <v/>
      </c>
      <c r="I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>
        <f>IF(A169="","",SUMIF(A:A,A169,E:E))</f>
        <v/>
      </c>
      <c r="I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>
        <f>IF(A170="","",SUMIF(A:A,A170,E:E))</f>
        <v/>
      </c>
      <c r="I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>
        <f>IF(A171="","",SUMIF(A:A,A171,E:E))</f>
        <v/>
      </c>
      <c r="I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>
        <f>IF(A172="","",SUMIF(A:A,A172,E:E))</f>
        <v/>
      </c>
      <c r="I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>
        <f>IF(A173="","",SUMIF(A:A,A173,E:E))</f>
        <v/>
      </c>
      <c r="I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>
        <f>IF(A174="","",SUMIF(A:A,A174,E:E))</f>
        <v/>
      </c>
      <c r="I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>
        <f>IF(A175="","",SUMIF(A:A,A175,E:E))</f>
        <v/>
      </c>
      <c r="I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>
        <f>IF(A176="","",SUMIF(A:A,A176,E:E))</f>
        <v/>
      </c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>
        <f>IF(A177="","",SUMIF(A:A,A177,E:E))</f>
        <v/>
      </c>
      <c r="I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>
        <f>IF(A178="","",SUMIF(A:A,A178,E:E))</f>
        <v/>
      </c>
      <c r="I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>
        <f>IF(A179="","",SUMIF(A:A,A179,E:E))</f>
        <v/>
      </c>
      <c r="I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>
        <f>IF(A180="","",SUMIF(A:A,A180,E:E))</f>
        <v/>
      </c>
      <c r="I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>
        <f>IF(A181="","",SUMIF(A:A,A181,E:E))</f>
        <v/>
      </c>
      <c r="I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>
        <f>IF(A182="","",SUMIF(A:A,A182,E:E))</f>
        <v/>
      </c>
      <c r="I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>
        <f>IF(A183="","",SUMIF(A:A,A183,E:E))</f>
        <v/>
      </c>
      <c r="I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>
        <f>IF(A184="","",SUMIF(A:A,A184,E:E))</f>
        <v/>
      </c>
      <c r="I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>
        <f>IF(A185="","",SUMIF(A:A,A185,E:E))</f>
        <v/>
      </c>
      <c r="I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>
        <f>IF(A186="","",SUMIF(A:A,A186,E:E))</f>
        <v/>
      </c>
      <c r="I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>
        <f>IF(A187="","",SUMIF(A:A,A187,E:E))</f>
        <v/>
      </c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>
        <f>IF(A188="","",SUMIF(A:A,A188,E:E))</f>
        <v/>
      </c>
      <c r="I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>
        <f>IF(A189="","",SUMIF(A:A,A189,E:E))</f>
        <v/>
      </c>
      <c r="I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>
        <f>IF(A190="","",SUMIF(A:A,A190,E:E))</f>
        <v/>
      </c>
      <c r="I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>
        <f>IF(A191="","",SUMIF(A:A,A191,E:E))</f>
        <v/>
      </c>
      <c r="I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>
        <f>IF(A192="","",SUMIF(A:A,A192,E:E))</f>
        <v/>
      </c>
      <c r="I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>
        <f>IF(A193="","",SUMIF(A:A,A193,E:E))</f>
        <v/>
      </c>
      <c r="I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>
        <f>IF(A194="","",SUMIF(A:A,A194,E:E))</f>
        <v/>
      </c>
      <c r="I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>
        <f>IF(A195="","",SUMIF(A:A,A195,E:E))</f>
        <v/>
      </c>
      <c r="I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>
        <f>IF(A196="","",SUMIF(A:A,A196,E:E))</f>
        <v/>
      </c>
      <c r="I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>
        <f>IF(A197="","",SUMIF(A:A,A197,E:E))</f>
        <v/>
      </c>
      <c r="I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>
        <f>IF(A198="","",SUMIF(A:A,A198,E:E))</f>
        <v/>
      </c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>
        <f>IF(A199="","",SUMIF(A:A,A199,E:E))</f>
        <v/>
      </c>
      <c r="I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>
        <f>IF(A200="","",SUMIF(A:A,A200,E:E))</f>
        <v/>
      </c>
      <c r="I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>
        <f>IF(A201="","",SUMIF(A:A,A201,E:E))</f>
        <v/>
      </c>
      <c r="I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>
        <f>IF(A202="","",SUMIF(A:A,A202,E:E))</f>
        <v/>
      </c>
      <c r="I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>
        <f>IF(A203="","",SUMIF(A:A,A203,E:E))</f>
        <v/>
      </c>
      <c r="I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>
        <f>IF(A204="","",SUMIF(A:A,A204,E:E))</f>
        <v/>
      </c>
      <c r="I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>
        <f>IF(A205="","",SUMIF(A:A,A205,E:E))</f>
        <v/>
      </c>
      <c r="I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>
        <f>IF(A206="","",SUMIF(A:A,A206,E:E))</f>
        <v/>
      </c>
      <c r="I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>
        <f>IF(A207="","",SUMIF(A:A,A207,E:E))</f>
        <v/>
      </c>
      <c r="I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>
        <f>IF(A208="","",SUMIF(A:A,A208,E:E))</f>
        <v/>
      </c>
      <c r="I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>
        <f>IF(A209="","",SUMIF(A:A,A209,E:E))</f>
        <v/>
      </c>
      <c r="I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>
        <f>IF(A210="","",SUMIF(A:A,A210,E:E))</f>
        <v/>
      </c>
      <c r="I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>
        <f>IF(A211="","",SUMIF(A:A,A211,E:E))</f>
        <v/>
      </c>
      <c r="I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>
        <f>IF(A212="","",SUMIF(A:A,A212,E:E))</f>
        <v/>
      </c>
      <c r="I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>
        <f>IF(A213="","",SUMIF(A:A,A213,E:E))</f>
        <v/>
      </c>
      <c r="I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>
        <f>IF(A214="","",SUMIF(A:A,A214,E:E))</f>
        <v/>
      </c>
      <c r="I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>
        <f>IF(A215="","",SUMIF(A:A,A215,E:E))</f>
        <v/>
      </c>
      <c r="I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>
        <f>IF(A216="","",SUMIF(A:A,A216,E:E))</f>
        <v/>
      </c>
      <c r="I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>
        <f>IF(A217="","",SUMIF(A:A,A217,E:E))</f>
        <v/>
      </c>
      <c r="I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>
        <f>IF(A218="","",SUMIF(A:A,A218,E:E))</f>
        <v/>
      </c>
      <c r="I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>
        <f>IF(A219="","",SUMIF(A:A,A219,E:E))</f>
        <v/>
      </c>
      <c r="I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>
        <f>IF(A220="","",SUMIF(A:A,A220,E:E))</f>
        <v/>
      </c>
      <c r="I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>
        <f>IF(A221="","",SUMIF(A:A,A221,E:E))</f>
        <v/>
      </c>
      <c r="I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>
        <f>IF(A222="","",SUMIF(A:A,A222,E:E))</f>
        <v/>
      </c>
      <c r="I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>
        <f>IF(A223="","",SUMIF(A:A,A223,E:E))</f>
        <v/>
      </c>
      <c r="I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>
        <f>IF(A224="","",SUMIF(A:A,A224,E:E))</f>
        <v/>
      </c>
      <c r="I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>
        <f>IF(A225="","",SUMIF(A:A,A225,E:E))</f>
        <v/>
      </c>
      <c r="I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>
        <f>IF(A226="","",SUMIF(A:A,A226,E:E))</f>
        <v/>
      </c>
      <c r="I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>
        <f>IF(A227="","",SUMIF(A:A,A227,E:E))</f>
        <v/>
      </c>
      <c r="I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>
        <f>IF(A228="","",SUMIF(A:A,A228,E:E))</f>
        <v/>
      </c>
      <c r="I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>
        <f>IF(A229="","",SUMIF(A:A,A229,E:E))</f>
        <v/>
      </c>
      <c r="I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>
        <f>IF(A230="","",SUMIF(A:A,A230,E:E))</f>
        <v/>
      </c>
      <c r="I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>
        <f>IF(A231="","",SUMIF(A:A,A231,E:E))</f>
        <v/>
      </c>
      <c r="I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>
        <f>IF(A232="","",SUMIF(A:A,A232,E:E))</f>
        <v/>
      </c>
      <c r="I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>
        <f>IF(A233="","",SUMIF(A:A,A233,E:E))</f>
        <v/>
      </c>
      <c r="I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>
        <f>IF(A234="","",SUMIF(A:A,A234,E:E))</f>
        <v/>
      </c>
      <c r="I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>
        <f>IF(A235="","",SUMIF(A:A,A235,E:E))</f>
        <v/>
      </c>
      <c r="I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>
        <f>IF(A236="","",SUMIF(A:A,A236,E:E))</f>
        <v/>
      </c>
      <c r="I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>
        <f>IF(A237="","",SUMIF(A:A,A237,E:E))</f>
        <v/>
      </c>
      <c r="I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>
        <f>IF(A238="","",SUMIF(A:A,A238,E:E))</f>
        <v/>
      </c>
      <c r="I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>
        <f>IF(A239="","",SUMIF(A:A,A239,E:E))</f>
        <v/>
      </c>
      <c r="I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>
        <f>IF(A240="","",SUMIF(A:A,A240,E:E))</f>
        <v/>
      </c>
      <c r="I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>
        <f>IF(A241="","",SUMIF(A:A,A241,E:E))</f>
        <v/>
      </c>
      <c r="I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>
        <f>IF(A242="","",SUMIF(A:A,A242,E:E))</f>
        <v/>
      </c>
      <c r="I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>
        <f>IF(A243="","",SUMIF(A:A,A243,E:E))</f>
        <v/>
      </c>
      <c r="I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>
        <f>IF(A244="","",SUMIF(A:A,A244,E:E))</f>
        <v/>
      </c>
      <c r="I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>
        <f>IF(A245="","",SUMIF(A:A,A245,E:E))</f>
        <v/>
      </c>
      <c r="I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>
        <f>IF(A246="","",SUMIF(A:A,A246,E:E))</f>
        <v/>
      </c>
      <c r="I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>
        <f>IF(A247="","",SUMIF(A:A,A247,E:E))</f>
        <v/>
      </c>
      <c r="I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>
        <f>IF(A248="","",SUMIF(A:A,A248,E:E))</f>
        <v/>
      </c>
      <c r="I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>
        <f>IF(A249="","",SUMIF(A:A,A249,E:E))</f>
        <v/>
      </c>
      <c r="I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>
        <f>IF(A250="","",SUMIF(A:A,A250,E:E))</f>
        <v/>
      </c>
      <c r="I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>
        <f>IF(A251="","",SUMIF(A:A,A251,E:E))</f>
        <v/>
      </c>
      <c r="I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>
        <f>IF(A252="","",SUMIF(A:A,A252,E:E))</f>
        <v/>
      </c>
      <c r="I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>
        <f>IF(A253="","",SUMIF(A:A,A253,E:E))</f>
        <v/>
      </c>
      <c r="I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>
        <f>IF(A254="","",SUMIF(A:A,A254,E:E))</f>
        <v/>
      </c>
      <c r="I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>
        <f>IF(A255="","",SUMIF(A:A,A255,E:E))</f>
        <v/>
      </c>
      <c r="I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>
        <f>IF(A256="","",SUMIF(A:A,A256,E:E))</f>
        <v/>
      </c>
      <c r="I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>
        <f>IF(A257="","",SUMIF(A:A,A257,E:E))</f>
        <v/>
      </c>
      <c r="I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>
        <f>IF(A258="","",SUMIF(A:A,A258,E:E))</f>
        <v/>
      </c>
      <c r="I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>
        <f>IF(A259="","",SUMIF(A:A,A259,E:E))</f>
        <v/>
      </c>
      <c r="I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>
        <f>IF(A260="","",SUMIF(A:A,A260,E:E))</f>
        <v/>
      </c>
      <c r="I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>
        <f>IF(A261="","",SUMIF(A:A,A261,E:E))</f>
        <v/>
      </c>
      <c r="I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>
        <f>IF(A262="","",SUMIF(A:A,A262,E:E))</f>
        <v/>
      </c>
      <c r="I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>
        <f>IF(A263="","",SUMIF(A:A,A263,E:E))</f>
        <v/>
      </c>
      <c r="I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>
        <f>IF(A264="","",SUMIF(A:A,A264,E:E))</f>
        <v/>
      </c>
      <c r="I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>
        <f>IF(A265="","",SUMIF(A:A,A265,E:E))</f>
        <v/>
      </c>
      <c r="I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>
        <f>IF(A266="","",SUMIF(A:A,A266,E:E))</f>
        <v/>
      </c>
      <c r="I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>
        <f>IF(A267="","",SUMIF(A:A,A267,E:E))</f>
        <v/>
      </c>
      <c r="I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>
        <f>IF(A268="","",SUMIF(A:A,A268,E:E))</f>
        <v/>
      </c>
      <c r="I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>
        <f>IF(A269="","",SUMIF(A:A,A269,E:E))</f>
        <v/>
      </c>
      <c r="I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>
        <f>IF(A270="","",SUMIF(A:A,A270,E:E))</f>
        <v/>
      </c>
      <c r="I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>
        <f>IF(A271="","",SUMIF(A:A,A271,E:E))</f>
        <v/>
      </c>
      <c r="I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>
        <f>IF(A272="","",SUMIF(A:A,A272,E:E))</f>
        <v/>
      </c>
      <c r="I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>
        <f>IF(A273="","",SUMIF(A:A,A273,E:E))</f>
        <v/>
      </c>
      <c r="I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>
        <f>IF(A274="","",SUMIF(A:A,A274,E:E))</f>
        <v/>
      </c>
      <c r="I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>
        <f>IF(A275="","",SUMIF(A:A,A275,E:E))</f>
        <v/>
      </c>
      <c r="I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>
        <f>IF(A276="","",SUMIF(A:A,A276,E:E))</f>
        <v/>
      </c>
      <c r="I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>
        <f>IF(A277="","",SUMIF(A:A,A277,E:E))</f>
        <v/>
      </c>
      <c r="I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>
        <f>IF(A278="","",SUMIF(A:A,A278,E:E))</f>
        <v/>
      </c>
      <c r="I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>
        <f>IF(A279="","",SUMIF(A:A,A279,E:E))</f>
        <v/>
      </c>
      <c r="I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>
        <f>IF(A280="","",SUMIF(A:A,A280,E:E))</f>
        <v/>
      </c>
      <c r="I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>
        <f>IF(A281="","",SUMIF(A:A,A281,E:E))</f>
        <v/>
      </c>
      <c r="I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>
        <f>IF(A282="","",SUMIF(A:A,A282,E:E))</f>
        <v/>
      </c>
      <c r="I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>
        <f>IF(A283="","",SUMIF(A:A,A283,E:E))</f>
        <v/>
      </c>
      <c r="I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>
        <f>IF(A284="","",SUMIF(A:A,A284,E:E))</f>
        <v/>
      </c>
      <c r="I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>
        <f>IF(A285="","",SUMIF(A:A,A285,E:E))</f>
        <v/>
      </c>
      <c r="I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>
        <f>IF(A286="","",SUMIF(A:A,A286,E:E))</f>
        <v/>
      </c>
      <c r="I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>
        <f>IF(A287="","",SUMIF(A:A,A287,E:E))</f>
        <v/>
      </c>
      <c r="I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>
        <f>IF(A288="","",SUMIF(A:A,A288,E:E))</f>
        <v/>
      </c>
      <c r="I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>
        <f>IF(A289="","",SUMIF(A:A,A289,E:E))</f>
        <v/>
      </c>
      <c r="I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>
        <f>IF(A290="","",SUMIF(A:A,A290,E:E))</f>
        <v/>
      </c>
      <c r="I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>
        <f>IF(A291="","",SUMIF(A:A,A291,E:E))</f>
        <v/>
      </c>
      <c r="I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>
        <f>IF(A292="","",SUMIF(A:A,A292,E:E))</f>
        <v/>
      </c>
      <c r="I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>
        <f>IF(A293="","",SUMIF(A:A,A293,E:E))</f>
        <v/>
      </c>
      <c r="I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>
        <f>IF(A294="","",SUMIF(A:A,A294,E:E))</f>
        <v/>
      </c>
      <c r="I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>
        <f>IF(A295="","",SUMIF(A:A,A295,E:E))</f>
        <v/>
      </c>
      <c r="I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>
        <f>IF(A296="","",SUMIF(A:A,A296,E:E))</f>
        <v/>
      </c>
      <c r="I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>
        <f>IF(A297="","",SUMIF(A:A,A297,E:E))</f>
        <v/>
      </c>
      <c r="I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>
        <f>IF(A298="","",SUMIF(A:A,A298,E:E))</f>
        <v/>
      </c>
      <c r="I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>
        <f>IF(A299="","",SUMIF(A:A,A299,E:E))</f>
        <v/>
      </c>
      <c r="I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>
        <f>IF(A300="","",SUMIF(A:A,A300,E:E))</f>
        <v/>
      </c>
      <c r="I300" s="8" t="n"/>
    </row>
  </sheetData>
  <autoFilter ref="A1:I300"/>
  <dataValidations count="2">
    <dataValidation sqref="A2:A300" showDropDown="0" showInputMessage="0" showErrorMessage="1" allowBlank="1" errorTitle="Invalid selection" error="Select from the dropdown list." type="list">
      <formula1>"Priya Nair,Arjun Patel,Leena Das,Nikhil Verma,Imran Ali,Riya Sen,Sara Thomas,Ananya Rao,Rohit Menon,Meera Iyer,Vikram Shah"</formula1>
    </dataValidation>
    <dataValidation sqref="C2:C300" showDropDown="0" showInputMessage="0" showErrorMessage="1" allowBlank="1" errorTitle="Invalid selection" error="Select from the dropdown list." type="list">
      <formula1>"PRJ-001,PRJ-002,PRJ-003,PRJ-004"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6" customWidth="1" min="4" max="4"/>
    <col width="18" customWidth="1" min="5" max="5"/>
    <col width="34" customWidth="1" min="6" max="6"/>
    <col width="19" customWidth="1" min="7" max="7"/>
    <col width="19" customWidth="1" min="8" max="8"/>
    <col width="15" customWidth="1" min="9" max="9"/>
    <col width="13" customWidth="1" min="10" max="10"/>
    <col width="34" customWidth="1" min="11" max="11"/>
  </cols>
  <sheetData>
    <row r="1">
      <c r="A1" s="6" t="inlineStr">
        <is>
          <t>CR ID</t>
        </is>
      </c>
      <c r="B1" s="6" t="inlineStr">
        <is>
          <t>Project ID</t>
        </is>
      </c>
      <c r="C1" s="6" t="inlineStr">
        <is>
          <t>Change Description</t>
        </is>
      </c>
      <c r="D1" s="6" t="inlineStr">
        <is>
          <t>Requested By</t>
        </is>
      </c>
      <c r="E1" s="6" t="inlineStr">
        <is>
          <t>Requested Date</t>
        </is>
      </c>
      <c r="F1" s="6" t="inlineStr">
        <is>
          <t>Impact Analysis</t>
        </is>
      </c>
      <c r="G1" s="6" t="inlineStr">
        <is>
          <t>Effort Estimate</t>
        </is>
      </c>
      <c r="H1" s="6" t="inlineStr">
        <is>
          <t>Approval Status</t>
        </is>
      </c>
      <c r="I1" s="6" t="inlineStr">
        <is>
          <t>Target Date</t>
        </is>
      </c>
      <c r="J1" s="6" t="inlineStr">
        <is>
          <t>Status</t>
        </is>
      </c>
      <c r="K1" s="6" t="inlineStr">
        <is>
          <t>Remarks</t>
        </is>
      </c>
    </row>
    <row r="2">
      <c r="A2" s="8" t="inlineStr">
        <is>
          <t>CR-001</t>
        </is>
      </c>
      <c r="B2" s="8" t="inlineStr">
        <is>
          <t>PRJ-001</t>
        </is>
      </c>
      <c r="C2" s="8" t="inlineStr">
        <is>
          <t>Add transaction nickname field</t>
        </is>
      </c>
      <c r="D2" s="8" t="inlineStr">
        <is>
          <t>Business</t>
        </is>
      </c>
      <c r="E2" s="9" t="n">
        <v>46152</v>
      </c>
      <c r="F2" s="8" t="inlineStr">
        <is>
          <t>Medium UI/API impact</t>
        </is>
      </c>
      <c r="G2" s="8" t="inlineStr">
        <is>
          <t>6 days</t>
        </is>
      </c>
      <c r="H2" s="8" t="inlineStr">
        <is>
          <t>Approved</t>
        </is>
      </c>
      <c r="I2" s="9" t="n">
        <v>46193</v>
      </c>
      <c r="J2" s="8" t="inlineStr">
        <is>
          <t>In Progress</t>
        </is>
      </c>
      <c r="K2" s="8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autoFilter ref="A1:K300"/>
  <conditionalFormatting sqref="A2:K300">
    <cfRule type="expression" priority="1" dxfId="2">
      <formula>$J2="Completed"</formula>
    </cfRule>
    <cfRule type="expression" priority="2" dxfId="1">
      <formula>OR($J2="Delayed",$J2="Blocked",$J2="Open")</formula>
    </cfRule>
    <cfRule type="expression" priority="3" dxfId="3">
      <formula>OR($J2="At Risk",$J2="In Progress")</formula>
    </cfRule>
  </conditionalFormatting>
  <dataValidations count="3">
    <dataValidation sqref="B2:B300" showDropDown="0" showInputMessage="0" showErrorMessage="1" allowBlank="1" errorTitle="Invalid selection" error="Select from the dropdown list." type="list">
      <formula1>"PRJ-001,PRJ-002,PRJ-003,PRJ-004"</formula1>
    </dataValidation>
    <dataValidation sqref="H2:H300" showDropDown="0" showInputMessage="0" showErrorMessage="1" allowBlank="1" errorTitle="Invalid selection" error="Select from the dropdown list." type="list">
      <formula1>"Pending,Approved,Rejected,Deferred"</formula1>
    </dataValidation>
    <dataValidation sqref="J2:J300" showDropDown="0" showInputMessage="0" showErrorMessage="1" allowBlank="1" errorTitle="Invalid selection" error="Select from the dropdown list." type="list">
      <formula1>"Not Started,In Progress,Blocked,Completed,Delayed,Deferred"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34" customWidth="1" min="10" max="10"/>
  </cols>
  <sheetData>
    <row r="1">
      <c r="A1" s="6" t="inlineStr">
        <is>
          <t>Test Case ID</t>
        </is>
      </c>
      <c r="B1" s="6" t="inlineStr">
        <is>
          <t>Project ID</t>
        </is>
      </c>
      <c r="C1" s="6" t="inlineStr">
        <is>
          <t>Module</t>
        </is>
      </c>
      <c r="D1" s="6" t="inlineStr">
        <is>
          <t>Test Scenario</t>
        </is>
      </c>
      <c r="E1" s="6" t="inlineStr">
        <is>
          <t>Tester</t>
        </is>
      </c>
      <c r="F1" s="6" t="inlineStr">
        <is>
          <t>Test Date</t>
        </is>
      </c>
      <c r="G1" s="6" t="inlineStr">
        <is>
          <t>Result</t>
        </is>
      </c>
      <c r="H1" s="6" t="inlineStr">
        <is>
          <t>Defect ID</t>
        </is>
      </c>
      <c r="I1" s="6" t="inlineStr">
        <is>
          <t>Retest Status</t>
        </is>
      </c>
      <c r="J1" s="6" t="inlineStr">
        <is>
          <t>Remarks</t>
        </is>
      </c>
    </row>
    <row r="2">
      <c r="A2" s="8" t="inlineStr">
        <is>
          <t>TC-001</t>
        </is>
      </c>
      <c r="B2" s="8" t="inlineStr">
        <is>
          <t>PRJ-001</t>
        </is>
      </c>
      <c r="C2" s="8" t="inlineStr">
        <is>
          <t>Payments</t>
        </is>
      </c>
      <c r="D2" s="8" t="inlineStr">
        <is>
          <t>Verify successful UPI payment</t>
        </is>
      </c>
      <c r="E2" s="8" t="inlineStr">
        <is>
          <t>QA Analyst 1</t>
        </is>
      </c>
      <c r="F2" s="9" t="n">
        <v>46175</v>
      </c>
      <c r="G2" s="8" t="inlineStr">
        <is>
          <t>Fail</t>
        </is>
      </c>
      <c r="H2" s="8" t="inlineStr">
        <is>
          <t>ISS-001</t>
        </is>
      </c>
      <c r="I2" s="8" t="inlineStr">
        <is>
          <t>Pending</t>
        </is>
      </c>
      <c r="J2" s="8" t="inlineStr">
        <is>
          <t>Timeout observed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</row>
  </sheetData>
  <autoFilter ref="A1:J300"/>
  <dataValidations count="3">
    <dataValidation sqref="B2:B300" showDropDown="0" showInputMessage="0" showErrorMessage="1" allowBlank="1" errorTitle="Invalid selection" error="Select from the dropdown list." type="list">
      <formula1>"PRJ-001,PRJ-002,PRJ-003,PRJ-004"</formula1>
    </dataValidation>
    <dataValidation sqref="G2:G300" showDropDown="0" showInputMessage="0" showErrorMessage="1" allowBlank="1" errorTitle="Invalid selection" error="Select from the dropdown list." type="list">
      <formula1>"Not Run,Pass,Fail,Blocked"</formula1>
    </dataValidation>
    <dataValidation sqref="I2:I300" showDropDown="0" showInputMessage="0" showErrorMessage="1" allowBlank="1" errorTitle="Invalid selection" error="Select from the dropdown list." type="list">
      <formula1>"Pending,Pass,Fail,Not Required"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9" customWidth="1" min="4" max="4"/>
    <col width="13" customWidth="1" min="5" max="5"/>
    <col width="15" customWidth="1" min="6" max="6"/>
    <col width="21" customWidth="1" min="7" max="7"/>
    <col width="21" customWidth="1" min="8" max="8"/>
    <col width="34" customWidth="1" min="9" max="9"/>
  </cols>
  <sheetData>
    <row r="1">
      <c r="A1" s="6" t="inlineStr">
        <is>
          <t>Deployment ID</t>
        </is>
      </c>
      <c r="B1" s="6" t="inlineStr">
        <is>
          <t>Project ID</t>
        </is>
      </c>
      <c r="C1" s="6" t="inlineStr">
        <is>
          <t>Environment</t>
        </is>
      </c>
      <c r="D1" s="6" t="inlineStr">
        <is>
          <t>Deployment Date</t>
        </is>
      </c>
      <c r="E1" s="6" t="inlineStr">
        <is>
          <t>Version</t>
        </is>
      </c>
      <c r="F1" s="6" t="inlineStr">
        <is>
          <t>Deployed By</t>
        </is>
      </c>
      <c r="G1" s="6" t="inlineStr">
        <is>
          <t>Deployment Status</t>
        </is>
      </c>
      <c r="H1" s="6" t="inlineStr">
        <is>
          <t>Rollback Required</t>
        </is>
      </c>
      <c r="I1" s="6" t="inlineStr">
        <is>
          <t>Remarks</t>
        </is>
      </c>
    </row>
    <row r="2">
      <c r="A2" s="8" t="inlineStr">
        <is>
          <t>DEP-001</t>
        </is>
      </c>
      <c r="B2" s="8" t="inlineStr">
        <is>
          <t>PRJ-003</t>
        </is>
      </c>
      <c r="C2" s="8" t="inlineStr">
        <is>
          <t>Production</t>
        </is>
      </c>
      <c r="D2" s="9" t="n">
        <v>46148</v>
      </c>
      <c r="E2" s="8" t="inlineStr">
        <is>
          <t>v1.0.0</t>
        </is>
      </c>
      <c r="F2" s="8" t="inlineStr">
        <is>
          <t>Release Manager</t>
        </is>
      </c>
      <c r="G2" s="8" t="inlineStr">
        <is>
          <t>Completed</t>
        </is>
      </c>
      <c r="H2" s="8" t="inlineStr">
        <is>
          <t>No</t>
        </is>
      </c>
      <c r="I2" s="8" t="inlineStr">
        <is>
          <t>Successful release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</row>
  </sheetData>
  <autoFilter ref="A1:I200"/>
  <conditionalFormatting sqref="A2:I200">
    <cfRule type="expression" priority="1" dxfId="2">
      <formula>$G2="Completed"</formula>
    </cfRule>
    <cfRule type="expression" priority="2" dxfId="1">
      <formula>OR($G2="Delayed",$G2="Blocked",$G2="Open")</formula>
    </cfRule>
    <cfRule type="expression" priority="3" dxfId="3">
      <formula>OR($G2="At Risk",$G2="In Progress")</formula>
    </cfRule>
  </conditionalFormatting>
  <dataValidations count="4">
    <dataValidation sqref="B2:B200" showDropDown="0" showInputMessage="0" showErrorMessage="1" allowBlank="1" errorTitle="Invalid selection" error="Select from the dropdown list." type="list">
      <formula1>"PRJ-001,PRJ-002,PRJ-003,PRJ-004"</formula1>
    </dataValidation>
    <dataValidation sqref="C2:C200" showDropDown="0" showInputMessage="0" showErrorMessage="1" allowBlank="1" errorTitle="Invalid selection" error="Select from the dropdown list." type="list">
      <formula1>"Development,SIT,UAT,Pre-Production,Production,DR"</formula1>
    </dataValidation>
    <dataValidation sqref="G2:G200" showDropDown="0" showInputMessage="0" showErrorMessage="1" allowBlank="1" errorTitle="Invalid selection" error="Select from the dropdown list." type="list">
      <formula1>"Planned,Successful,Failed,Rolled Back,Completed"</formula1>
    </dataValidation>
    <dataValidation sqref="H2:H200" showDropDown="0" showInputMessage="0" showErrorMessage="1" allowBlank="1" errorTitle="Invalid selection" error="Select from the dropdown list." type="list">
      <formula1>"Yes,No"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16" customWidth="1" min="10" max="10"/>
    <col width="19" customWidth="1" min="11" max="11"/>
    <col width="16" customWidth="1" min="12" max="12"/>
    <col width="16" customWidth="1" min="13" max="13"/>
    <col width="16" customWidth="1" min="14" max="14"/>
    <col width="19" customWidth="1" min="15" max="15"/>
    <col width="16" customWidth="1" min="16" max="16"/>
    <col width="16" customWidth="1" min="17" max="17"/>
  </cols>
  <sheetData>
    <row r="1">
      <c r="A1" s="5" t="inlineStr">
        <is>
          <t>Project Status</t>
        </is>
      </c>
      <c r="B1" s="5" t="inlineStr">
        <is>
          <t>Task Status</t>
        </is>
      </c>
      <c r="C1" s="5" t="inlineStr">
        <is>
          <t>Milestone Status</t>
        </is>
      </c>
      <c r="D1" s="5" t="inlineStr">
        <is>
          <t>Issue Status</t>
        </is>
      </c>
      <c r="E1" s="5" t="inlineStr">
        <is>
          <t>Priority</t>
        </is>
      </c>
      <c r="F1" s="5" t="inlineStr">
        <is>
          <t>Risk Level</t>
        </is>
      </c>
      <c r="G1" s="5" t="inlineStr">
        <is>
          <t>Severity</t>
        </is>
      </c>
      <c r="H1" s="5" t="inlineStr">
        <is>
          <t>Approval Status</t>
        </is>
      </c>
      <c r="I1" s="5" t="inlineStr">
        <is>
          <t>Test Result</t>
        </is>
      </c>
      <c r="J1" s="5" t="inlineStr">
        <is>
          <t>Retest Status</t>
        </is>
      </c>
      <c r="K1" s="5" t="inlineStr">
        <is>
          <t>Deployment Status</t>
        </is>
      </c>
      <c r="L1" s="5" t="inlineStr">
        <is>
          <t>Yes No</t>
        </is>
      </c>
      <c r="M1" s="5" t="inlineStr">
        <is>
          <t>Phase</t>
        </is>
      </c>
      <c r="N1" s="5" t="inlineStr">
        <is>
          <t>Environment</t>
        </is>
      </c>
      <c r="O1" s="5" t="inlineStr">
        <is>
          <t>ImpactProbability</t>
        </is>
      </c>
      <c r="P1" s="5" t="inlineStr">
        <is>
          <t>People</t>
        </is>
      </c>
      <c r="Q1" s="5" t="inlineStr">
        <is>
          <t>Project IDs</t>
        </is>
      </c>
    </row>
    <row r="2">
      <c r="A2" t="inlineStr">
        <is>
          <t>Not Started</t>
        </is>
      </c>
      <c r="B2" t="inlineStr">
        <is>
          <t>Not Started</t>
        </is>
      </c>
      <c r="C2" t="inlineStr">
        <is>
          <t>Not Started</t>
        </is>
      </c>
      <c r="D2" t="inlineStr">
        <is>
          <t>Open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Pending</t>
        </is>
      </c>
      <c r="I2" t="inlineStr">
        <is>
          <t>Not Run</t>
        </is>
      </c>
      <c r="J2" t="inlineStr">
        <is>
          <t>Pending</t>
        </is>
      </c>
      <c r="K2" t="inlineStr">
        <is>
          <t>Planned</t>
        </is>
      </c>
      <c r="L2" t="inlineStr">
        <is>
          <t>Yes</t>
        </is>
      </c>
      <c r="M2" t="inlineStr">
        <is>
          <t>Initiation</t>
        </is>
      </c>
      <c r="N2" t="inlineStr">
        <is>
          <t>Development</t>
        </is>
      </c>
      <c r="O2" t="inlineStr">
        <is>
          <t>1</t>
        </is>
      </c>
      <c r="P2" t="inlineStr">
        <is>
          <t>Priya Nair</t>
        </is>
      </c>
      <c r="Q2" t="inlineStr">
        <is>
          <t>PRJ-001</t>
        </is>
      </c>
    </row>
    <row r="3">
      <c r="A3" t="inlineStr">
        <is>
          <t>Active</t>
        </is>
      </c>
      <c r="B3" t="inlineStr">
        <is>
          <t>In Progress</t>
        </is>
      </c>
      <c r="C3" t="inlineStr">
        <is>
          <t>In Progress</t>
        </is>
      </c>
      <c r="D3" t="inlineStr">
        <is>
          <t>In Progress</t>
        </is>
      </c>
      <c r="E3" t="inlineStr">
        <is>
          <t>Medium</t>
        </is>
      </c>
      <c r="F3" t="inlineStr">
        <is>
          <t>Medium</t>
        </is>
      </c>
      <c r="G3" t="inlineStr">
        <is>
          <t>Medium</t>
        </is>
      </c>
      <c r="H3" t="inlineStr">
        <is>
          <t>Approved</t>
        </is>
      </c>
      <c r="I3" t="inlineStr">
        <is>
          <t>Pass</t>
        </is>
      </c>
      <c r="J3" t="inlineStr">
        <is>
          <t>Pass</t>
        </is>
      </c>
      <c r="K3" t="inlineStr">
        <is>
          <t>Successful</t>
        </is>
      </c>
      <c r="L3" t="inlineStr">
        <is>
          <t>No</t>
        </is>
      </c>
      <c r="M3" t="inlineStr">
        <is>
          <t>Requirements</t>
        </is>
      </c>
      <c r="N3" t="inlineStr">
        <is>
          <t>SIT</t>
        </is>
      </c>
      <c r="O3" t="inlineStr">
        <is>
          <t>2</t>
        </is>
      </c>
      <c r="P3" t="inlineStr">
        <is>
          <t>Arjun Patel</t>
        </is>
      </c>
      <c r="Q3" t="inlineStr">
        <is>
          <t>PRJ-002</t>
        </is>
      </c>
    </row>
    <row r="4">
      <c r="A4" t="inlineStr">
        <is>
          <t>On Hold</t>
        </is>
      </c>
      <c r="B4" t="inlineStr">
        <is>
          <t>Blocked</t>
        </is>
      </c>
      <c r="C4" t="inlineStr">
        <is>
          <t>Completed</t>
        </is>
      </c>
      <c r="D4" t="inlineStr">
        <is>
          <t>Resolved</t>
        </is>
      </c>
      <c r="E4" t="inlineStr">
        <is>
          <t>High</t>
        </is>
      </c>
      <c r="F4" t="inlineStr">
        <is>
          <t>High</t>
        </is>
      </c>
      <c r="G4" t="inlineStr">
        <is>
          <t>High</t>
        </is>
      </c>
      <c r="H4" t="inlineStr">
        <is>
          <t>Rejected</t>
        </is>
      </c>
      <c r="I4" t="inlineStr">
        <is>
          <t>Fail</t>
        </is>
      </c>
      <c r="J4" t="inlineStr">
        <is>
          <t>Fail</t>
        </is>
      </c>
      <c r="K4" t="inlineStr">
        <is>
          <t>Failed</t>
        </is>
      </c>
      <c r="M4" t="inlineStr">
        <is>
          <t>Design</t>
        </is>
      </c>
      <c r="N4" t="inlineStr">
        <is>
          <t>UAT</t>
        </is>
      </c>
      <c r="O4" t="inlineStr">
        <is>
          <t>3</t>
        </is>
      </c>
      <c r="P4" t="inlineStr">
        <is>
          <t>Leena Das</t>
        </is>
      </c>
      <c r="Q4" t="inlineStr">
        <is>
          <t>PRJ-003</t>
        </is>
      </c>
    </row>
    <row r="5">
      <c r="A5" t="inlineStr">
        <is>
          <t>Completed</t>
        </is>
      </c>
      <c r="B5" t="inlineStr">
        <is>
          <t>Completed</t>
        </is>
      </c>
      <c r="C5" t="inlineStr">
        <is>
          <t>Delayed</t>
        </is>
      </c>
      <c r="D5" t="inlineStr">
        <is>
          <t>Closed</t>
        </is>
      </c>
      <c r="E5" t="inlineStr">
        <is>
          <t>Critical</t>
        </is>
      </c>
      <c r="F5" t="inlineStr">
        <is>
          <t>Critical</t>
        </is>
      </c>
      <c r="G5" t="inlineStr">
        <is>
          <t>Critical</t>
        </is>
      </c>
      <c r="H5" t="inlineStr">
        <is>
          <t>Deferred</t>
        </is>
      </c>
      <c r="I5" t="inlineStr">
        <is>
          <t>Blocked</t>
        </is>
      </c>
      <c r="J5" t="inlineStr">
        <is>
          <t>Not Required</t>
        </is>
      </c>
      <c r="K5" t="inlineStr">
        <is>
          <t>Rolled Back</t>
        </is>
      </c>
      <c r="M5" t="inlineStr">
        <is>
          <t>Development</t>
        </is>
      </c>
      <c r="N5" t="inlineStr">
        <is>
          <t>Pre-Production</t>
        </is>
      </c>
      <c r="O5" t="inlineStr">
        <is>
          <t>4</t>
        </is>
      </c>
      <c r="P5" t="inlineStr">
        <is>
          <t>Nikhil Verma</t>
        </is>
      </c>
      <c r="Q5" t="inlineStr">
        <is>
          <t>PRJ-004</t>
        </is>
      </c>
    </row>
    <row r="6">
      <c r="A6" t="inlineStr">
        <is>
          <t>Delayed</t>
        </is>
      </c>
      <c r="B6" t="inlineStr">
        <is>
          <t>Delayed</t>
        </is>
      </c>
      <c r="C6" t="inlineStr">
        <is>
          <t>At Risk</t>
        </is>
      </c>
      <c r="D6" t="inlineStr">
        <is>
          <t>Reopened</t>
        </is>
      </c>
      <c r="K6" t="inlineStr">
        <is>
          <t>Completed</t>
        </is>
      </c>
      <c r="M6" t="inlineStr">
        <is>
          <t>Testing</t>
        </is>
      </c>
      <c r="N6" t="inlineStr">
        <is>
          <t>Production</t>
        </is>
      </c>
      <c r="O6" t="inlineStr">
        <is>
          <t>5</t>
        </is>
      </c>
      <c r="P6" t="inlineStr">
        <is>
          <t>Imran Ali</t>
        </is>
      </c>
    </row>
    <row r="7">
      <c r="A7" t="inlineStr">
        <is>
          <t>Cancelled</t>
        </is>
      </c>
      <c r="B7" t="inlineStr">
        <is>
          <t>Deferred</t>
        </is>
      </c>
      <c r="M7" t="inlineStr">
        <is>
          <t>UAT</t>
        </is>
      </c>
      <c r="N7" t="inlineStr">
        <is>
          <t>DR</t>
        </is>
      </c>
      <c r="P7" t="inlineStr">
        <is>
          <t>Riya Sen</t>
        </is>
      </c>
    </row>
    <row r="8">
      <c r="M8" t="inlineStr">
        <is>
          <t>Deployment</t>
        </is>
      </c>
      <c r="P8" t="inlineStr">
        <is>
          <t>Sara Thomas</t>
        </is>
      </c>
    </row>
    <row r="9">
      <c r="M9" t="inlineStr">
        <is>
          <t>Hypercare</t>
        </is>
      </c>
      <c r="P9" t="inlineStr">
        <is>
          <t>Ananya Rao</t>
        </is>
      </c>
    </row>
    <row r="10">
      <c r="M10" t="inlineStr">
        <is>
          <t>Closed</t>
        </is>
      </c>
      <c r="P10" t="inlineStr">
        <is>
          <t>Rohit Menon</t>
        </is>
      </c>
    </row>
    <row r="11">
      <c r="P11" t="inlineStr">
        <is>
          <t>Meera Iyer</t>
        </is>
      </c>
    </row>
    <row r="12">
      <c r="P12" t="inlineStr">
        <is>
          <t>Vikram Shah</t>
        </is>
      </c>
    </row>
    <row r="20">
      <c r="A20" s="11" t="inlineStr">
        <is>
          <t>Google Sheets note: after importing, use Data &gt; Create a filter if filter arrows are not shown automatically. Dropdowns use inline list validation for better import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2026-06-09T09:57:40Z</dcterms:created>
  <dcterms:modified xmlns:dcterms="http://purl.org/dc/terms/" xmlns:xsi="http://www.w3.org/2001/XMLSchema-instance" xsi:type="dcterms:W3CDTF">2026-06-09T09:57:43Z</dcterms:modified>
</cp:coreProperties>
</file>