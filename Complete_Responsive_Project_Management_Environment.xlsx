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4.xml" ContentType="application/vnd.openxmlformats-officedocument.spreadsheetml.table+xml"/>
  <Override PartName="/xl/worksheets/sheet26.xml" ContentType="application/vnd.openxmlformats-officedocument.spreadsheetml.worksheet+xml"/>
  <Override PartName="/xl/tables/table15.xml" ContentType="application/vnd.openxmlformats-officedocument.spreadsheetml.table+xml"/>
  <Override PartName="/xl/worksheets/sheet27.xml" ContentType="application/vnd.openxmlformats-officedocument.spreadsheetml.worksheet+xml"/>
  <Override PartName="/xl/tables/table16.xml" ContentType="application/vnd.openxmlformats-officedocument.spreadsheetml.table+xml"/>
  <Override PartName="/xl/worksheets/sheet28.xml" ContentType="application/vnd.openxmlformats-officedocument.spreadsheetml.worksheet+xml"/>
  <Override PartName="/xl/tables/table17.xml" ContentType="application/vnd.openxmlformats-officedocument.spreadsheetml.table+xml"/>
  <Override PartName="/xl/worksheets/sheet29.xml" ContentType="application/vnd.openxmlformats-officedocument.spreadsheetml.worksheet+xml"/>
  <Override PartName="/xl/tables/table18.xml" ContentType="application/vnd.openxmlformats-officedocument.spreadsheetml.table+xml"/>
  <Override PartName="/xl/worksheets/sheet30.xml" ContentType="application/vnd.openxmlformats-officedocument.spreadsheetml.worksheet+xml"/>
  <Override PartName="/xl/tables/table19.xml" ContentType="application/vnd.openxmlformats-officedocument.spreadsheetml.table+xml"/>
  <Override PartName="/xl/worksheets/sheet31.xml" ContentType="application/vnd.openxmlformats-officedocument.spreadsheetml.worksheet+xml"/>
  <Override PartName="/xl/tables/table20.xml" ContentType="application/vnd.openxmlformats-officedocument.spreadsheetml.table+xml"/>
  <Override PartName="/xl/worksheets/sheet32.xml" ContentType="application/vnd.openxmlformats-officedocument.spreadsheetml.worksheet+xml"/>
  <Override PartName="/xl/tables/table21.xml" ContentType="application/vnd.openxmlformats-officedocument.spreadsheetml.table+xml"/>
  <Override PartName="/xl/worksheets/sheet33.xml" ContentType="application/vnd.openxmlformats-officedocument.spreadsheetml.worksheet+xml"/>
  <Override PartName="/xl/tables/table22.xml" ContentType="application/vnd.openxmlformats-officedocument.spreadsheetml.table+xml"/>
  <Override PartName="/xl/worksheets/sheet34.xml" ContentType="application/vnd.openxmlformats-officedocument.spreadsheetml.worksheet+xml"/>
  <Override PartName="/xl/tables/table23.xml" ContentType="application/vnd.openxmlformats-officedocument.spreadsheetml.table+xml"/>
  <Override PartName="/xl/worksheets/sheet3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Portfolio_Dashboard" sheetId="2" state="visible" r:id="rId2"/>
    <sheet xmlns:r="http://schemas.openxmlformats.org/officeDocument/2006/relationships" name="Project_Workspace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Subtasks" sheetId="6" state="visible" r:id="rId6"/>
    <sheet xmlns:r="http://schemas.openxmlformats.org/officeDocument/2006/relationships" name="Milestones" sheetId="7" state="visible" r:id="rId7"/>
    <sheet xmlns:r="http://schemas.openxmlformats.org/officeDocument/2006/relationships" name="Issues" sheetId="8" state="visible" r:id="rId8"/>
    <sheet xmlns:r="http://schemas.openxmlformats.org/officeDocument/2006/relationships" name="Risks" sheetId="9" state="visible" r:id="rId9"/>
    <sheet xmlns:r="http://schemas.openxmlformats.org/officeDocument/2006/relationships" name="Timesheets" sheetId="10" state="visible" r:id="rId10"/>
    <sheet xmlns:r="http://schemas.openxmlformats.org/officeDocument/2006/relationships" name="Calendar" sheetId="11" state="visible" r:id="rId11"/>
    <sheet xmlns:r="http://schemas.openxmlformats.org/officeDocument/2006/relationships" name="Kanban_View" sheetId="12" state="visible" r:id="rId12"/>
    <sheet xmlns:r="http://schemas.openxmlformats.org/officeDocument/2006/relationships" name="Activity_Log" sheetId="13" state="visible" r:id="rId13"/>
    <sheet xmlns:r="http://schemas.openxmlformats.org/officeDocument/2006/relationships" name="Documents" sheetId="14" state="visible" r:id="rId14"/>
    <sheet xmlns:r="http://schemas.openxmlformats.org/officeDocument/2006/relationships" name="Users" sheetId="15" state="visible" r:id="rId15"/>
    <sheet xmlns:r="http://schemas.openxmlformats.org/officeDocument/2006/relationships" name="Teams" sheetId="16" state="visible" r:id="rId16"/>
    <sheet xmlns:r="http://schemas.openxmlformats.org/officeDocument/2006/relationships" name="Clients" sheetId="17" state="visible" r:id="rId17"/>
    <sheet xmlns:r="http://schemas.openxmlformats.org/officeDocument/2006/relationships" name="Reports" sheetId="18" state="visible" r:id="rId18"/>
    <sheet xmlns:r="http://schemas.openxmlformats.org/officeDocument/2006/relationships" name="Master_Management" sheetId="19" state="visible" r:id="rId19"/>
    <sheet xmlns:r="http://schemas.openxmlformats.org/officeDocument/2006/relationships" name="Settings" sheetId="20" state="visible" r:id="rId20"/>
    <sheet xmlns:r="http://schemas.openxmlformats.org/officeDocument/2006/relationships" name="How_To_Use" sheetId="21" state="visible" r:id="rId21"/>
    <sheet xmlns:r="http://schemas.openxmlformats.org/officeDocument/2006/relationships" name="Executive_Dashboard" sheetId="22" state="visible" r:id="rId22"/>
    <sheet xmlns:r="http://schemas.openxmlformats.org/officeDocument/2006/relationships" name="Project_Command_Center" sheetId="23" state="visible" r:id="rId23"/>
    <sheet xmlns:r="http://schemas.openxmlformats.org/officeDocument/2006/relationships" name="Compact_Dashboard" sheetId="24" state="visible" r:id="rId24"/>
    <sheet xmlns:r="http://schemas.openxmlformats.org/officeDocument/2006/relationships" name="Project_Charter" sheetId="25" state="visible" r:id="rId25"/>
    <sheet xmlns:r="http://schemas.openxmlformats.org/officeDocument/2006/relationships" name="Deliverables" sheetId="26" state="visible" r:id="rId26"/>
    <sheet xmlns:r="http://schemas.openxmlformats.org/officeDocument/2006/relationships" name="Change_Requests" sheetId="27" state="visible" r:id="rId27"/>
    <sheet xmlns:r="http://schemas.openxmlformats.org/officeDocument/2006/relationships" name="Approvals" sheetId="28" state="visible" r:id="rId28"/>
    <sheet xmlns:r="http://schemas.openxmlformats.org/officeDocument/2006/relationships" name="RACI_Matrix" sheetId="29" state="visible" r:id="rId29"/>
    <sheet xmlns:r="http://schemas.openxmlformats.org/officeDocument/2006/relationships" name="Stakeholders" sheetId="30" state="visible" r:id="rId30"/>
    <sheet xmlns:r="http://schemas.openxmlformats.org/officeDocument/2006/relationships" name="Communication_Plan" sheetId="31" state="visible" r:id="rId31"/>
    <sheet xmlns:r="http://schemas.openxmlformats.org/officeDocument/2006/relationships" name="Meeting_Actions" sheetId="32" state="visible" r:id="rId32"/>
    <sheet xmlns:r="http://schemas.openxmlformats.org/officeDocument/2006/relationships" name="Decision_Log" sheetId="33" state="visible" r:id="rId33"/>
    <sheet xmlns:r="http://schemas.openxmlformats.org/officeDocument/2006/relationships" name="Lessons_Learned" sheetId="34" state="visible" r:id="rId34"/>
    <sheet xmlns:r="http://schemas.openxmlformats.org/officeDocument/2006/relationships" name="Data_Dictionary" sheetId="35" state="visible" r:id="rId35"/>
  </sheets>
  <definedNames>
    <definedName name="Project_Status">'Master_Management'!$A$6:$A$12</definedName>
    <definedName name="Task_Status">'Master_Management'!$B$6:$B$12</definedName>
    <definedName name="Priority">'Master_Management'!$C$6:$C$9</definedName>
    <definedName name="Health">'Master_Management'!$D$6:$D$11</definedName>
    <definedName name="Issue_Status">'Master_Management'!$E$6:$E$11</definedName>
    <definedName name="Issue_Type">'Master_Management'!$F$6:$F$11</definedName>
    <definedName name="Risk_Status">'Master_Management'!$G$6:$G$10</definedName>
    <definedName name="Billable">'Master_Management'!$H$6:$H$7</definedName>
    <definedName name="Department">'Master_Management'!$I$6:$I$15</definedName>
    <definedName name="Role">'Master_Management'!$J$6:$J$14</definedName>
    <definedName name="Activity_Type">'Master_Management'!$K$6:$K$12</definedName>
    <definedName name="Document_Type">'Master_Management'!$L$6:$L$13</definedName>
    <definedName name="UserIDs">'Users'!$A$6:$A$300</definedName>
    <definedName name="TeamIDs">'Teams'!$A$6:$A$200</definedName>
    <definedName name="ClientIDs">'Clients'!$A$6:$A$200</definedName>
    <definedName name="ProjectIDs">'Projects'!$A$6:$A$500</definedName>
    <definedName name="TaskIDs">'Tasks'!$A$6:$A$700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7085"/>
    </font>
    <font>
      <name val="Calibri"/>
      <family val="2"/>
      <color theme="10"/>
      <sz val="12"/>
      <scheme val="minor"/>
    </font>
    <font>
      <b val="1"/>
      <color rgb="00123A5A"/>
      <u val="single"/>
    </font>
    <font>
      <b val="1"/>
      <color rgb="00FFFFFF"/>
    </font>
    <font>
      <b val="1"/>
    </font>
    <font>
      <b val="1"/>
      <color rgb="002563EB"/>
      <sz val="20"/>
    </font>
    <font>
      <b val="1"/>
      <color rgb="00123A5A"/>
    </font>
    <font>
      <b val="1"/>
      <color rgb="000F766E"/>
      <sz val="20"/>
    </font>
    <font>
      <b val="1"/>
      <color rgb="00DC2626"/>
      <sz val="20"/>
    </font>
    <font>
      <b val="1"/>
      <color rgb="0016A34A"/>
      <sz val="20"/>
    </font>
    <font>
      <b val="1"/>
      <color rgb="00D97706"/>
      <sz val="20"/>
    </font>
    <font>
      <b val="1"/>
      <color rgb="008064A2"/>
      <sz val="20"/>
    </font>
    <font>
      <b val="1"/>
      <color rgb="00123A5A"/>
      <sz val="20"/>
    </font>
    <font>
      <b val="1"/>
      <color rgb="00F59E0B"/>
      <sz val="20"/>
    </font>
    <font>
      <b val="1"/>
      <color rgb="00123A5A"/>
      <sz val="12"/>
    </font>
    <font>
      <b val="1"/>
      <color rgb="00123A5A"/>
      <sz val="14"/>
    </font>
    <font>
      <b val="1"/>
      <color rgb="00123A5A"/>
      <sz val="16"/>
    </font>
    <font>
      <b val="1"/>
      <color rgb="002563EB"/>
      <u val="single"/>
    </font>
    <font>
      <b val="1"/>
      <color rgb="00123A5A"/>
      <sz val="18"/>
    </font>
  </fonts>
  <fills count="6">
    <fill>
      <patternFill/>
    </fill>
    <fill>
      <patternFill patternType="gray125"/>
    </fill>
    <fill>
      <patternFill patternType="solid">
        <fgColor rgb="00123A5A"/>
      </patternFill>
    </fill>
    <fill>
      <patternFill patternType="solid">
        <fgColor rgb="00EAF3F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1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1" applyAlignment="1" pivotButton="0" quotePrefix="0" xfId="1">
      <alignment vertical="center" wrapText="1"/>
    </xf>
    <xf numFmtId="0" fontId="7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14" fillId="5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9" fontId="16" fillId="0" borderId="1" applyAlignment="1" pivotButton="0" quotePrefix="0" xfId="0">
      <alignment vertical="center" wrapText="1"/>
    </xf>
    <xf numFmtId="9" fontId="5" fillId="2" borderId="1" applyAlignment="1" pivotButton="0" quotePrefix="0" xfId="0">
      <alignment vertical="center" wrapText="1"/>
    </xf>
    <xf numFmtId="3" fontId="5" fillId="2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1" applyAlignment="1" pivotButton="0" quotePrefix="0" xfId="0">
      <alignment vertical="center"/>
    </xf>
    <xf numFmtId="0" fontId="4" fillId="3" borderId="1" applyAlignment="1" pivotButton="0" quotePrefix="0" xfId="1">
      <alignment horizontal="center"/>
    </xf>
    <xf numFmtId="0" fontId="20" fillId="4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dxfs count="3"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ont>
        <b val="1"/>
        <color rgb="0016A34A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Health</a:t>
            </a:r>
          </a:p>
        </rich>
      </tx>
    </title>
    <plotArea>
      <pieChart>
        <varyColors val="1"/>
        <ser>
          <idx val="0"/>
          <order val="0"/>
          <tx>
            <strRef>
              <f>'Portfolio_Dashboard'!B17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'Portfolio_Dashboard'!$A$18:$A$23</f>
            </numRef>
          </cat>
          <val>
            <numRef>
              <f>'Portfolio_Dashboard'!$B$18:$B$23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User Active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'Portfolio_Dashboard'!K17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'Portfolio_Dashboard'!$J$18:$J$23</f>
            </numRef>
          </cat>
          <val>
            <numRef>
              <f>'Portfolio_Dashboard'!$K$18:$K$23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39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39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jects" displayName="tblProjects" ref="A5:U10" headerRowCount="1">
  <autoFilter ref="A5:U10"/>
  <tableColumns count="21">
    <tableColumn id="1" name="Project ID"/>
    <tableColumn id="2" name="Project Name"/>
    <tableColumn id="3" name="Client ID"/>
    <tableColumn id="4" name="Team ID"/>
    <tableColumn id="5" name="Project Manager"/>
    <tableColumn id="6" name="Start Date"/>
    <tableColumn id="7" name="End Date"/>
    <tableColumn id="8" name="Manual Status"/>
    <tableColumn id="9" name="Priority"/>
    <tableColumn id="10" name="Budget"/>
    <tableColumn id="11" name="Actual Cost"/>
    <tableColumn id="12" name="Task Count"/>
    <tableColumn id="13" name="Completed Tasks"/>
    <tableColumn id="14" name="Open Issues"/>
    <tableColumn id="15" name="Open Risks"/>
    <tableColumn id="16" name="Logged Hours"/>
    <tableColumn id="17" name="Progress %"/>
    <tableColumn id="18" name="Auto Health"/>
    <tableColumn id="19" name="Days Remaining"/>
    <tableColumn id="20" name="Project Group"/>
    <tableColumn id="2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asks" displayName="tblTasks" ref="A5:U15" headerRowCount="1">
  <autoFilter ref="A5:U15"/>
  <tableColumns count="21">
    <tableColumn id="1" name="Task ID"/>
    <tableColumn id="2" name="Project ID"/>
    <tableColumn id="3" name="Task Name"/>
    <tableColumn id="4" name="Category"/>
    <tableColumn id="5" name="Assigned User"/>
    <tableColumn id="6" name="Start Date"/>
    <tableColumn id="7" name="Due Date"/>
    <tableColumn id="8" name="Manual Status"/>
    <tableColumn id="9" name="Priority"/>
    <tableColumn id="10" name="Progress %"/>
    <tableColumn id="11" name="Depends On Task ID"/>
    <tableColumn id="12" name="Blocked?"/>
    <tableColumn id="13" name="Blocking Reason"/>
    <tableColumn id="14" name="Sprint / Phase"/>
    <tableColumn id="15" name="Subtask Count"/>
    <tableColumn id="16" name="Completed Subtasks"/>
    <tableColumn id="17" name="Issue Count"/>
    <tableColumn id="18" name="Logged Hours"/>
    <tableColumn id="19" name="Auto Health"/>
    <tableColumn id="20" name="Days Late"/>
    <tableColumn id="21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Subtasks" displayName="tblSubtasks" ref="A5:K10" headerRowCount="1">
  <autoFilter ref="A5:K10"/>
  <tableColumns count="11">
    <tableColumn id="1" name="Subtask ID"/>
    <tableColumn id="2" name="Parent Task ID"/>
    <tableColumn id="3" name="Project ID"/>
    <tableColumn id="4" name="Subtask Name"/>
    <tableColumn id="5" name="Assigned User"/>
    <tableColumn id="6" name="Due Date"/>
    <tableColumn id="7" name="Manual Status"/>
    <tableColumn id="8" name="Priority"/>
    <tableColumn id="9" name="Completion %"/>
    <tableColumn id="10" name="Auto Health"/>
    <tableColumn id="11" name="Days Late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Milestones" displayName="tblMilestones" ref="A5:I10" headerRowCount="1">
  <autoFilter ref="A5:I10"/>
  <tableColumns count="9">
    <tableColumn id="1" name="Milestone ID"/>
    <tableColumn id="2" name="Project ID"/>
    <tableColumn id="3" name="Milestone Name"/>
    <tableColumn id="4" name="Owner"/>
    <tableColumn id="5" name="Target Date"/>
    <tableColumn id="6" name="Manual Status"/>
    <tableColumn id="7" name="Priority"/>
    <tableColumn id="8" name="Auto Health"/>
    <tableColumn id="9" name="Days Remaining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Issues" displayName="tblIssues" ref="A5:M9" headerRowCount="1">
  <autoFilter ref="A5:M9"/>
  <tableColumns count="13">
    <tableColumn id="1" name="Issue ID"/>
    <tableColumn id="2" name="Project ID"/>
    <tableColumn id="3" name="Task ID"/>
    <tableColumn id="4" name="Type"/>
    <tableColumn id="5" name="Title"/>
    <tableColumn id="6" name="Owner"/>
    <tableColumn id="7" name="Priority"/>
    <tableColumn id="8" name="Status"/>
    <tableColumn id="9" name="Created Date"/>
    <tableColumn id="10" name="Due Date"/>
    <tableColumn id="11" name="Age Days"/>
    <tableColumn id="12" name="Auto Health"/>
    <tableColumn id="13" name="Note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blRisks" displayName="tblRisks" ref="A5:J9" headerRowCount="1">
  <autoFilter ref="A5:J9"/>
  <tableColumns count="10">
    <tableColumn id="1" name="Risk ID"/>
    <tableColumn id="2" name="Project ID"/>
    <tableColumn id="3" name="Risk Title"/>
    <tableColumn id="4" name="Owner"/>
    <tableColumn id="5" name="Probability"/>
    <tableColumn id="6" name="Impact"/>
    <tableColumn id="7" name="Severity"/>
    <tableColumn id="8" name="Mitigation"/>
    <tableColumn id="9" name="Status"/>
    <tableColumn id="10" name="Risk Score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Timesheets" displayName="tblTimesheets" ref="A5:H10" headerRowCount="1">
  <autoFilter ref="A5:H10"/>
  <tableColumns count="8">
    <tableColumn id="1" name="Entry ID"/>
    <tableColumn id="2" name="Project ID"/>
    <tableColumn id="3" name="Task ID"/>
    <tableColumn id="4" name="User ID"/>
    <tableColumn id="5" name="Work Date"/>
    <tableColumn id="6" name="Hours"/>
    <tableColumn id="7" name="Billable"/>
    <tableColumn id="8" name="Work Description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Activity" displayName="tblActivity" ref="A5:G9" headerRowCount="1">
  <autoFilter ref="A5:G9"/>
  <tableColumns count="7">
    <tableColumn id="1" name="Activity ID"/>
    <tableColumn id="2" name="Project ID"/>
    <tableColumn id="3" name="Task ID"/>
    <tableColumn id="4" name="Activity Type"/>
    <tableColumn id="5" name="User ID"/>
    <tableColumn id="6" name="Activity Date"/>
    <tableColumn id="7" name="Comment / Update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lDocuments" displayName="tblDocuments" ref="A5:G9" headerRowCount="1">
  <autoFilter ref="A5:G9"/>
  <tableColumns count="7">
    <tableColumn id="1" name="Document ID"/>
    <tableColumn id="2" name="Project ID"/>
    <tableColumn id="3" name="Document Type"/>
    <tableColumn id="4" name="Document Name"/>
    <tableColumn id="5" name="Owner"/>
    <tableColumn id="6" name="Upload Date"/>
    <tableColumn id="7" name="Link / Location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tblUsers" displayName="tblUsers" ref="A5:L11" headerRowCount="1">
  <autoFilter ref="A5:L11"/>
  <tableColumns count="12">
    <tableColumn id="1" name="User ID"/>
    <tableColumn id="2" name="Full Name"/>
    <tableColumn id="3" name="Email"/>
    <tableColumn id="4" name="Department"/>
    <tableColumn id="5" name="Role"/>
    <tableColumn id="6" name="Availability"/>
    <tableColumn id="7" name="Capacity Hours/Week"/>
    <tableColumn id="8" name="Assigned Tasks"/>
    <tableColumn id="9" name="Active Tasks"/>
    <tableColumn id="10" name="Overdue Tasks"/>
    <tableColumn id="11" name="Logged Hours"/>
    <tableColumn id="12" name="Utilization %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Teams" displayName="tblTeams" ref="A5:E8" headerRowCount="1">
  <autoFilter ref="A5:E8"/>
  <tableColumns count="5">
    <tableColumn id="1" name="Team ID"/>
    <tableColumn id="2" name="Team Name"/>
    <tableColumn id="3" name="Lead User"/>
    <tableColumn id="4" name="Department"/>
    <tableColumn id="5" name="Notes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blClients" displayName="tblClients" ref="A5:E9" headerRowCount="1">
  <autoFilter ref="A5:E9"/>
  <tableColumns count="5">
    <tableColumn id="1" name="Client ID"/>
    <tableColumn id="2" name="Client / Department"/>
    <tableColumn id="3" name="Type"/>
    <tableColumn id="4" name="Contact Name"/>
    <tableColumn id="5" name="Contact Email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tblSettings" displayName="tblSettings" ref="A5:B10" headerRowCount="1">
  <autoFilter ref="A5:B10"/>
  <tableColumns count="2">
    <tableColumn id="1" name="Company Name"/>
    <tableColumn id="2" name="Your Company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tblProjectCharter" displayName="tblProjectCharter" ref="A5:H7" headerRowCount="1">
  <autoFilter ref="A5:H7"/>
  <tableColumns count="8">
    <tableColumn id="1" name="Charter ID"/>
    <tableColumn id="2" name="Project ID"/>
    <tableColumn id="3" name="Business Objective"/>
    <tableColumn id="4" name="Scope Summary"/>
    <tableColumn id="5" name="Success Criteria"/>
    <tableColumn id="6" name="Sponsor"/>
    <tableColumn id="7" name="Approval Status"/>
    <tableColumn id="8" name="Approved Date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id="15" name="tblDeliverables" displayName="tblDeliverables" ref="A5:H8" headerRowCount="1">
  <autoFilter ref="A5:H8"/>
  <tableColumns count="8">
    <tableColumn id="1" name="Deliverable ID"/>
    <tableColumn id="2" name="Project ID"/>
    <tableColumn id="3" name="Deliverable"/>
    <tableColumn id="4" name="Owner"/>
    <tableColumn id="5" name="Due Date"/>
    <tableColumn id="6" name="Status"/>
    <tableColumn id="7" name="Acceptance Criteria"/>
    <tableColumn id="8" name="Approval Status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id="16" name="tblChangeRequests" displayName="tblChangeRequests" ref="A5:I7" headerRowCount="1">
  <autoFilter ref="A5:I7"/>
  <tableColumns count="9">
    <tableColumn id="1" name="Change ID"/>
    <tableColumn id="2" name="Project ID"/>
    <tableColumn id="3" name="Title"/>
    <tableColumn id="4" name="Requester"/>
    <tableColumn id="5" name="Request Date"/>
    <tableColumn id="6" name="Status"/>
    <tableColumn id="7" name="Priority"/>
    <tableColumn id="8" name="Estimated Cost"/>
    <tableColumn id="9" name="Reason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id="17" name="tblApprovals" displayName="tblApprovals" ref="A5:H8" headerRowCount="1">
  <autoFilter ref="A5:H8"/>
  <tableColumns count="8">
    <tableColumn id="1" name="Approval ID"/>
    <tableColumn id="2" name="Project ID"/>
    <tableColumn id="3" name="Approval Item"/>
    <tableColumn id="4" name="Requester"/>
    <tableColumn id="5" name="Approver"/>
    <tableColumn id="6" name="Submitted Date"/>
    <tableColumn id="7" name="Status"/>
    <tableColumn id="8" name="Notes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id="18" name="tblRACIMatrix" displayName="tblRACIMatrix" ref="A5:H8" headerRowCount="1">
  <autoFilter ref="A5:H8"/>
  <tableColumns count="8">
    <tableColumn id="1" name="RACI ID"/>
    <tableColumn id="2" name="Project ID"/>
    <tableColumn id="3" name="Workstream"/>
    <tableColumn id="4" name="Activity"/>
    <tableColumn id="5" name="Responsible"/>
    <tableColumn id="6" name="Accountable"/>
    <tableColumn id="7" name="Consulted"/>
    <tableColumn id="8" name="Informed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id="19" name="tblStakeholders" displayName="tblStakeholders" ref="A5:G8" headerRowCount="1">
  <autoFilter ref="A5:G8"/>
  <tableColumns count="7">
    <tableColumn id="1" name="Stakeholder ID"/>
    <tableColumn id="2" name="Project ID"/>
    <tableColumn id="3" name="Name"/>
    <tableColumn id="4" name="Role"/>
    <tableColumn id="5" name="Influence"/>
    <tableColumn id="6" name="Cadence"/>
    <tableColumn id="7" name="Owner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id="20" name="tblCommunicationPlan" displayName="tblCommunicationPlan" ref="A5:G8" headerRowCount="1">
  <autoFilter ref="A5:G8"/>
  <tableColumns count="7">
    <tableColumn id="1" name="Comm ID"/>
    <tableColumn id="2" name="Project ID"/>
    <tableColumn id="3" name="Communication"/>
    <tableColumn id="4" name="Channel"/>
    <tableColumn id="5" name="Frequency"/>
    <tableColumn id="6" name="Owner"/>
    <tableColumn id="7" name="Audience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id="21" name="tblMeetingActions" displayName="tblMeetingActions" ref="A5:G8" headerRowCount="1">
  <autoFilter ref="A5:G8"/>
  <tableColumns count="7">
    <tableColumn id="1" name="Action ID"/>
    <tableColumn id="2" name="Project ID"/>
    <tableColumn id="3" name="Action Item"/>
    <tableColumn id="4" name="Owner"/>
    <tableColumn id="5" name="Due Date"/>
    <tableColumn id="6" name="Status"/>
    <tableColumn id="7" name="Notes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id="22" name="tblDecisionLog" displayName="tblDecisionLog" ref="A5:G8" headerRowCount="1">
  <autoFilter ref="A5:G8"/>
  <tableColumns count="7">
    <tableColumn id="1" name="Decision ID"/>
    <tableColumn id="2" name="Project ID"/>
    <tableColumn id="3" name="Decision"/>
    <tableColumn id="4" name="Owner"/>
    <tableColumn id="5" name="Decision Date"/>
    <tableColumn id="6" name="Status"/>
    <tableColumn id="7" name="Category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id="23" name="tblLessonsLearned" displayName="tblLessonsLearned" ref="A5:F7" headerRowCount="1">
  <autoFilter ref="A5:F7"/>
  <tableColumns count="6">
    <tableColumn id="1" name="Lesson ID"/>
    <tableColumn id="2" name="Project ID"/>
    <tableColumn id="3" name="Lesson"/>
    <tableColumn id="4" name="Owner"/>
    <tableColumn id="5" name="Date"/>
    <tableColumn id="6" name="Categor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hyperlink" Target="#'Executive_Dashboard'!A1" TargetMode="External" Id="rId10"/><Relationship Type="http://schemas.openxmlformats.org/officeDocument/2006/relationships/hyperlink" Target="#'Compact_Dashboard'!A1" TargetMode="External" Id="rId11"/><Relationship Type="http://schemas.openxmlformats.org/officeDocument/2006/relationships/hyperlink" Target="#'Project_Command_Center'!A1" TargetMode="External" Id="rId12"/><Relationship Type="http://schemas.openxmlformats.org/officeDocument/2006/relationships/hyperlink" Target="#'Projects'!A1" TargetMode="External" Id="rId13"/><Relationship Type="http://schemas.openxmlformats.org/officeDocument/2006/relationships/hyperlink" Target="#'Tasks'!A1" TargetMode="External" Id="rId14"/><Relationship Type="http://schemas.openxmlformats.org/officeDocument/2006/relationships/hyperlink" Target="#'Kanban_View'!A1" TargetMode="External" Id="rId15"/><Relationship Type="http://schemas.openxmlformats.org/officeDocument/2006/relationships/hyperlink" Target="#'Timeline_Gantt'!A1" TargetMode="External" Id="rId16"/><Relationship Type="http://schemas.openxmlformats.org/officeDocument/2006/relationships/hyperlink" Target="#'Change_Requests'!A1" TargetMode="External" Id="rId17"/><Relationship Type="http://schemas.openxmlformats.org/officeDocument/2006/relationships/hyperlink" Target="#'Approvals'!A1" TargetMode="External" Id="rId18"/><Relationship Type="http://schemas.openxmlformats.org/officeDocument/2006/relationships/hyperlink" Target="#'RACI_Matrix'!A1" TargetMode="External" Id="rId19"/><Relationship Type="http://schemas.openxmlformats.org/officeDocument/2006/relationships/hyperlink" Target="#'Reports'!A1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drawing" Target="/xl/drawings/drawing1.xm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.xml" Id="rId10"/></Relationships>
</file>

<file path=xl/worksheets/_rels/sheet5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2.xm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3.xml" Id="rId10"/></Relationships>
</file>

<file path=xl/worksheets/_rels/sheet7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4.xml" Id="rId10"/></Relationships>
</file>

<file path=xl/worksheets/_rels/sheet8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5.xml" Id="rId10"/></Relationships>
</file>

<file path=xl/worksheets/_rels/sheet9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6.xml" Id="rId10"/></Relationships>
</file>

<file path=xl/worksheets/_rels/sheet10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7.xml" Id="rId10"/></Relationships>
</file>

<file path=xl/worksheets/_rels/sheet11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12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13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8.xm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9.xml" Id="rId10"/></Relationships>
</file>

<file path=xl/worksheets/_rels/sheet15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0.xml" Id="rId10"/></Relationships>
</file>

<file path=xl/worksheets/_rels/sheet16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1.xml" Id="rId10"/></Relationships>
</file>

<file path=xl/worksheets/_rels/sheet17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2.xml" Id="rId10"/></Relationships>
</file>

<file path=xl/worksheets/_rels/sheet18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19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20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3.xml" Id="rId10"/></Relationships>
</file>

<file path=xl/worksheets/_rels/sheet21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Portfolio_Dashboard'!A1" TargetMode="External" Id="rId2"/><Relationship Type="http://schemas.openxmlformats.org/officeDocument/2006/relationships/hyperlink" Target="#'Project_Workspace'!A1" TargetMode="External" Id="rId3"/><Relationship Type="http://schemas.openxmlformats.org/officeDocument/2006/relationships/hyperlink" Target="#'Projects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Issues'!A1" TargetMode="External" Id="rId6"/><Relationship Type="http://schemas.openxmlformats.org/officeDocument/2006/relationships/hyperlink" Target="#'Timesheets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22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23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24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_rels/sheet25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4.xml" Id="rId10"/></Relationships>
</file>

<file path=xl/worksheets/_rels/sheet26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5.xml" Id="rId10"/></Relationships>
</file>

<file path=xl/worksheets/_rels/sheet27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6.xml" Id="rId10"/></Relationships>
</file>

<file path=xl/worksheets/_rels/sheet28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7.xml" Id="rId10"/></Relationships>
</file>

<file path=xl/worksheets/_rels/sheet29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8.xml" Id="rId10"/></Relationships>
</file>

<file path=xl/worksheets/_rels/sheet30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19.xml" Id="rId10"/></Relationships>
</file>

<file path=xl/worksheets/_rels/sheet31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20.xml" Id="rId10"/></Relationships>
</file>

<file path=xl/worksheets/_rels/sheet32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21.xm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22.xm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Relationship Type="http://schemas.openxmlformats.org/officeDocument/2006/relationships/table" Target="/xl/tables/table23.xml" Id="rId10"/></Relationships>
</file>

<file path=xl/worksheets/_rels/sheet35.xml.rels><Relationships xmlns="http://schemas.openxmlformats.org/package/2006/relationships"><Relationship Type="http://schemas.openxmlformats.org/officeDocument/2006/relationships/hyperlink" Target="#'Home'!A1" TargetMode="External" Id="rId1"/><Relationship Type="http://schemas.openxmlformats.org/officeDocument/2006/relationships/hyperlink" Target="#'Executive_Dashboard'!A1" TargetMode="External" Id="rId2"/><Relationship Type="http://schemas.openxmlformats.org/officeDocument/2006/relationships/hyperlink" Target="#'Compact_Dashboard'!A1" TargetMode="External" Id="rId3"/><Relationship Type="http://schemas.openxmlformats.org/officeDocument/2006/relationships/hyperlink" Target="#'Project_Command_Center'!A1" TargetMode="External" Id="rId4"/><Relationship Type="http://schemas.openxmlformats.org/officeDocument/2006/relationships/hyperlink" Target="#'Tasks'!A1" TargetMode="External" Id="rId5"/><Relationship Type="http://schemas.openxmlformats.org/officeDocument/2006/relationships/hyperlink" Target="#'Kanban_View'!A1" TargetMode="External" Id="rId6"/><Relationship Type="http://schemas.openxmlformats.org/officeDocument/2006/relationships/hyperlink" Target="#'Timeline_Gantt'!A1" TargetMode="External" Id="rId7"/><Relationship Type="http://schemas.openxmlformats.org/officeDocument/2006/relationships/hyperlink" Target="#'Reports'!A1" TargetMode="External" Id="rId8"/><Relationship Type="http://schemas.openxmlformats.org/officeDocument/2006/relationships/hyperlink" Target="#'Master_Management'!A1" TargetMode="External" Id="rId9"/></Relationships>
</file>

<file path=xl/worksheets/sheet1.xml><?xml version="1.0" encoding="utf-8"?>
<worksheet xmlns="http://schemas.openxmlformats.org/spreadsheetml/2006/main">
  <sheetPr>
    <tabColor rgb="00123A5A"/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Complete Responsive Project Management Environment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Excel PMO system with desktop, compact, governance and project command views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5" t="inlineStr">
        <is>
          <t>Start Here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6" t="inlineStr">
        <is>
          <t>Executive Dashboard</t>
        </is>
      </c>
      <c r="B7" s="2" t="inlineStr">
        <is>
          <t>Full desktop PMO dashboard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6" t="inlineStr">
        <is>
          <t>Compact Dashboard</t>
        </is>
      </c>
      <c r="B8" s="2" t="inlineStr">
        <is>
          <t>Smaller-screen quick dashboard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Project Command Center</t>
        </is>
      </c>
      <c r="B9" s="2" t="inlineStr">
        <is>
          <t>Single project selector view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Projects</t>
        </is>
      </c>
      <c r="B10" s="2" t="inlineStr">
        <is>
          <t>Portfolio master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Tasks</t>
        </is>
      </c>
      <c r="B11" s="2" t="inlineStr">
        <is>
          <t>Task tracking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6" t="inlineStr">
        <is>
          <t>Kanban</t>
        </is>
      </c>
      <c r="B12" s="2" t="inlineStr">
        <is>
          <t>Status board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6" t="inlineStr">
        <is>
          <t>Gantt</t>
        </is>
      </c>
      <c r="B13" s="2" t="inlineStr">
        <is>
          <t>Timeline view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Change Requests</t>
        </is>
      </c>
      <c r="B14" s="2" t="inlineStr">
        <is>
          <t>Change control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6" t="inlineStr">
        <is>
          <t>Approvals</t>
        </is>
      </c>
      <c r="B15" s="2" t="inlineStr">
        <is>
          <t>Approval tracker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RACI Matrix</t>
        </is>
      </c>
      <c r="B16" s="2" t="inlineStr">
        <is>
          <t>Role clarity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6" t="inlineStr">
        <is>
          <t>Reports</t>
        </is>
      </c>
      <c r="B17" s="2" t="inlineStr">
        <is>
          <t>PMO reports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  <hyperlink xmlns:r="http://schemas.openxmlformats.org/officeDocument/2006/relationships" ref="A7" r:id="rId10"/>
    <hyperlink xmlns:r="http://schemas.openxmlformats.org/officeDocument/2006/relationships" ref="A8" r:id="rId11"/>
    <hyperlink xmlns:r="http://schemas.openxmlformats.org/officeDocument/2006/relationships" ref="A9" r:id="rId12"/>
    <hyperlink xmlns:r="http://schemas.openxmlformats.org/officeDocument/2006/relationships" ref="A10" r:id="rId13"/>
    <hyperlink xmlns:r="http://schemas.openxmlformats.org/officeDocument/2006/relationships" ref="A11" r:id="rId14"/>
    <hyperlink xmlns:r="http://schemas.openxmlformats.org/officeDocument/2006/relationships" ref="A12" r:id="rId15"/>
    <hyperlink xmlns:r="http://schemas.openxmlformats.org/officeDocument/2006/relationships" ref="A13" r:id="rId16"/>
    <hyperlink xmlns:r="http://schemas.openxmlformats.org/officeDocument/2006/relationships" ref="A14" r:id="rId17"/>
    <hyperlink xmlns:r="http://schemas.openxmlformats.org/officeDocument/2006/relationships" ref="A15" r:id="rId18"/>
    <hyperlink xmlns:r="http://schemas.openxmlformats.org/officeDocument/2006/relationships" ref="A16" r:id="rId19"/>
    <hyperlink xmlns:r="http://schemas.openxmlformats.org/officeDocument/2006/relationships" ref="A17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66666"/>
    <outlinePr summaryBelow="1" summaryRight="1"/>
    <pageSetUpPr/>
  </sheetPr>
  <dimension ref="A1:N37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Portfolio Dashboard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High-standard PMO dashboard for multiple projects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7">
        <f>COUNTA(tblProjects[Project ID])</f>
        <v/>
      </c>
      <c r="B5" s="29" t="n"/>
      <c r="C5" s="30" t="n"/>
      <c r="D5" s="8">
        <f>COUNTIFS(tblProjects[Manual Status],"In Progress")</f>
        <v/>
      </c>
      <c r="E5" s="29" t="n"/>
      <c r="F5" s="30" t="n"/>
      <c r="G5" s="9">
        <f>COUNTIFS(tblProjects[Auto Health],"At Risk")+COUNTIFS(tblProjects[Auto Health],"Overdue")</f>
        <v/>
      </c>
      <c r="H5" s="29" t="n"/>
      <c r="I5" s="30" t="n"/>
      <c r="J5" s="10">
        <f>COUNTIFS(tblProjects[Manual Status],"Completed")</f>
        <v/>
      </c>
      <c r="K5" s="29" t="n"/>
      <c r="L5" s="30" t="n"/>
      <c r="M5" s="2" t="n"/>
      <c r="N5" s="2" t="n"/>
    </row>
    <row r="6">
      <c r="A6" s="31" t="n"/>
      <c r="C6" s="32" t="n"/>
      <c r="D6" s="31" t="n"/>
      <c r="F6" s="32" t="n"/>
      <c r="G6" s="31" t="n"/>
      <c r="I6" s="32" t="n"/>
      <c r="J6" s="31" t="n"/>
      <c r="L6" s="32" t="n"/>
      <c r="M6" s="2" t="n"/>
      <c r="N6" s="2" t="n"/>
    </row>
    <row r="7">
      <c r="A7" s="33" t="n"/>
      <c r="B7" s="34" t="n"/>
      <c r="C7" s="35" t="n"/>
      <c r="D7" s="33" t="n"/>
      <c r="E7" s="34" t="n"/>
      <c r="F7" s="35" t="n"/>
      <c r="G7" s="33" t="n"/>
      <c r="H7" s="34" t="n"/>
      <c r="I7" s="35" t="n"/>
      <c r="J7" s="33" t="n"/>
      <c r="K7" s="34" t="n"/>
      <c r="L7" s="35" t="n"/>
      <c r="M7" s="2" t="n"/>
      <c r="N7" s="2" t="n"/>
    </row>
    <row r="8">
      <c r="A8" s="11" t="inlineStr">
        <is>
          <t>Total Projects</t>
        </is>
      </c>
      <c r="B8" s="27" t="n"/>
      <c r="C8" s="28" t="n"/>
      <c r="D8" s="11" t="inlineStr">
        <is>
          <t>Active Projects</t>
        </is>
      </c>
      <c r="E8" s="27" t="n"/>
      <c r="F8" s="28" t="n"/>
      <c r="G8" s="11" t="inlineStr">
        <is>
          <t>At Risk / Overdue</t>
        </is>
      </c>
      <c r="H8" s="27" t="n"/>
      <c r="I8" s="28" t="n"/>
      <c r="J8" s="11" t="inlineStr">
        <is>
          <t>Completed Projects</t>
        </is>
      </c>
      <c r="K8" s="27" t="n"/>
      <c r="L8" s="28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2">
        <f>COUNTIFS(tblIssues[Status],"&lt;&gt;Closed",tblIssues[Status],"&lt;&gt;Resolved")</f>
        <v/>
      </c>
      <c r="B10" s="29" t="n"/>
      <c r="C10" s="30" t="n"/>
      <c r="D10" s="13">
        <f>COUNTIFS(tblRisks[Status],"&lt;&gt;Closed")</f>
        <v/>
      </c>
      <c r="E10" s="29" t="n"/>
      <c r="F10" s="30" t="n"/>
      <c r="G10" s="14">
        <f>SUM(tblTimesheets[Hours])</f>
        <v/>
      </c>
      <c r="H10" s="29" t="n"/>
      <c r="I10" s="30" t="n"/>
      <c r="J10" s="15">
        <f>SUM(tblProjects[Actual Cost])-SUM(tblProjects[Budget])</f>
        <v/>
      </c>
      <c r="K10" s="29" t="n"/>
      <c r="L10" s="30" t="n"/>
      <c r="M10" s="2" t="n"/>
      <c r="N10" s="2" t="n"/>
    </row>
    <row r="11">
      <c r="A11" s="31" t="n"/>
      <c r="C11" s="32" t="n"/>
      <c r="D11" s="31" t="n"/>
      <c r="F11" s="32" t="n"/>
      <c r="G11" s="31" t="n"/>
      <c r="I11" s="32" t="n"/>
      <c r="J11" s="31" t="n"/>
      <c r="L11" s="32" t="n"/>
      <c r="M11" s="2" t="n"/>
      <c r="N11" s="2" t="n"/>
    </row>
    <row r="12">
      <c r="A12" s="33" t="n"/>
      <c r="B12" s="34" t="n"/>
      <c r="C12" s="35" t="n"/>
      <c r="D12" s="33" t="n"/>
      <c r="E12" s="34" t="n"/>
      <c r="F12" s="35" t="n"/>
      <c r="G12" s="33" t="n"/>
      <c r="H12" s="34" t="n"/>
      <c r="I12" s="35" t="n"/>
      <c r="J12" s="33" t="n"/>
      <c r="K12" s="34" t="n"/>
      <c r="L12" s="35" t="n"/>
      <c r="M12" s="2" t="n"/>
      <c r="N12" s="2" t="n"/>
    </row>
    <row r="13">
      <c r="A13" s="11" t="inlineStr">
        <is>
          <t>Open Issues</t>
        </is>
      </c>
      <c r="B13" s="27" t="n"/>
      <c r="C13" s="28" t="n"/>
      <c r="D13" s="11" t="inlineStr">
        <is>
          <t>Open Risks</t>
        </is>
      </c>
      <c r="E13" s="27" t="n"/>
      <c r="F13" s="28" t="n"/>
      <c r="G13" s="11" t="inlineStr">
        <is>
          <t>Logged Hours</t>
        </is>
      </c>
      <c r="H13" s="27" t="n"/>
      <c r="I13" s="28" t="n"/>
      <c r="J13" s="11" t="inlineStr">
        <is>
          <t>Budget Variance</t>
        </is>
      </c>
      <c r="K13" s="27" t="n"/>
      <c r="L13" s="28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6" t="inlineStr">
        <is>
          <t>Project Health</t>
        </is>
      </c>
      <c r="B16" s="2" t="n"/>
      <c r="C16" s="2" t="n"/>
      <c r="D16" s="16" t="inlineStr">
        <is>
          <t>Task Status</t>
        </is>
      </c>
      <c r="E16" s="2" t="n"/>
      <c r="F16" s="2" t="n"/>
      <c r="G16" s="16" t="inlineStr">
        <is>
          <t>Priority Mix</t>
        </is>
      </c>
      <c r="H16" s="2" t="n"/>
      <c r="I16" s="2" t="n"/>
      <c r="J16" s="16" t="inlineStr">
        <is>
          <t>User Workload</t>
        </is>
      </c>
      <c r="K16" s="2" t="n"/>
      <c r="L16" s="2" t="n"/>
      <c r="M16" s="2" t="n"/>
      <c r="N16" s="2" t="n"/>
    </row>
    <row r="17">
      <c r="A17" s="17" t="inlineStr">
        <is>
          <t>Health</t>
        </is>
      </c>
      <c r="B17" s="17" t="inlineStr">
        <is>
          <t>Count</t>
        </is>
      </c>
      <c r="C17" s="2" t="n"/>
      <c r="D17" s="17" t="inlineStr">
        <is>
          <t>Status</t>
        </is>
      </c>
      <c r="E17" s="17" t="inlineStr">
        <is>
          <t>Count</t>
        </is>
      </c>
      <c r="F17" s="2" t="n"/>
      <c r="G17" s="17" t="inlineStr">
        <is>
          <t>Priority</t>
        </is>
      </c>
      <c r="H17" s="17" t="inlineStr">
        <is>
          <t>Count</t>
        </is>
      </c>
      <c r="I17" s="2" t="n"/>
      <c r="J17" s="17" t="inlineStr">
        <is>
          <t>User</t>
        </is>
      </c>
      <c r="K17" s="17" t="inlineStr">
        <is>
          <t>Active Tasks</t>
        </is>
      </c>
      <c r="L17" s="2" t="n"/>
      <c r="M17" s="2" t="n"/>
      <c r="N17" s="2" t="n"/>
    </row>
    <row r="18">
      <c r="A18" s="2" t="inlineStr">
        <is>
          <t>On Track</t>
        </is>
      </c>
      <c r="B18" s="2">
        <f>COUNTIF(tblProjects[Auto Health],A18)</f>
        <v/>
      </c>
      <c r="C18" s="2" t="n"/>
      <c r="D18" s="2" t="inlineStr">
        <is>
          <t>On Track</t>
        </is>
      </c>
      <c r="E18" s="2">
        <f>COUNTIF(tblTasks[Auto Health],D18)</f>
        <v/>
      </c>
      <c r="F18" s="2" t="n"/>
      <c r="G18" s="2" t="inlineStr">
        <is>
          <t>Critical</t>
        </is>
      </c>
      <c r="H18" s="2">
        <f>COUNTIF(tblTasks[Priority],G18)</f>
        <v/>
      </c>
      <c r="I18" s="2" t="n"/>
      <c r="J18" s="2">
        <f>Users!B6</f>
        <v/>
      </c>
      <c r="K18" s="2">
        <f>Users!I6</f>
        <v/>
      </c>
      <c r="L18" s="2" t="n"/>
      <c r="M18" s="2" t="n"/>
      <c r="N18" s="2" t="n"/>
    </row>
    <row r="19">
      <c r="A19" s="2" t="inlineStr">
        <is>
          <t>At Risk</t>
        </is>
      </c>
      <c r="B19" s="2">
        <f>COUNTIF(tblProjects[Auto Health],A19)</f>
        <v/>
      </c>
      <c r="C19" s="2" t="n"/>
      <c r="D19" s="2" t="inlineStr">
        <is>
          <t>At Risk</t>
        </is>
      </c>
      <c r="E19" s="2">
        <f>COUNTIF(tblTasks[Auto Health],D19)</f>
        <v/>
      </c>
      <c r="F19" s="2" t="n"/>
      <c r="G19" s="2" t="inlineStr">
        <is>
          <t>High</t>
        </is>
      </c>
      <c r="H19" s="2">
        <f>COUNTIF(tblTasks[Priority],G19)</f>
        <v/>
      </c>
      <c r="I19" s="2" t="n"/>
      <c r="J19" s="2">
        <f>Users!B7</f>
        <v/>
      </c>
      <c r="K19" s="2">
        <f>Users!I7</f>
        <v/>
      </c>
      <c r="L19" s="2" t="n"/>
      <c r="M19" s="2" t="n"/>
      <c r="N19" s="2" t="n"/>
    </row>
    <row r="20">
      <c r="A20" s="2" t="inlineStr">
        <is>
          <t>Overdue</t>
        </is>
      </c>
      <c r="B20" s="2">
        <f>COUNTIF(tblProjects[Auto Health],A20)</f>
        <v/>
      </c>
      <c r="C20" s="2" t="n"/>
      <c r="D20" s="2" t="inlineStr">
        <is>
          <t>Overdue</t>
        </is>
      </c>
      <c r="E20" s="2">
        <f>COUNTIF(tblTasks[Auto Health],D20)</f>
        <v/>
      </c>
      <c r="F20" s="2" t="n"/>
      <c r="G20" s="2" t="inlineStr">
        <is>
          <t>Medium</t>
        </is>
      </c>
      <c r="H20" s="2">
        <f>COUNTIF(tblTasks[Priority],G20)</f>
        <v/>
      </c>
      <c r="I20" s="2" t="n"/>
      <c r="J20" s="2">
        <f>Users!B8</f>
        <v/>
      </c>
      <c r="K20" s="2">
        <f>Users!I8</f>
        <v/>
      </c>
      <c r="L20" s="2" t="n"/>
      <c r="M20" s="2" t="n"/>
      <c r="N20" s="2" t="n"/>
    </row>
    <row r="21">
      <c r="A21" s="2" t="inlineStr">
        <is>
          <t>Blocked</t>
        </is>
      </c>
      <c r="B21" s="2">
        <f>COUNTIF(tblProjects[Auto Health],A21)</f>
        <v/>
      </c>
      <c r="C21" s="2" t="n"/>
      <c r="D21" s="2" t="inlineStr">
        <is>
          <t>Blocked</t>
        </is>
      </c>
      <c r="E21" s="2">
        <f>COUNTIF(tblTasks[Auto Health],D21)</f>
        <v/>
      </c>
      <c r="F21" s="2" t="n"/>
      <c r="G21" s="2" t="inlineStr">
        <is>
          <t>Low</t>
        </is>
      </c>
      <c r="H21" s="2">
        <f>COUNTIF(tblTasks[Priority],G21)</f>
        <v/>
      </c>
      <c r="I21" s="2" t="n"/>
      <c r="J21" s="2">
        <f>Users!B9</f>
        <v/>
      </c>
      <c r="K21" s="2">
        <f>Users!I9</f>
        <v/>
      </c>
      <c r="L21" s="2" t="n"/>
      <c r="M21" s="2" t="n"/>
      <c r="N21" s="2" t="n"/>
    </row>
    <row r="22">
      <c r="A22" s="2" t="inlineStr">
        <is>
          <t>Completed</t>
        </is>
      </c>
      <c r="B22" s="2">
        <f>COUNTIF(tblProjects[Auto Health],A22)</f>
        <v/>
      </c>
      <c r="C22" s="2" t="n"/>
      <c r="D22" s="2" t="inlineStr">
        <is>
          <t>Completed</t>
        </is>
      </c>
      <c r="E22" s="2">
        <f>COUNTIF(tblTasks[Auto Health],D22)</f>
        <v/>
      </c>
      <c r="F22" s="2" t="n"/>
      <c r="G22" s="2" t="n"/>
      <c r="H22" s="2" t="n"/>
      <c r="I22" s="2" t="n"/>
      <c r="J22" s="2">
        <f>Users!B10</f>
        <v/>
      </c>
      <c r="K22" s="2">
        <f>Users!I10</f>
        <v/>
      </c>
      <c r="L22" s="2" t="n"/>
      <c r="M22" s="2" t="n"/>
      <c r="N22" s="2" t="n"/>
    </row>
    <row r="23">
      <c r="A23" s="2" t="inlineStr">
        <is>
          <t>Not Started</t>
        </is>
      </c>
      <c r="B23" s="2">
        <f>COUNTIF(tblProjects[Auto Health],A23)</f>
        <v/>
      </c>
      <c r="C23" s="2" t="n"/>
      <c r="D23" s="2" t="inlineStr">
        <is>
          <t>Not Started</t>
        </is>
      </c>
      <c r="E23" s="2">
        <f>COUNTIF(tblTasks[Auto Health],D23)</f>
        <v/>
      </c>
      <c r="F23" s="2" t="n"/>
      <c r="G23" s="2" t="n"/>
      <c r="H23" s="2" t="n"/>
      <c r="I23" s="2" t="n"/>
      <c r="J23" s="2">
        <f>Users!B11</f>
        <v/>
      </c>
      <c r="K23" s="2">
        <f>Users!I11</f>
        <v/>
      </c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8" t="inlineStr">
        <is>
          <t>Portfolio List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17" t="inlineStr">
        <is>
          <t>Project ID</t>
        </is>
      </c>
      <c r="B27" s="17" t="inlineStr">
        <is>
          <t>Project</t>
        </is>
      </c>
      <c r="C27" s="17" t="inlineStr">
        <is>
          <t>Status</t>
        </is>
      </c>
      <c r="D27" s="17" t="inlineStr">
        <is>
          <t>Priority</t>
        </is>
      </c>
      <c r="E27" s="17" t="inlineStr">
        <is>
          <t>Progress</t>
        </is>
      </c>
      <c r="F27" s="17" t="inlineStr">
        <is>
          <t>Health</t>
        </is>
      </c>
      <c r="G27" s="17" t="inlineStr">
        <is>
          <t>Open Issues</t>
        </is>
      </c>
      <c r="H27" s="17" t="inlineStr">
        <is>
          <t>Open Risks</t>
        </is>
      </c>
      <c r="I27" s="17" t="inlineStr">
        <is>
          <t>Hours</t>
        </is>
      </c>
      <c r="J27" s="2" t="n"/>
      <c r="K27" s="2" t="n"/>
      <c r="L27" s="2" t="n"/>
      <c r="M27" s="2" t="n"/>
      <c r="N27" s="2" t="n"/>
    </row>
    <row r="28">
      <c r="A28" s="2">
        <f>IFERROR(INDEX(tblProjects[Project ID],1),"")</f>
        <v/>
      </c>
      <c r="B28" s="2">
        <f>IFERROR(INDEX(tblProjects[Project Name],1),"")</f>
        <v/>
      </c>
      <c r="C28" s="2">
        <f>IFERROR(INDEX(tblProjects[Manual Status],1),"")</f>
        <v/>
      </c>
      <c r="D28" s="2">
        <f>IFERROR(INDEX(tblProjects[Priority],1),"")</f>
        <v/>
      </c>
      <c r="E28" s="2">
        <f>IFERROR(INDEX(tblProjects[Progress %],1),"")</f>
        <v/>
      </c>
      <c r="F28" s="2">
        <f>IFERROR(INDEX(tblProjects[Auto Health],1),"")</f>
        <v/>
      </c>
      <c r="G28" s="2">
        <f>IFERROR(INDEX(tblProjects[Open Issues],1),"")</f>
        <v/>
      </c>
      <c r="H28" s="2">
        <f>IFERROR(INDEX(tblProjects[Open Risks],1),"")</f>
        <v/>
      </c>
      <c r="I28" s="2">
        <f>IFERROR(INDEX(tblProjects[Logged Hours],1),"")</f>
        <v/>
      </c>
      <c r="J28" s="2" t="n"/>
      <c r="K28" s="2" t="n"/>
      <c r="L28" s="2" t="n"/>
      <c r="M28" s="2" t="n"/>
      <c r="N28" s="2" t="n"/>
    </row>
    <row r="29">
      <c r="A29" s="2">
        <f>IFERROR(INDEX(tblProjects[Project ID],2),"")</f>
        <v/>
      </c>
      <c r="B29" s="2">
        <f>IFERROR(INDEX(tblProjects[Project Name],2),"")</f>
        <v/>
      </c>
      <c r="C29" s="2">
        <f>IFERROR(INDEX(tblProjects[Manual Status],2),"")</f>
        <v/>
      </c>
      <c r="D29" s="2">
        <f>IFERROR(INDEX(tblProjects[Priority],2),"")</f>
        <v/>
      </c>
      <c r="E29" s="2">
        <f>IFERROR(INDEX(tblProjects[Progress %],2),"")</f>
        <v/>
      </c>
      <c r="F29" s="2">
        <f>IFERROR(INDEX(tblProjects[Auto Health],2),"")</f>
        <v/>
      </c>
      <c r="G29" s="2">
        <f>IFERROR(INDEX(tblProjects[Open Issues],2),"")</f>
        <v/>
      </c>
      <c r="H29" s="2">
        <f>IFERROR(INDEX(tblProjects[Open Risks],2),"")</f>
        <v/>
      </c>
      <c r="I29" s="2">
        <f>IFERROR(INDEX(tblProjects[Logged Hours],2),"")</f>
        <v/>
      </c>
      <c r="J29" s="2" t="n"/>
      <c r="K29" s="2" t="n"/>
      <c r="L29" s="2" t="n"/>
      <c r="M29" s="2" t="n"/>
      <c r="N29" s="2" t="n"/>
    </row>
    <row r="30">
      <c r="A30" s="2">
        <f>IFERROR(INDEX(tblProjects[Project ID],3),"")</f>
        <v/>
      </c>
      <c r="B30" s="2">
        <f>IFERROR(INDEX(tblProjects[Project Name],3),"")</f>
        <v/>
      </c>
      <c r="C30" s="2">
        <f>IFERROR(INDEX(tblProjects[Manual Status],3),"")</f>
        <v/>
      </c>
      <c r="D30" s="2">
        <f>IFERROR(INDEX(tblProjects[Priority],3),"")</f>
        <v/>
      </c>
      <c r="E30" s="2">
        <f>IFERROR(INDEX(tblProjects[Progress %],3),"")</f>
        <v/>
      </c>
      <c r="F30" s="2">
        <f>IFERROR(INDEX(tblProjects[Auto Health],3),"")</f>
        <v/>
      </c>
      <c r="G30" s="2">
        <f>IFERROR(INDEX(tblProjects[Open Issues],3),"")</f>
        <v/>
      </c>
      <c r="H30" s="2">
        <f>IFERROR(INDEX(tblProjects[Open Risks],3),"")</f>
        <v/>
      </c>
      <c r="I30" s="2">
        <f>IFERROR(INDEX(tblProjects[Logged Hours],3),"")</f>
        <v/>
      </c>
      <c r="J30" s="2" t="n"/>
      <c r="K30" s="2" t="n"/>
      <c r="L30" s="2" t="n"/>
      <c r="M30" s="2" t="n"/>
      <c r="N30" s="2" t="n"/>
    </row>
    <row r="31">
      <c r="A31" s="2">
        <f>IFERROR(INDEX(tblProjects[Project ID],4),"")</f>
        <v/>
      </c>
      <c r="B31" s="2">
        <f>IFERROR(INDEX(tblProjects[Project Name],4),"")</f>
        <v/>
      </c>
      <c r="C31" s="2">
        <f>IFERROR(INDEX(tblProjects[Manual Status],4),"")</f>
        <v/>
      </c>
      <c r="D31" s="2">
        <f>IFERROR(INDEX(tblProjects[Priority],4),"")</f>
        <v/>
      </c>
      <c r="E31" s="2">
        <f>IFERROR(INDEX(tblProjects[Progress %],4),"")</f>
        <v/>
      </c>
      <c r="F31" s="2">
        <f>IFERROR(INDEX(tblProjects[Auto Health],4),"")</f>
        <v/>
      </c>
      <c r="G31" s="2">
        <f>IFERROR(INDEX(tblProjects[Open Issues],4),"")</f>
        <v/>
      </c>
      <c r="H31" s="2">
        <f>IFERROR(INDEX(tblProjects[Open Risks],4),"")</f>
        <v/>
      </c>
      <c r="I31" s="2">
        <f>IFERROR(INDEX(tblProjects[Logged Hours],4),"")</f>
        <v/>
      </c>
      <c r="J31" s="2" t="n"/>
      <c r="K31" s="2" t="n"/>
      <c r="L31" s="2" t="n"/>
      <c r="M31" s="2" t="n"/>
      <c r="N31" s="2" t="n"/>
    </row>
    <row r="32">
      <c r="A32" s="2">
        <f>IFERROR(INDEX(tblProjects[Project ID],5),"")</f>
        <v/>
      </c>
      <c r="B32" s="2">
        <f>IFERROR(INDEX(tblProjects[Project Name],5),"")</f>
        <v/>
      </c>
      <c r="C32" s="2">
        <f>IFERROR(INDEX(tblProjects[Manual Status],5),"")</f>
        <v/>
      </c>
      <c r="D32" s="2">
        <f>IFERROR(INDEX(tblProjects[Priority],5),"")</f>
        <v/>
      </c>
      <c r="E32" s="2">
        <f>IFERROR(INDEX(tblProjects[Progress %],5),"")</f>
        <v/>
      </c>
      <c r="F32" s="2">
        <f>IFERROR(INDEX(tblProjects[Auto Health],5),"")</f>
        <v/>
      </c>
      <c r="G32" s="2">
        <f>IFERROR(INDEX(tblProjects[Open Issues],5),"")</f>
        <v/>
      </c>
      <c r="H32" s="2">
        <f>IFERROR(INDEX(tblProjects[Open Risks],5),"")</f>
        <v/>
      </c>
      <c r="I32" s="2">
        <f>IFERROR(INDEX(tblProjects[Logged Hours],5),"")</f>
        <v/>
      </c>
      <c r="J32" s="2" t="n"/>
      <c r="K32" s="2" t="n"/>
      <c r="L32" s="2" t="n"/>
      <c r="M32" s="2" t="n"/>
      <c r="N32" s="2" t="n"/>
    </row>
    <row r="33">
      <c r="A33" s="2">
        <f>IFERROR(INDEX(tblProjects[Project ID],6),"")</f>
        <v/>
      </c>
      <c r="B33" s="2">
        <f>IFERROR(INDEX(tblProjects[Project Name],6),"")</f>
        <v/>
      </c>
      <c r="C33" s="2">
        <f>IFERROR(INDEX(tblProjects[Manual Status],6),"")</f>
        <v/>
      </c>
      <c r="D33" s="2">
        <f>IFERROR(INDEX(tblProjects[Priority],6),"")</f>
        <v/>
      </c>
      <c r="E33" s="2">
        <f>IFERROR(INDEX(tblProjects[Progress %],6),"")</f>
        <v/>
      </c>
      <c r="F33" s="2">
        <f>IFERROR(INDEX(tblProjects[Auto Health],6),"")</f>
        <v/>
      </c>
      <c r="G33" s="2">
        <f>IFERROR(INDEX(tblProjects[Open Issues],6),"")</f>
        <v/>
      </c>
      <c r="H33" s="2">
        <f>IFERROR(INDEX(tblProjects[Open Risks],6),"")</f>
        <v/>
      </c>
      <c r="I33" s="2">
        <f>IFERROR(INDEX(tblProjects[Logged Hours],6),"")</f>
        <v/>
      </c>
      <c r="J33" s="2" t="n"/>
      <c r="K33" s="2" t="n"/>
      <c r="L33" s="2" t="n"/>
      <c r="M33" s="2" t="n"/>
      <c r="N33" s="2" t="n"/>
    </row>
    <row r="34">
      <c r="A34" s="2">
        <f>IFERROR(INDEX(tblProjects[Project ID],7),"")</f>
        <v/>
      </c>
      <c r="B34" s="2">
        <f>IFERROR(INDEX(tblProjects[Project Name],7),"")</f>
        <v/>
      </c>
      <c r="C34" s="2">
        <f>IFERROR(INDEX(tblProjects[Manual Status],7),"")</f>
        <v/>
      </c>
      <c r="D34" s="2">
        <f>IFERROR(INDEX(tblProjects[Priority],7),"")</f>
        <v/>
      </c>
      <c r="E34" s="2">
        <f>IFERROR(INDEX(tblProjects[Progress %],7),"")</f>
        <v/>
      </c>
      <c r="F34" s="2">
        <f>IFERROR(INDEX(tblProjects[Auto Health],7),"")</f>
        <v/>
      </c>
      <c r="G34" s="2">
        <f>IFERROR(INDEX(tblProjects[Open Issues],7),"")</f>
        <v/>
      </c>
      <c r="H34" s="2">
        <f>IFERROR(INDEX(tblProjects[Open Risks],7),"")</f>
        <v/>
      </c>
      <c r="I34" s="2">
        <f>IFERROR(INDEX(tblProjects[Logged Hours],7),"")</f>
        <v/>
      </c>
      <c r="J34" s="2" t="n"/>
      <c r="K34" s="2" t="n"/>
      <c r="L34" s="2" t="n"/>
      <c r="M34" s="2" t="n"/>
      <c r="N34" s="2" t="n"/>
    </row>
    <row r="35">
      <c r="A35" s="2">
        <f>IFERROR(INDEX(tblProjects[Project ID],8),"")</f>
        <v/>
      </c>
      <c r="B35" s="2">
        <f>IFERROR(INDEX(tblProjects[Project Name],8),"")</f>
        <v/>
      </c>
      <c r="C35" s="2">
        <f>IFERROR(INDEX(tblProjects[Manual Status],8),"")</f>
        <v/>
      </c>
      <c r="D35" s="2">
        <f>IFERROR(INDEX(tblProjects[Priority],8),"")</f>
        <v/>
      </c>
      <c r="E35" s="2">
        <f>IFERROR(INDEX(tblProjects[Progress %],8),"")</f>
        <v/>
      </c>
      <c r="F35" s="2">
        <f>IFERROR(INDEX(tblProjects[Auto Health],8),"")</f>
        <v/>
      </c>
      <c r="G35" s="2">
        <f>IFERROR(INDEX(tblProjects[Open Issues],8),"")</f>
        <v/>
      </c>
      <c r="H35" s="2">
        <f>IFERROR(INDEX(tblProjects[Open Risks],8),"")</f>
        <v/>
      </c>
      <c r="I35" s="2">
        <f>IFERROR(INDEX(tblProjects[Logged Hours],8),"")</f>
        <v/>
      </c>
      <c r="J35" s="2" t="n"/>
      <c r="K35" s="2" t="n"/>
      <c r="L35" s="2" t="n"/>
      <c r="M35" s="2" t="n"/>
      <c r="N35" s="2" t="n"/>
    </row>
    <row r="36">
      <c r="A36" s="2">
        <f>IFERROR(INDEX(tblProjects[Project ID],9),"")</f>
        <v/>
      </c>
      <c r="B36" s="2">
        <f>IFERROR(INDEX(tblProjects[Project Name],9),"")</f>
        <v/>
      </c>
      <c r="C36" s="2">
        <f>IFERROR(INDEX(tblProjects[Manual Status],9),"")</f>
        <v/>
      </c>
      <c r="D36" s="2">
        <f>IFERROR(INDEX(tblProjects[Priority],9),"")</f>
        <v/>
      </c>
      <c r="E36" s="2">
        <f>IFERROR(INDEX(tblProjects[Progress %],9),"")</f>
        <v/>
      </c>
      <c r="F36" s="2">
        <f>IFERROR(INDEX(tblProjects[Auto Health],9),"")</f>
        <v/>
      </c>
      <c r="G36" s="2">
        <f>IFERROR(INDEX(tblProjects[Open Issues],9),"")</f>
        <v/>
      </c>
      <c r="H36" s="2">
        <f>IFERROR(INDEX(tblProjects[Open Risks],9),"")</f>
        <v/>
      </c>
      <c r="I36" s="2">
        <f>IFERROR(INDEX(tblProjects[Logged Hours],9),"")</f>
        <v/>
      </c>
      <c r="J36" s="2" t="n"/>
      <c r="K36" s="2" t="n"/>
      <c r="L36" s="2" t="n"/>
      <c r="M36" s="2" t="n"/>
      <c r="N36" s="2" t="n"/>
    </row>
    <row r="37">
      <c r="A37" s="2">
        <f>IFERROR(INDEX(tblProjects[Project ID],10),"")</f>
        <v/>
      </c>
      <c r="B37" s="2">
        <f>IFERROR(INDEX(tblProjects[Project Name],10),"")</f>
        <v/>
      </c>
      <c r="C37" s="2">
        <f>IFERROR(INDEX(tblProjects[Manual Status],10),"")</f>
        <v/>
      </c>
      <c r="D37" s="2">
        <f>IFERROR(INDEX(tblProjects[Priority],10),"")</f>
        <v/>
      </c>
      <c r="E37" s="2">
        <f>IFERROR(INDEX(tblProjects[Progress %],10),"")</f>
        <v/>
      </c>
      <c r="F37" s="2">
        <f>IFERROR(INDEX(tblProjects[Auto Health],10),"")</f>
        <v/>
      </c>
      <c r="G37" s="2">
        <f>IFERROR(INDEX(tblProjects[Open Issues],10),"")</f>
        <v/>
      </c>
      <c r="H37" s="2">
        <f>IFERROR(INDEX(tblProjects[Open Risks],10),"")</f>
        <v/>
      </c>
      <c r="I37" s="2">
        <f>IFERROR(INDEX(tblProjects[Logged Hours],10),"")</f>
        <v/>
      </c>
      <c r="J37" s="2" t="n"/>
      <c r="K37" s="2" t="n"/>
      <c r="L37" s="2" t="n"/>
      <c r="M37" s="2" t="n"/>
      <c r="N37" s="2" t="n"/>
    </row>
  </sheetData>
  <mergeCells count="18">
    <mergeCell ref="G5:I7"/>
    <mergeCell ref="A1:N1"/>
    <mergeCell ref="A13:C13"/>
    <mergeCell ref="D10:F12"/>
    <mergeCell ref="J5:L7"/>
    <mergeCell ref="D13:F13"/>
    <mergeCell ref="G13:I13"/>
    <mergeCell ref="G10:I12"/>
    <mergeCell ref="A8:C8"/>
    <mergeCell ref="A2:N2"/>
    <mergeCell ref="J13:L13"/>
    <mergeCell ref="G8:I8"/>
    <mergeCell ref="J8:L8"/>
    <mergeCell ref="D5:F7"/>
    <mergeCell ref="A10:C12"/>
    <mergeCell ref="D8:F8"/>
    <mergeCell ref="J10:L12"/>
    <mergeCell ref="A5:C7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drawing xmlns:r="http://schemas.openxmlformats.org/officeDocument/2006/relationships" r:id="rId10"/>
</worksheet>
</file>

<file path=xl/worksheets/sheet3.xml><?xml version="1.0" encoding="utf-8"?>
<worksheet xmlns="http://schemas.openxmlformats.org/spreadsheetml/2006/main">
  <sheetPr>
    <tabColor rgb="00666666"/>
    <outlinePr summaryBelow="1" summaryRight="1"/>
    <pageSetUpPr/>
  </sheetPr>
  <dimension ref="A1:N4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Project Workspace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Single-project command center: choose project ID in B5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9" t="inlineStr">
        <is>
          <t>Select Project ID</t>
        </is>
      </c>
      <c r="B5" s="20" t="inlineStr">
        <is>
          <t>PRJ-001</t>
        </is>
      </c>
      <c r="C5" s="2" t="n"/>
      <c r="D5" s="2" t="n"/>
      <c r="E5" s="2" t="n"/>
      <c r="F5" s="20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0" t="n"/>
      <c r="C6" s="2" t="n"/>
      <c r="D6" s="2" t="n"/>
      <c r="E6" s="2" t="n"/>
      <c r="F6" s="20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9" t="inlineStr">
        <is>
          <t>Project Name</t>
        </is>
      </c>
      <c r="B7" s="21">
        <f>XLOOKUP($B$5,tblProjects[Project ID],tblProjects[Project Name],"")</f>
        <v/>
      </c>
      <c r="C7" s="2" t="n"/>
      <c r="D7" s="19" t="inlineStr">
        <is>
          <t>Manager</t>
        </is>
      </c>
      <c r="E7" s="16">
        <f>XLOOKUP($B$5,tblProjects[Project ID],tblProjects[Project Manager],"")</f>
        <v/>
      </c>
      <c r="F7" s="20" t="n"/>
      <c r="G7" s="19" t="inlineStr">
        <is>
          <t>Status</t>
        </is>
      </c>
      <c r="H7" s="16">
        <f>XLOOKUP($B$5,tblProjects[Project ID],tblProjects[Manual Status],"")</f>
        <v/>
      </c>
      <c r="I7" s="2" t="n"/>
      <c r="J7" s="19" t="inlineStr">
        <is>
          <t>Health</t>
        </is>
      </c>
      <c r="K7" s="16">
        <f>XLOOKUP($B$5,tblProjects[Project ID],tblProjects[Auto Health],"")</f>
        <v/>
      </c>
      <c r="L7" s="2" t="n"/>
      <c r="M7" s="2" t="n"/>
      <c r="N7" s="2" t="n"/>
    </row>
    <row r="8">
      <c r="A8" s="2" t="n"/>
      <c r="B8" s="20" t="n"/>
      <c r="C8" s="2" t="n"/>
      <c r="D8" s="2" t="n"/>
      <c r="E8" s="2" t="n"/>
      <c r="F8" s="20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9" t="inlineStr">
        <is>
          <t>Progress</t>
        </is>
      </c>
      <c r="B9" s="21">
        <f>XLOOKUP($B$5,tblProjects[Project ID],tblProjects[Progress %],"")</f>
        <v/>
      </c>
      <c r="C9" s="2" t="n"/>
      <c r="D9" s="19" t="inlineStr">
        <is>
          <t>Open Issues</t>
        </is>
      </c>
      <c r="E9" s="16">
        <f>XLOOKUP($B$5,tblProjects[Project ID],tblProjects[Open Issues],"")</f>
        <v/>
      </c>
      <c r="F9" s="20" t="n"/>
      <c r="G9" s="19" t="inlineStr">
        <is>
          <t>Open Risks</t>
        </is>
      </c>
      <c r="H9" s="16">
        <f>XLOOKUP($B$5,tblProjects[Project ID],tblProjects[Open Risks],"")</f>
        <v/>
      </c>
      <c r="I9" s="2" t="n"/>
      <c r="J9" s="19" t="inlineStr">
        <is>
          <t>Logged Hours</t>
        </is>
      </c>
      <c r="K9" s="16">
        <f>XLOOKUP($B$5,tblProjects[Project ID],tblProjects[Logged Hours],"")</f>
        <v/>
      </c>
      <c r="L9" s="2" t="n"/>
      <c r="M9" s="2" t="n"/>
      <c r="N9" s="2" t="n"/>
    </row>
    <row r="10">
      <c r="A10" s="2" t="n"/>
      <c r="B10" s="20" t="n"/>
      <c r="C10" s="2" t="n"/>
      <c r="D10" s="2" t="n"/>
      <c r="E10" s="2" t="n"/>
      <c r="F10" s="20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0" t="n"/>
      <c r="C11" s="2" t="n"/>
      <c r="D11" s="2" t="n"/>
      <c r="E11" s="2" t="n"/>
      <c r="F11" s="20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8" t="inlineStr">
        <is>
          <t>Project Task Snapshot</t>
        </is>
      </c>
      <c r="B12" s="20" t="n"/>
      <c r="C12" s="2" t="n"/>
      <c r="D12" s="2" t="n"/>
      <c r="E12" s="2" t="n"/>
      <c r="F12" s="20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17" t="inlineStr">
        <is>
          <t>Task ID</t>
        </is>
      </c>
      <c r="B13" s="22" t="inlineStr">
        <is>
          <t>Task Name</t>
        </is>
      </c>
      <c r="C13" s="17" t="inlineStr">
        <is>
          <t>Owner</t>
        </is>
      </c>
      <c r="D13" s="17" t="inlineStr">
        <is>
          <t>Status</t>
        </is>
      </c>
      <c r="E13" s="17" t="inlineStr">
        <is>
          <t>Priority</t>
        </is>
      </c>
      <c r="F13" s="22" t="inlineStr">
        <is>
          <t>Progress</t>
        </is>
      </c>
      <c r="G13" s="17" t="inlineStr">
        <is>
          <t>Health</t>
        </is>
      </c>
      <c r="H13" s="17" t="inlineStr">
        <is>
          <t>Due Date</t>
        </is>
      </c>
      <c r="I13" s="2" t="n"/>
      <c r="J13" s="2" t="n"/>
      <c r="K13" s="2" t="n"/>
      <c r="L13" s="2" t="n"/>
      <c r="M13" s="2" t="n"/>
      <c r="N13" s="2" t="n"/>
    </row>
    <row r="14">
      <c r="A14" s="2">
        <f>IFERROR(INDEX(FILTER(tblTasks[Task ID],tblTasks[Project ID]=$B$5),1),"")</f>
        <v/>
      </c>
      <c r="B14" s="20">
        <f>IFERROR(INDEX(FILTER(tblTasks[Task Name],tblTasks[Project ID]=$B$5),1),"")</f>
        <v/>
      </c>
      <c r="C14" s="2">
        <f>IFERROR(INDEX(FILTER(tblTasks[Assigned User],tblTasks[Project ID]=$B$5),1),"")</f>
        <v/>
      </c>
      <c r="D14" s="2">
        <f>IFERROR(INDEX(FILTER(tblTasks[Manual Status],tblTasks[Project ID]=$B$5),1),"")</f>
        <v/>
      </c>
      <c r="E14" s="2">
        <f>IFERROR(INDEX(FILTER(tblTasks[Priority],tblTasks[Project ID]=$B$5),1),"")</f>
        <v/>
      </c>
      <c r="F14" s="20">
        <f>IFERROR(INDEX(FILTER(tblTasks[Progress %],tblTasks[Project ID]=$B$5),1),"")</f>
        <v/>
      </c>
      <c r="G14" s="2">
        <f>IFERROR(INDEX(FILTER(tblTasks[Auto Health],tblTasks[Project ID]=$B$5),1),"")</f>
        <v/>
      </c>
      <c r="H14" s="2">
        <f>IFERROR(INDEX(FILTER(tblTasks[Due Date],tblTasks[Project ID]=$B$5),1),"")</f>
        <v/>
      </c>
      <c r="I14" s="2" t="n"/>
      <c r="J14" s="2" t="n"/>
      <c r="K14" s="2" t="n"/>
      <c r="L14" s="2" t="n"/>
      <c r="M14" s="2" t="n"/>
      <c r="N14" s="2" t="n"/>
    </row>
    <row r="15">
      <c r="A15" s="2">
        <f>IFERROR(INDEX(FILTER(tblTasks[Task ID],tblTasks[Project ID]=$B$5),2),"")</f>
        <v/>
      </c>
      <c r="B15" s="20">
        <f>IFERROR(INDEX(FILTER(tblTasks[Task Name],tblTasks[Project ID]=$B$5),2),"")</f>
        <v/>
      </c>
      <c r="C15" s="2">
        <f>IFERROR(INDEX(FILTER(tblTasks[Assigned User],tblTasks[Project ID]=$B$5),2),"")</f>
        <v/>
      </c>
      <c r="D15" s="2">
        <f>IFERROR(INDEX(FILTER(tblTasks[Manual Status],tblTasks[Project ID]=$B$5),2),"")</f>
        <v/>
      </c>
      <c r="E15" s="2">
        <f>IFERROR(INDEX(FILTER(tblTasks[Priority],tblTasks[Project ID]=$B$5),2),"")</f>
        <v/>
      </c>
      <c r="F15" s="20">
        <f>IFERROR(INDEX(FILTER(tblTasks[Progress %],tblTasks[Project ID]=$B$5),2),"")</f>
        <v/>
      </c>
      <c r="G15" s="2">
        <f>IFERROR(INDEX(FILTER(tblTasks[Auto Health],tblTasks[Project ID]=$B$5),2),"")</f>
        <v/>
      </c>
      <c r="H15" s="2">
        <f>IFERROR(INDEX(FILTER(tblTasks[Due Date],tblTasks[Project ID]=$B$5),2),"")</f>
        <v/>
      </c>
      <c r="I15" s="2" t="n"/>
      <c r="J15" s="2" t="n"/>
      <c r="K15" s="2" t="n"/>
      <c r="L15" s="2" t="n"/>
      <c r="M15" s="2" t="n"/>
      <c r="N15" s="2" t="n"/>
    </row>
    <row r="16">
      <c r="A16" s="2">
        <f>IFERROR(INDEX(FILTER(tblTasks[Task ID],tblTasks[Project ID]=$B$5),3),"")</f>
        <v/>
      </c>
      <c r="B16" s="20">
        <f>IFERROR(INDEX(FILTER(tblTasks[Task Name],tblTasks[Project ID]=$B$5),3),"")</f>
        <v/>
      </c>
      <c r="C16" s="2">
        <f>IFERROR(INDEX(FILTER(tblTasks[Assigned User],tblTasks[Project ID]=$B$5),3),"")</f>
        <v/>
      </c>
      <c r="D16" s="2">
        <f>IFERROR(INDEX(FILTER(tblTasks[Manual Status],tblTasks[Project ID]=$B$5),3),"")</f>
        <v/>
      </c>
      <c r="E16" s="2">
        <f>IFERROR(INDEX(FILTER(tblTasks[Priority],tblTasks[Project ID]=$B$5),3),"")</f>
        <v/>
      </c>
      <c r="F16" s="20">
        <f>IFERROR(INDEX(FILTER(tblTasks[Progress %],tblTasks[Project ID]=$B$5),3),"")</f>
        <v/>
      </c>
      <c r="G16" s="2">
        <f>IFERROR(INDEX(FILTER(tblTasks[Auto Health],tblTasks[Project ID]=$B$5),3),"")</f>
        <v/>
      </c>
      <c r="H16" s="2">
        <f>IFERROR(INDEX(FILTER(tblTasks[Due Date],tblTasks[Project ID]=$B$5),3),"")</f>
        <v/>
      </c>
      <c r="I16" s="2" t="n"/>
      <c r="J16" s="2" t="n"/>
      <c r="K16" s="2" t="n"/>
      <c r="L16" s="2" t="n"/>
      <c r="M16" s="2" t="n"/>
      <c r="N16" s="2" t="n"/>
    </row>
    <row r="17">
      <c r="A17" s="2">
        <f>IFERROR(INDEX(FILTER(tblTasks[Task ID],tblTasks[Project ID]=$B$5),4),"")</f>
        <v/>
      </c>
      <c r="B17" s="20">
        <f>IFERROR(INDEX(FILTER(tblTasks[Task Name],tblTasks[Project ID]=$B$5),4),"")</f>
        <v/>
      </c>
      <c r="C17" s="2">
        <f>IFERROR(INDEX(FILTER(tblTasks[Assigned User],tblTasks[Project ID]=$B$5),4),"")</f>
        <v/>
      </c>
      <c r="D17" s="2">
        <f>IFERROR(INDEX(FILTER(tblTasks[Manual Status],tblTasks[Project ID]=$B$5),4),"")</f>
        <v/>
      </c>
      <c r="E17" s="2">
        <f>IFERROR(INDEX(FILTER(tblTasks[Priority],tblTasks[Project ID]=$B$5),4),"")</f>
        <v/>
      </c>
      <c r="F17" s="20">
        <f>IFERROR(INDEX(FILTER(tblTasks[Progress %],tblTasks[Project ID]=$B$5),4),"")</f>
        <v/>
      </c>
      <c r="G17" s="2">
        <f>IFERROR(INDEX(FILTER(tblTasks[Auto Health],tblTasks[Project ID]=$B$5),4),"")</f>
        <v/>
      </c>
      <c r="H17" s="2">
        <f>IFERROR(INDEX(FILTER(tblTasks[Due Date],tblTasks[Project ID]=$B$5),4),"")</f>
        <v/>
      </c>
      <c r="I17" s="2" t="n"/>
      <c r="J17" s="2" t="n"/>
      <c r="K17" s="2" t="n"/>
      <c r="L17" s="2" t="n"/>
      <c r="M17" s="2" t="n"/>
      <c r="N17" s="2" t="n"/>
    </row>
    <row r="18">
      <c r="A18" s="2">
        <f>IFERROR(INDEX(FILTER(tblTasks[Task ID],tblTasks[Project ID]=$B$5),5),"")</f>
        <v/>
      </c>
      <c r="B18" s="20">
        <f>IFERROR(INDEX(FILTER(tblTasks[Task Name],tblTasks[Project ID]=$B$5),5),"")</f>
        <v/>
      </c>
      <c r="C18" s="2">
        <f>IFERROR(INDEX(FILTER(tblTasks[Assigned User],tblTasks[Project ID]=$B$5),5),"")</f>
        <v/>
      </c>
      <c r="D18" s="2">
        <f>IFERROR(INDEX(FILTER(tblTasks[Manual Status],tblTasks[Project ID]=$B$5),5),"")</f>
        <v/>
      </c>
      <c r="E18" s="2">
        <f>IFERROR(INDEX(FILTER(tblTasks[Priority],tblTasks[Project ID]=$B$5),5),"")</f>
        <v/>
      </c>
      <c r="F18" s="20">
        <f>IFERROR(INDEX(FILTER(tblTasks[Progress %],tblTasks[Project ID]=$B$5),5),"")</f>
        <v/>
      </c>
      <c r="G18" s="2">
        <f>IFERROR(INDEX(FILTER(tblTasks[Auto Health],tblTasks[Project ID]=$B$5),5),"")</f>
        <v/>
      </c>
      <c r="H18" s="2">
        <f>IFERROR(INDEX(FILTER(tblTasks[Due Date],tblTasks[Project ID]=$B$5),5),"")</f>
        <v/>
      </c>
      <c r="I18" s="2" t="n"/>
      <c r="J18" s="2" t="n"/>
      <c r="K18" s="2" t="n"/>
      <c r="L18" s="2" t="n"/>
      <c r="M18" s="2" t="n"/>
      <c r="N18" s="2" t="n"/>
    </row>
    <row r="19">
      <c r="A19" s="2">
        <f>IFERROR(INDEX(FILTER(tblTasks[Task ID],tblTasks[Project ID]=$B$5),6),"")</f>
        <v/>
      </c>
      <c r="B19" s="20">
        <f>IFERROR(INDEX(FILTER(tblTasks[Task Name],tblTasks[Project ID]=$B$5),6),"")</f>
        <v/>
      </c>
      <c r="C19" s="2">
        <f>IFERROR(INDEX(FILTER(tblTasks[Assigned User],tblTasks[Project ID]=$B$5),6),"")</f>
        <v/>
      </c>
      <c r="D19" s="2">
        <f>IFERROR(INDEX(FILTER(tblTasks[Manual Status],tblTasks[Project ID]=$B$5),6),"")</f>
        <v/>
      </c>
      <c r="E19" s="2">
        <f>IFERROR(INDEX(FILTER(tblTasks[Priority],tblTasks[Project ID]=$B$5),6),"")</f>
        <v/>
      </c>
      <c r="F19" s="20">
        <f>IFERROR(INDEX(FILTER(tblTasks[Progress %],tblTasks[Project ID]=$B$5),6),"")</f>
        <v/>
      </c>
      <c r="G19" s="2">
        <f>IFERROR(INDEX(FILTER(tblTasks[Auto Health],tblTasks[Project ID]=$B$5),6),"")</f>
        <v/>
      </c>
      <c r="H19" s="2">
        <f>IFERROR(INDEX(FILTER(tblTasks[Due Date],tblTasks[Project ID]=$B$5),6),"")</f>
        <v/>
      </c>
      <c r="I19" s="2" t="n"/>
      <c r="J19" s="2" t="n"/>
      <c r="K19" s="2" t="n"/>
      <c r="L19" s="2" t="n"/>
      <c r="M19" s="2" t="n"/>
      <c r="N19" s="2" t="n"/>
    </row>
    <row r="20">
      <c r="A20" s="2">
        <f>IFERROR(INDEX(FILTER(tblTasks[Task ID],tblTasks[Project ID]=$B$5),7),"")</f>
        <v/>
      </c>
      <c r="B20" s="20">
        <f>IFERROR(INDEX(FILTER(tblTasks[Task Name],tblTasks[Project ID]=$B$5),7),"")</f>
        <v/>
      </c>
      <c r="C20" s="2">
        <f>IFERROR(INDEX(FILTER(tblTasks[Assigned User],tblTasks[Project ID]=$B$5),7),"")</f>
        <v/>
      </c>
      <c r="D20" s="2">
        <f>IFERROR(INDEX(FILTER(tblTasks[Manual Status],tblTasks[Project ID]=$B$5),7),"")</f>
        <v/>
      </c>
      <c r="E20" s="2">
        <f>IFERROR(INDEX(FILTER(tblTasks[Priority],tblTasks[Project ID]=$B$5),7),"")</f>
        <v/>
      </c>
      <c r="F20" s="20">
        <f>IFERROR(INDEX(FILTER(tblTasks[Progress %],tblTasks[Project ID]=$B$5),7),"")</f>
        <v/>
      </c>
      <c r="G20" s="2">
        <f>IFERROR(INDEX(FILTER(tblTasks[Auto Health],tblTasks[Project ID]=$B$5),7),"")</f>
        <v/>
      </c>
      <c r="H20" s="2">
        <f>IFERROR(INDEX(FILTER(tblTasks[Due Date],tblTasks[Project ID]=$B$5),7),"")</f>
        <v/>
      </c>
      <c r="I20" s="2" t="n"/>
      <c r="J20" s="2" t="n"/>
      <c r="K20" s="2" t="n"/>
      <c r="L20" s="2" t="n"/>
      <c r="M20" s="2" t="n"/>
      <c r="N20" s="2" t="n"/>
    </row>
    <row r="21">
      <c r="A21" s="2">
        <f>IFERROR(INDEX(FILTER(tblTasks[Task ID],tblTasks[Project ID]=$B$5),8),"")</f>
        <v/>
      </c>
      <c r="B21" s="20">
        <f>IFERROR(INDEX(FILTER(tblTasks[Task Name],tblTasks[Project ID]=$B$5),8),"")</f>
        <v/>
      </c>
      <c r="C21" s="2">
        <f>IFERROR(INDEX(FILTER(tblTasks[Assigned User],tblTasks[Project ID]=$B$5),8),"")</f>
        <v/>
      </c>
      <c r="D21" s="2">
        <f>IFERROR(INDEX(FILTER(tblTasks[Manual Status],tblTasks[Project ID]=$B$5),8),"")</f>
        <v/>
      </c>
      <c r="E21" s="2">
        <f>IFERROR(INDEX(FILTER(tblTasks[Priority],tblTasks[Project ID]=$B$5),8),"")</f>
        <v/>
      </c>
      <c r="F21" s="20">
        <f>IFERROR(INDEX(FILTER(tblTasks[Progress %],tblTasks[Project ID]=$B$5),8),"")</f>
        <v/>
      </c>
      <c r="G21" s="2">
        <f>IFERROR(INDEX(FILTER(tblTasks[Auto Health],tblTasks[Project ID]=$B$5),8),"")</f>
        <v/>
      </c>
      <c r="H21" s="2">
        <f>IFERROR(INDEX(FILTER(tblTasks[Due Date],tblTasks[Project ID]=$B$5),8),"")</f>
        <v/>
      </c>
      <c r="I21" s="2" t="n"/>
      <c r="J21" s="2" t="n"/>
      <c r="K21" s="2" t="n"/>
      <c r="L21" s="2" t="n"/>
      <c r="M21" s="2" t="n"/>
      <c r="N21" s="2" t="n"/>
    </row>
    <row r="22">
      <c r="A22" s="2">
        <f>IFERROR(INDEX(FILTER(tblTasks[Task ID],tblTasks[Project ID]=$B$5),9),"")</f>
        <v/>
      </c>
      <c r="B22" s="20">
        <f>IFERROR(INDEX(FILTER(tblTasks[Task Name],tblTasks[Project ID]=$B$5),9),"")</f>
        <v/>
      </c>
      <c r="C22" s="2">
        <f>IFERROR(INDEX(FILTER(tblTasks[Assigned User],tblTasks[Project ID]=$B$5),9),"")</f>
        <v/>
      </c>
      <c r="D22" s="2">
        <f>IFERROR(INDEX(FILTER(tblTasks[Manual Status],tblTasks[Project ID]=$B$5),9),"")</f>
        <v/>
      </c>
      <c r="E22" s="2">
        <f>IFERROR(INDEX(FILTER(tblTasks[Priority],tblTasks[Project ID]=$B$5),9),"")</f>
        <v/>
      </c>
      <c r="F22" s="20">
        <f>IFERROR(INDEX(FILTER(tblTasks[Progress %],tblTasks[Project ID]=$B$5),9),"")</f>
        <v/>
      </c>
      <c r="G22" s="2">
        <f>IFERROR(INDEX(FILTER(tblTasks[Auto Health],tblTasks[Project ID]=$B$5),9),"")</f>
        <v/>
      </c>
      <c r="H22" s="2">
        <f>IFERROR(INDEX(FILTER(tblTasks[Due Date],tblTasks[Project ID]=$B$5),9),"")</f>
        <v/>
      </c>
      <c r="I22" s="2" t="n"/>
      <c r="J22" s="2" t="n"/>
      <c r="K22" s="2" t="n"/>
      <c r="L22" s="2" t="n"/>
      <c r="M22" s="2" t="n"/>
      <c r="N22" s="2" t="n"/>
    </row>
    <row r="23">
      <c r="A23" s="2">
        <f>IFERROR(INDEX(FILTER(tblTasks[Task ID],tblTasks[Project ID]=$B$5),10),"")</f>
        <v/>
      </c>
      <c r="B23" s="20">
        <f>IFERROR(INDEX(FILTER(tblTasks[Task Name],tblTasks[Project ID]=$B$5),10),"")</f>
        <v/>
      </c>
      <c r="C23" s="2">
        <f>IFERROR(INDEX(FILTER(tblTasks[Assigned User],tblTasks[Project ID]=$B$5),10),"")</f>
        <v/>
      </c>
      <c r="D23" s="2">
        <f>IFERROR(INDEX(FILTER(tblTasks[Manual Status],tblTasks[Project ID]=$B$5),10),"")</f>
        <v/>
      </c>
      <c r="E23" s="2">
        <f>IFERROR(INDEX(FILTER(tblTasks[Priority],tblTasks[Project ID]=$B$5),10),"")</f>
        <v/>
      </c>
      <c r="F23" s="20">
        <f>IFERROR(INDEX(FILTER(tblTasks[Progress %],tblTasks[Project ID]=$B$5),10),"")</f>
        <v/>
      </c>
      <c r="G23" s="2">
        <f>IFERROR(INDEX(FILTER(tblTasks[Auto Health],tblTasks[Project ID]=$B$5),10),"")</f>
        <v/>
      </c>
      <c r="H23" s="2">
        <f>IFERROR(INDEX(FILTER(tblTasks[Due Date],tblTasks[Project ID]=$B$5),10),"")</f>
        <v/>
      </c>
      <c r="I23" s="2" t="n"/>
      <c r="J23" s="2" t="n"/>
      <c r="K23" s="2" t="n"/>
      <c r="L23" s="2" t="n"/>
      <c r="M23" s="2" t="n"/>
      <c r="N23" s="2" t="n"/>
    </row>
    <row r="24">
      <c r="A24" s="2">
        <f>IFERROR(INDEX(FILTER(tblTasks[Task ID],tblTasks[Project ID]=$B$5),11),"")</f>
        <v/>
      </c>
      <c r="B24" s="20">
        <f>IFERROR(INDEX(FILTER(tblTasks[Task Name],tblTasks[Project ID]=$B$5),11),"")</f>
        <v/>
      </c>
      <c r="C24" s="2">
        <f>IFERROR(INDEX(FILTER(tblTasks[Assigned User],tblTasks[Project ID]=$B$5),11),"")</f>
        <v/>
      </c>
      <c r="D24" s="2">
        <f>IFERROR(INDEX(FILTER(tblTasks[Manual Status],tblTasks[Project ID]=$B$5),11),"")</f>
        <v/>
      </c>
      <c r="E24" s="2">
        <f>IFERROR(INDEX(FILTER(tblTasks[Priority],tblTasks[Project ID]=$B$5),11),"")</f>
        <v/>
      </c>
      <c r="F24" s="20">
        <f>IFERROR(INDEX(FILTER(tblTasks[Progress %],tblTasks[Project ID]=$B$5),11),"")</f>
        <v/>
      </c>
      <c r="G24" s="2">
        <f>IFERROR(INDEX(FILTER(tblTasks[Auto Health],tblTasks[Project ID]=$B$5),11),"")</f>
        <v/>
      </c>
      <c r="H24" s="2">
        <f>IFERROR(INDEX(FILTER(tblTasks[Due Date],tblTasks[Project ID]=$B$5),11),"")</f>
        <v/>
      </c>
      <c r="I24" s="2" t="n"/>
      <c r="J24" s="2" t="n"/>
      <c r="K24" s="2" t="n"/>
      <c r="L24" s="2" t="n"/>
      <c r="M24" s="2" t="n"/>
      <c r="N24" s="2" t="n"/>
    </row>
    <row r="25">
      <c r="A25" s="2">
        <f>IFERROR(INDEX(FILTER(tblTasks[Task ID],tblTasks[Project ID]=$B$5),12),"")</f>
        <v/>
      </c>
      <c r="B25" s="20">
        <f>IFERROR(INDEX(FILTER(tblTasks[Task Name],tblTasks[Project ID]=$B$5),12),"")</f>
        <v/>
      </c>
      <c r="C25" s="2">
        <f>IFERROR(INDEX(FILTER(tblTasks[Assigned User],tblTasks[Project ID]=$B$5),12),"")</f>
        <v/>
      </c>
      <c r="D25" s="2">
        <f>IFERROR(INDEX(FILTER(tblTasks[Manual Status],tblTasks[Project ID]=$B$5),12),"")</f>
        <v/>
      </c>
      <c r="E25" s="2">
        <f>IFERROR(INDEX(FILTER(tblTasks[Priority],tblTasks[Project ID]=$B$5),12),"")</f>
        <v/>
      </c>
      <c r="F25" s="20">
        <f>IFERROR(INDEX(FILTER(tblTasks[Progress %],tblTasks[Project ID]=$B$5),12),"")</f>
        <v/>
      </c>
      <c r="G25" s="2">
        <f>IFERROR(INDEX(FILTER(tblTasks[Auto Health],tblTasks[Project ID]=$B$5),12),"")</f>
        <v/>
      </c>
      <c r="H25" s="2">
        <f>IFERROR(INDEX(FILTER(tblTasks[Due Date],tblTasks[Project ID]=$B$5),12),"")</f>
        <v/>
      </c>
      <c r="I25" s="2" t="n"/>
      <c r="J25" s="2" t="n"/>
      <c r="K25" s="2" t="n"/>
      <c r="L25" s="2" t="n"/>
      <c r="M25" s="2" t="n"/>
      <c r="N25" s="2" t="n"/>
    </row>
    <row r="26">
      <c r="A26" s="2">
        <f>IFERROR(INDEX(FILTER(tblTasks[Task ID],tblTasks[Project ID]=$B$5),13),"")</f>
        <v/>
      </c>
      <c r="B26" s="20">
        <f>IFERROR(INDEX(FILTER(tblTasks[Task Name],tblTasks[Project ID]=$B$5),13),"")</f>
        <v/>
      </c>
      <c r="C26" s="2">
        <f>IFERROR(INDEX(FILTER(tblTasks[Assigned User],tblTasks[Project ID]=$B$5),13),"")</f>
        <v/>
      </c>
      <c r="D26" s="2">
        <f>IFERROR(INDEX(FILTER(tblTasks[Manual Status],tblTasks[Project ID]=$B$5),13),"")</f>
        <v/>
      </c>
      <c r="E26" s="2">
        <f>IFERROR(INDEX(FILTER(tblTasks[Priority],tblTasks[Project ID]=$B$5),13),"")</f>
        <v/>
      </c>
      <c r="F26" s="20">
        <f>IFERROR(INDEX(FILTER(tblTasks[Progress %],tblTasks[Project ID]=$B$5),13),"")</f>
        <v/>
      </c>
      <c r="G26" s="2">
        <f>IFERROR(INDEX(FILTER(tblTasks[Auto Health],tblTasks[Project ID]=$B$5),13),"")</f>
        <v/>
      </c>
      <c r="H26" s="2">
        <f>IFERROR(INDEX(FILTER(tblTasks[Due Date],tblTasks[Project ID]=$B$5),13),"")</f>
        <v/>
      </c>
      <c r="I26" s="2" t="n"/>
      <c r="J26" s="2" t="n"/>
      <c r="K26" s="2" t="n"/>
      <c r="L26" s="2" t="n"/>
      <c r="M26" s="2" t="n"/>
      <c r="N26" s="2" t="n"/>
    </row>
    <row r="27">
      <c r="A27" s="2">
        <f>IFERROR(INDEX(FILTER(tblTasks[Task ID],tblTasks[Project ID]=$B$5),14),"")</f>
        <v/>
      </c>
      <c r="B27" s="20">
        <f>IFERROR(INDEX(FILTER(tblTasks[Task Name],tblTasks[Project ID]=$B$5),14),"")</f>
        <v/>
      </c>
      <c r="C27" s="2">
        <f>IFERROR(INDEX(FILTER(tblTasks[Assigned User],tblTasks[Project ID]=$B$5),14),"")</f>
        <v/>
      </c>
      <c r="D27" s="2">
        <f>IFERROR(INDEX(FILTER(tblTasks[Manual Status],tblTasks[Project ID]=$B$5),14),"")</f>
        <v/>
      </c>
      <c r="E27" s="2">
        <f>IFERROR(INDEX(FILTER(tblTasks[Priority],tblTasks[Project ID]=$B$5),14),"")</f>
        <v/>
      </c>
      <c r="F27" s="20">
        <f>IFERROR(INDEX(FILTER(tblTasks[Progress %],tblTasks[Project ID]=$B$5),14),"")</f>
        <v/>
      </c>
      <c r="G27" s="2">
        <f>IFERROR(INDEX(FILTER(tblTasks[Auto Health],tblTasks[Project ID]=$B$5),14),"")</f>
        <v/>
      </c>
      <c r="H27" s="2">
        <f>IFERROR(INDEX(FILTER(tblTasks[Due Date],tblTasks[Project ID]=$B$5),14),"")</f>
        <v/>
      </c>
      <c r="I27" s="2" t="n"/>
      <c r="J27" s="2" t="n"/>
      <c r="K27" s="2" t="n"/>
      <c r="L27" s="2" t="n"/>
      <c r="M27" s="2" t="n"/>
      <c r="N27" s="2" t="n"/>
    </row>
    <row r="28">
      <c r="A28" s="2">
        <f>IFERROR(INDEX(FILTER(tblTasks[Task ID],tblTasks[Project ID]=$B$5),15),"")</f>
        <v/>
      </c>
      <c r="B28" s="20">
        <f>IFERROR(INDEX(FILTER(tblTasks[Task Name],tblTasks[Project ID]=$B$5),15),"")</f>
        <v/>
      </c>
      <c r="C28" s="2">
        <f>IFERROR(INDEX(FILTER(tblTasks[Assigned User],tblTasks[Project ID]=$B$5),15),"")</f>
        <v/>
      </c>
      <c r="D28" s="2">
        <f>IFERROR(INDEX(FILTER(tblTasks[Manual Status],tblTasks[Project ID]=$B$5),15),"")</f>
        <v/>
      </c>
      <c r="E28" s="2">
        <f>IFERROR(INDEX(FILTER(tblTasks[Priority],tblTasks[Project ID]=$B$5),15),"")</f>
        <v/>
      </c>
      <c r="F28" s="20">
        <f>IFERROR(INDEX(FILTER(tblTasks[Progress %],tblTasks[Project ID]=$B$5),15),"")</f>
        <v/>
      </c>
      <c r="G28" s="2">
        <f>IFERROR(INDEX(FILTER(tblTasks[Auto Health],tblTasks[Project ID]=$B$5),15),"")</f>
        <v/>
      </c>
      <c r="H28" s="2">
        <f>IFERROR(INDEX(FILTER(tblTasks[Due Date],tblTasks[Project ID]=$B$5),15),"")</f>
        <v/>
      </c>
      <c r="I28" s="2" t="n"/>
      <c r="J28" s="2" t="n"/>
      <c r="K28" s="2" t="n"/>
      <c r="L28" s="2" t="n"/>
      <c r="M28" s="2" t="n"/>
      <c r="N28" s="2" t="n"/>
    </row>
    <row r="29">
      <c r="A29" s="2" t="n"/>
      <c r="B29" s="20" t="n"/>
      <c r="C29" s="2" t="n"/>
      <c r="D29" s="2" t="n"/>
      <c r="E29" s="2" t="n"/>
      <c r="F29" s="20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0" t="n"/>
      <c r="C30" s="2" t="n"/>
      <c r="D30" s="2" t="n"/>
      <c r="E30" s="2" t="n"/>
      <c r="F30" s="20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8" t="inlineStr">
        <is>
          <t>Recent Activity</t>
        </is>
      </c>
      <c r="B31" s="20" t="n"/>
      <c r="C31" s="2" t="n"/>
      <c r="D31" s="2" t="n"/>
      <c r="E31" s="2" t="n"/>
      <c r="F31" s="20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17" t="inlineStr">
        <is>
          <t>Date</t>
        </is>
      </c>
      <c r="B32" s="22" t="inlineStr">
        <is>
          <t>Type</t>
        </is>
      </c>
      <c r="C32" s="17" t="inlineStr">
        <is>
          <t>User</t>
        </is>
      </c>
      <c r="D32" s="17" t="inlineStr">
        <is>
          <t>Task</t>
        </is>
      </c>
      <c r="E32" s="17" t="inlineStr">
        <is>
          <t>Comment</t>
        </is>
      </c>
      <c r="F32" s="20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>
        <f>IFERROR(INDEX(FILTER(tblActivity[Activity Date],tblActivity[Project ID]=$B$5),1),"")</f>
        <v/>
      </c>
      <c r="B33" s="20">
        <f>IFERROR(INDEX(FILTER(tblActivity[Activity Type],tblActivity[Project ID]=$B$5),1),"")</f>
        <v/>
      </c>
      <c r="C33" s="2">
        <f>IFERROR(INDEX(FILTER(tblActivity[User ID],tblActivity[Project ID]=$B$5),1),"")</f>
        <v/>
      </c>
      <c r="D33" s="2">
        <f>IFERROR(INDEX(FILTER(tblActivity[Task ID],tblActivity[Project ID]=$B$5),1),"")</f>
        <v/>
      </c>
      <c r="E33" s="2">
        <f>IFERROR(INDEX(FILTER(tblActivity[Comment / Update],tblActivity[Project ID]=$B$5),1),"")</f>
        <v/>
      </c>
      <c r="F33" s="20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>
        <f>IFERROR(INDEX(FILTER(tblActivity[Activity Date],tblActivity[Project ID]=$B$5),2),"")</f>
        <v/>
      </c>
      <c r="B34" s="20">
        <f>IFERROR(INDEX(FILTER(tblActivity[Activity Type],tblActivity[Project ID]=$B$5),2),"")</f>
        <v/>
      </c>
      <c r="C34" s="2">
        <f>IFERROR(INDEX(FILTER(tblActivity[User ID],tblActivity[Project ID]=$B$5),2),"")</f>
        <v/>
      </c>
      <c r="D34" s="2">
        <f>IFERROR(INDEX(FILTER(tblActivity[Task ID],tblActivity[Project ID]=$B$5),2),"")</f>
        <v/>
      </c>
      <c r="E34" s="2">
        <f>IFERROR(INDEX(FILTER(tblActivity[Comment / Update],tblActivity[Project ID]=$B$5),2),"")</f>
        <v/>
      </c>
      <c r="F34" s="20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>
        <f>IFERROR(INDEX(FILTER(tblActivity[Activity Date],tblActivity[Project ID]=$B$5),3),"")</f>
        <v/>
      </c>
      <c r="B35" s="20">
        <f>IFERROR(INDEX(FILTER(tblActivity[Activity Type],tblActivity[Project ID]=$B$5),3),"")</f>
        <v/>
      </c>
      <c r="C35" s="2">
        <f>IFERROR(INDEX(FILTER(tblActivity[User ID],tblActivity[Project ID]=$B$5),3),"")</f>
        <v/>
      </c>
      <c r="D35" s="2">
        <f>IFERROR(INDEX(FILTER(tblActivity[Task ID],tblActivity[Project ID]=$B$5),3),"")</f>
        <v/>
      </c>
      <c r="E35" s="2">
        <f>IFERROR(INDEX(FILTER(tblActivity[Comment / Update],tblActivity[Project ID]=$B$5),3),"")</f>
        <v/>
      </c>
      <c r="F35" s="20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>
        <f>IFERROR(INDEX(FILTER(tblActivity[Activity Date],tblActivity[Project ID]=$B$5),4),"")</f>
        <v/>
      </c>
      <c r="B36" s="20">
        <f>IFERROR(INDEX(FILTER(tblActivity[Activity Type],tblActivity[Project ID]=$B$5),4),"")</f>
        <v/>
      </c>
      <c r="C36" s="2">
        <f>IFERROR(INDEX(FILTER(tblActivity[User ID],tblActivity[Project ID]=$B$5),4),"")</f>
        <v/>
      </c>
      <c r="D36" s="2">
        <f>IFERROR(INDEX(FILTER(tblActivity[Task ID],tblActivity[Project ID]=$B$5),4),"")</f>
        <v/>
      </c>
      <c r="E36" s="2">
        <f>IFERROR(INDEX(FILTER(tblActivity[Comment / Update],tblActivity[Project ID]=$B$5),4),"")</f>
        <v/>
      </c>
      <c r="F36" s="20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>
        <f>IFERROR(INDEX(FILTER(tblActivity[Activity Date],tblActivity[Project ID]=$B$5),5),"")</f>
        <v/>
      </c>
      <c r="B37" s="20">
        <f>IFERROR(INDEX(FILTER(tblActivity[Activity Type],tblActivity[Project ID]=$B$5),5),"")</f>
        <v/>
      </c>
      <c r="C37" s="2">
        <f>IFERROR(INDEX(FILTER(tblActivity[User ID],tblActivity[Project ID]=$B$5),5),"")</f>
        <v/>
      </c>
      <c r="D37" s="2">
        <f>IFERROR(INDEX(FILTER(tblActivity[Task ID],tblActivity[Project ID]=$B$5),5),"")</f>
        <v/>
      </c>
      <c r="E37" s="2">
        <f>IFERROR(INDEX(FILTER(tblActivity[Comment / Update],tblActivity[Project ID]=$B$5),5),"")</f>
        <v/>
      </c>
      <c r="F37" s="20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>
        <f>IFERROR(INDEX(FILTER(tblActivity[Activity Date],tblActivity[Project ID]=$B$5),6),"")</f>
        <v/>
      </c>
      <c r="B38" s="20">
        <f>IFERROR(INDEX(FILTER(tblActivity[Activity Type],tblActivity[Project ID]=$B$5),6),"")</f>
        <v/>
      </c>
      <c r="C38" s="2">
        <f>IFERROR(INDEX(FILTER(tblActivity[User ID],tblActivity[Project ID]=$B$5),6),"")</f>
        <v/>
      </c>
      <c r="D38" s="2">
        <f>IFERROR(INDEX(FILTER(tblActivity[Task ID],tblActivity[Project ID]=$B$5),6),"")</f>
        <v/>
      </c>
      <c r="E38" s="2">
        <f>IFERROR(INDEX(FILTER(tblActivity[Comment / Update],tblActivity[Project ID]=$B$5),6),"")</f>
        <v/>
      </c>
      <c r="F38" s="20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>
        <f>IFERROR(INDEX(FILTER(tblActivity[Activity Date],tblActivity[Project ID]=$B$5),7),"")</f>
        <v/>
      </c>
      <c r="B39" s="20">
        <f>IFERROR(INDEX(FILTER(tblActivity[Activity Type],tblActivity[Project ID]=$B$5),7),"")</f>
        <v/>
      </c>
      <c r="C39" s="2">
        <f>IFERROR(INDEX(FILTER(tblActivity[User ID],tblActivity[Project ID]=$B$5),7),"")</f>
        <v/>
      </c>
      <c r="D39" s="2">
        <f>IFERROR(INDEX(FILTER(tblActivity[Task ID],tblActivity[Project ID]=$B$5),7),"")</f>
        <v/>
      </c>
      <c r="E39" s="2">
        <f>IFERROR(INDEX(FILTER(tblActivity[Comment / Update],tblActivity[Project ID]=$B$5),7),"")</f>
        <v/>
      </c>
      <c r="F39" s="20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>
        <f>IFERROR(INDEX(FILTER(tblActivity[Activity Date],tblActivity[Project ID]=$B$5),8),"")</f>
        <v/>
      </c>
      <c r="B40" s="20">
        <f>IFERROR(INDEX(FILTER(tblActivity[Activity Type],tblActivity[Project ID]=$B$5),8),"")</f>
        <v/>
      </c>
      <c r="C40" s="2">
        <f>IFERROR(INDEX(FILTER(tblActivity[User ID],tblActivity[Project ID]=$B$5),8),"")</f>
        <v/>
      </c>
      <c r="D40" s="2">
        <f>IFERROR(INDEX(FILTER(tblActivity[Task ID],tblActivity[Project ID]=$B$5),8),"")</f>
        <v/>
      </c>
      <c r="E40" s="2">
        <f>IFERROR(INDEX(FILTER(tblActivity[Comment / Update],tblActivity[Project ID]=$B$5),8),"")</f>
        <v/>
      </c>
      <c r="F40" s="20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>
        <f>IFERROR(INDEX(FILTER(tblActivity[Activity Date],tblActivity[Project ID]=$B$5),9),"")</f>
        <v/>
      </c>
      <c r="B41" s="20">
        <f>IFERROR(INDEX(FILTER(tblActivity[Activity Type],tblActivity[Project ID]=$B$5),9),"")</f>
        <v/>
      </c>
      <c r="C41" s="2">
        <f>IFERROR(INDEX(FILTER(tblActivity[User ID],tblActivity[Project ID]=$B$5),9),"")</f>
        <v/>
      </c>
      <c r="D41" s="2">
        <f>IFERROR(INDEX(FILTER(tblActivity[Task ID],tblActivity[Project ID]=$B$5),9),"")</f>
        <v/>
      </c>
      <c r="E41" s="2">
        <f>IFERROR(INDEX(FILTER(tblActivity[Comment / Update],tblActivity[Project ID]=$B$5),9),"")</f>
        <v/>
      </c>
      <c r="F41" s="20" t="n"/>
      <c r="G41" s="2" t="n"/>
      <c r="H41" s="2" t="n"/>
      <c r="I41" s="2" t="n"/>
      <c r="J41" s="2" t="n"/>
      <c r="K41" s="2" t="n"/>
      <c r="L41" s="2" t="n"/>
      <c r="M41" s="2" t="n"/>
      <c r="N41" s="2" t="n"/>
    </row>
  </sheetData>
  <mergeCells count="2">
    <mergeCell ref="A2:N2"/>
    <mergeCell ref="A1:N1"/>
  </mergeCells>
  <dataValidations count="1">
    <dataValidation sqref="B5" showDropDown="0" showInputMessage="0" showErrorMessage="0" allowBlank="1" errorTitle="Invalid selection" error="Select a valid value from the dropdown list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U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4" customWidth="1" min="5" max="5"/>
    <col width="13" customWidth="1" min="6" max="6"/>
    <col width="13" customWidth="1" min="7" max="7"/>
    <col width="14" customWidth="1" min="8" max="8"/>
    <col width="11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1" customWidth="1" min="17" max="17"/>
    <col width="12" customWidth="1" min="18" max="18"/>
    <col width="12" customWidth="1" min="19" max="19"/>
    <col width="18" customWidth="1" min="20" max="20"/>
    <col width="28" customWidth="1" min="21" max="21"/>
  </cols>
  <sheetData>
    <row r="1" ht="30" customHeight="1">
      <c r="A1" s="1" t="inlineStr">
        <is>
          <t>Projects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Multi-project portfolio master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  <c r="O2" s="2" t="n"/>
      <c r="P2" s="2" t="n"/>
      <c r="Q2" s="2" t="n"/>
      <c r="R2" s="2" t="n"/>
      <c r="S2" s="2" t="n"/>
      <c r="T2" s="2" t="n"/>
      <c r="U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17" t="inlineStr">
        <is>
          <t>Project ID</t>
        </is>
      </c>
      <c r="B5" s="17" t="inlineStr">
        <is>
          <t>Project Name</t>
        </is>
      </c>
      <c r="C5" s="17" t="inlineStr">
        <is>
          <t>Client ID</t>
        </is>
      </c>
      <c r="D5" s="17" t="inlineStr">
        <is>
          <t>Team ID</t>
        </is>
      </c>
      <c r="E5" s="17" t="inlineStr">
        <is>
          <t>Project Manager</t>
        </is>
      </c>
      <c r="F5" s="17" t="inlineStr">
        <is>
          <t>Start Date</t>
        </is>
      </c>
      <c r="G5" s="17" t="inlineStr">
        <is>
          <t>End Date</t>
        </is>
      </c>
      <c r="H5" s="17" t="inlineStr">
        <is>
          <t>Manual Status</t>
        </is>
      </c>
      <c r="I5" s="17" t="inlineStr">
        <is>
          <t>Priority</t>
        </is>
      </c>
      <c r="J5" s="23" t="inlineStr">
        <is>
          <t>Budget</t>
        </is>
      </c>
      <c r="K5" s="23" t="inlineStr">
        <is>
          <t>Actual Cost</t>
        </is>
      </c>
      <c r="L5" s="17" t="inlineStr">
        <is>
          <t>Task Count</t>
        </is>
      </c>
      <c r="M5" s="17" t="inlineStr">
        <is>
          <t>Completed Tasks</t>
        </is>
      </c>
      <c r="N5" s="17" t="inlineStr">
        <is>
          <t>Open Issues</t>
        </is>
      </c>
      <c r="O5" s="17" t="inlineStr">
        <is>
          <t>Open Risks</t>
        </is>
      </c>
      <c r="P5" s="17" t="inlineStr">
        <is>
          <t>Logged Hours</t>
        </is>
      </c>
      <c r="Q5" s="22" t="inlineStr">
        <is>
          <t>Progress %</t>
        </is>
      </c>
      <c r="R5" s="17" t="inlineStr">
        <is>
          <t>Auto Health</t>
        </is>
      </c>
      <c r="S5" s="17" t="inlineStr">
        <is>
          <t>Days Remaining</t>
        </is>
      </c>
      <c r="T5" s="17" t="inlineStr">
        <is>
          <t>Project Group</t>
        </is>
      </c>
      <c r="U5" s="17" t="inlineStr">
        <is>
          <t>Notes</t>
        </is>
      </c>
    </row>
    <row r="6">
      <c r="A6" s="2" t="inlineStr">
        <is>
          <t>PRJ-001</t>
        </is>
      </c>
      <c r="B6" s="2" t="inlineStr">
        <is>
          <t>ERP Modernization</t>
        </is>
      </c>
      <c r="C6" s="2" t="inlineStr">
        <is>
          <t>CL-001</t>
        </is>
      </c>
      <c r="D6" s="2" t="inlineStr">
        <is>
          <t>TEAM-001</t>
        </is>
      </c>
      <c r="E6" s="2" t="inlineStr">
        <is>
          <t>USR-001</t>
        </is>
      </c>
      <c r="F6" s="24" t="n">
        <v>46142</v>
      </c>
      <c r="G6" s="24" t="n">
        <v>46232</v>
      </c>
      <c r="H6" s="2" t="inlineStr">
        <is>
          <t>In Progress</t>
        </is>
      </c>
      <c r="I6" s="2" t="inlineStr">
        <is>
          <t>Critical</t>
        </is>
      </c>
      <c r="J6" s="25" t="n">
        <v>750000</v>
      </c>
      <c r="K6" s="25" t="n">
        <v>280000</v>
      </c>
      <c r="L6" s="2">
        <f>COUNTIF(tblTasks[Project ID],[@[Project ID]])</f>
        <v/>
      </c>
      <c r="M6" s="2">
        <f>COUNTIFS(tblTasks[Project ID],[@[Project ID]],tblTasks[Manual Status],"Completed")</f>
        <v/>
      </c>
      <c r="N6" s="2">
        <f>COUNTIFS(tblIssues[Project ID],[@[Project ID]],tblIssues[Status],"&lt;&gt;Closed",tblIssues[Status],"&lt;&gt;Resolved")</f>
        <v/>
      </c>
      <c r="O6" s="2">
        <f>COUNTIFS(tblRisks[Project ID],[@[Project ID]],tblRisks[Status],"&lt;&gt;Closed")</f>
        <v/>
      </c>
      <c r="P6" s="2">
        <f>SUMIF(tblTimesheets[Project ID],[@[Project ID]],tblTimesheets[Hours])</f>
        <v/>
      </c>
      <c r="Q6" s="20">
        <f>IFERROR([@[Completed Tasks]]/[@[Task Count]],0)</f>
        <v/>
      </c>
      <c r="R6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6" s="2">
        <f>MAX(0,[@[End Date]]-TODAY())</f>
        <v/>
      </c>
      <c r="T6" s="2" t="inlineStr">
        <is>
          <t>Strategic</t>
        </is>
      </c>
      <c r="U6" s="2" t="inlineStr">
        <is>
          <t>Core ERP transformation</t>
        </is>
      </c>
    </row>
    <row r="7">
      <c r="A7" s="2" t="inlineStr">
        <is>
          <t>PRJ-002</t>
        </is>
      </c>
      <c r="B7" s="2" t="inlineStr">
        <is>
          <t>Customer Portal</t>
        </is>
      </c>
      <c r="C7" s="2" t="inlineStr">
        <is>
          <t>CL-002</t>
        </is>
      </c>
      <c r="D7" s="2" t="inlineStr">
        <is>
          <t>TEAM-001</t>
        </is>
      </c>
      <c r="E7" s="2" t="inlineStr">
        <is>
          <t>USR-001</t>
        </is>
      </c>
      <c r="F7" s="24" t="n">
        <v>46162</v>
      </c>
      <c r="G7" s="24" t="n">
        <v>46217</v>
      </c>
      <c r="H7" s="2" t="inlineStr">
        <is>
          <t>In Progress</t>
        </is>
      </c>
      <c r="I7" s="2" t="inlineStr">
        <is>
          <t>High</t>
        </is>
      </c>
      <c r="J7" s="25" t="n">
        <v>320000</v>
      </c>
      <c r="K7" s="25" t="n">
        <v>85000</v>
      </c>
      <c r="L7" s="2">
        <f>COUNTIF(tblTasks[Project ID],[@[Project ID]])</f>
        <v/>
      </c>
      <c r="M7" s="2">
        <f>COUNTIFS(tblTasks[Project ID],[@[Project ID]],tblTasks[Manual Status],"Completed")</f>
        <v/>
      </c>
      <c r="N7" s="2">
        <f>COUNTIFS(tblIssues[Project ID],[@[Project ID]],tblIssues[Status],"&lt;&gt;Closed",tblIssues[Status],"&lt;&gt;Resolved")</f>
        <v/>
      </c>
      <c r="O7" s="2">
        <f>COUNTIFS(tblRisks[Project ID],[@[Project ID]],tblRisks[Status],"&lt;&gt;Closed")</f>
        <v/>
      </c>
      <c r="P7" s="2">
        <f>SUMIF(tblTimesheets[Project ID],[@[Project ID]],tblTimesheets[Hours])</f>
        <v/>
      </c>
      <c r="Q7" s="20">
        <f>IFERROR([@[Completed Tasks]]/[@[Task Count]],0)</f>
        <v/>
      </c>
      <c r="R7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7" s="2">
        <f>MAX(0,[@[End Date]]-TODAY())</f>
        <v/>
      </c>
      <c r="T7" s="2" t="inlineStr">
        <is>
          <t>Customer Experience</t>
        </is>
      </c>
      <c r="U7" s="2" t="inlineStr">
        <is>
          <t>Self-service portal</t>
        </is>
      </c>
    </row>
    <row r="8">
      <c r="A8" s="2" t="inlineStr">
        <is>
          <t>PRJ-003</t>
        </is>
      </c>
      <c r="B8" s="2" t="inlineStr">
        <is>
          <t>Data Quality Program</t>
        </is>
      </c>
      <c r="C8" s="2" t="inlineStr">
        <is>
          <t>CL-003</t>
        </is>
      </c>
      <c r="D8" s="2" t="inlineStr">
        <is>
          <t>TEAM-002</t>
        </is>
      </c>
      <c r="E8" s="2" t="inlineStr">
        <is>
          <t>USR-004</t>
        </is>
      </c>
      <c r="F8" s="24" t="n">
        <v>46117</v>
      </c>
      <c r="G8" s="24" t="n">
        <v>46202</v>
      </c>
      <c r="H8" s="2" t="inlineStr">
        <is>
          <t>Planning</t>
        </is>
      </c>
      <c r="I8" s="2" t="inlineStr">
        <is>
          <t>Medium</t>
        </is>
      </c>
      <c r="J8" s="25" t="n">
        <v>150000</v>
      </c>
      <c r="K8" s="25" t="n">
        <v>45000</v>
      </c>
      <c r="L8" s="2">
        <f>COUNTIF(tblTasks[Project ID],[@[Project ID]])</f>
        <v/>
      </c>
      <c r="M8" s="2">
        <f>COUNTIFS(tblTasks[Project ID],[@[Project ID]],tblTasks[Manual Status],"Completed")</f>
        <v/>
      </c>
      <c r="N8" s="2">
        <f>COUNTIFS(tblIssues[Project ID],[@[Project ID]],tblIssues[Status],"&lt;&gt;Closed",tblIssues[Status],"&lt;&gt;Resolved")</f>
        <v/>
      </c>
      <c r="O8" s="2">
        <f>COUNTIFS(tblRisks[Project ID],[@[Project ID]],tblRisks[Status],"&lt;&gt;Closed")</f>
        <v/>
      </c>
      <c r="P8" s="2">
        <f>SUMIF(tblTimesheets[Project ID],[@[Project ID]],tblTimesheets[Hours])</f>
        <v/>
      </c>
      <c r="Q8" s="20">
        <f>IFERROR([@[Completed Tasks]]/[@[Task Count]],0)</f>
        <v/>
      </c>
      <c r="R8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8" s="2">
        <f>MAX(0,[@[End Date]]-TODAY())</f>
        <v/>
      </c>
      <c r="T8" s="2" t="inlineStr">
        <is>
          <t>Governance</t>
        </is>
      </c>
      <c r="U8" s="2" t="inlineStr">
        <is>
          <t>Data quality remediation</t>
        </is>
      </c>
    </row>
    <row r="9">
      <c r="A9" s="2" t="inlineStr">
        <is>
          <t>PRJ-004</t>
        </is>
      </c>
      <c r="B9" s="2" t="inlineStr">
        <is>
          <t>Branch Ops Automation</t>
        </is>
      </c>
      <c r="C9" s="2" t="inlineStr">
        <is>
          <t>CL-004</t>
        </is>
      </c>
      <c r="D9" s="2" t="inlineStr">
        <is>
          <t>TEAM-003</t>
        </is>
      </c>
      <c r="E9" s="2" t="inlineStr">
        <is>
          <t>USR-005</t>
        </is>
      </c>
      <c r="F9" s="24" t="n">
        <v>46172</v>
      </c>
      <c r="G9" s="24" t="n">
        <v>46252</v>
      </c>
      <c r="H9" s="2" t="inlineStr">
        <is>
          <t>Not Started</t>
        </is>
      </c>
      <c r="I9" s="2" t="inlineStr">
        <is>
          <t>High</t>
        </is>
      </c>
      <c r="J9" s="25" t="n">
        <v>410000</v>
      </c>
      <c r="K9" s="25" t="n">
        <v>20000</v>
      </c>
      <c r="L9" s="2">
        <f>COUNTIF(tblTasks[Project ID],[@[Project ID]])</f>
        <v/>
      </c>
      <c r="M9" s="2">
        <f>COUNTIFS(tblTasks[Project ID],[@[Project ID]],tblTasks[Manual Status],"Completed")</f>
        <v/>
      </c>
      <c r="N9" s="2">
        <f>COUNTIFS(tblIssues[Project ID],[@[Project ID]],tblIssues[Status],"&lt;&gt;Closed",tblIssues[Status],"&lt;&gt;Resolved")</f>
        <v/>
      </c>
      <c r="O9" s="2">
        <f>COUNTIFS(tblRisks[Project ID],[@[Project ID]],tblRisks[Status],"&lt;&gt;Closed")</f>
        <v/>
      </c>
      <c r="P9" s="2">
        <f>SUMIF(tblTimesheets[Project ID],[@[Project ID]],tblTimesheets[Hours])</f>
        <v/>
      </c>
      <c r="Q9" s="20">
        <f>IFERROR([@[Completed Tasks]]/[@[Task Count]],0)</f>
        <v/>
      </c>
      <c r="R9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9" s="2">
        <f>MAX(0,[@[End Date]]-TODAY())</f>
        <v/>
      </c>
      <c r="T9" s="2" t="inlineStr">
        <is>
          <t>Automation</t>
        </is>
      </c>
      <c r="U9" s="2" t="inlineStr">
        <is>
          <t>Workflow automation</t>
        </is>
      </c>
    </row>
    <row r="10">
      <c r="A10" s="2" t="inlineStr">
        <is>
          <t>PRJ-005</t>
        </is>
      </c>
      <c r="B10" s="2" t="inlineStr">
        <is>
          <t>Mobile App Refresh</t>
        </is>
      </c>
      <c r="C10" s="2" t="inlineStr">
        <is>
          <t>CL-002</t>
        </is>
      </c>
      <c r="D10" s="2" t="inlineStr">
        <is>
          <t>TEAM-001</t>
        </is>
      </c>
      <c r="E10" s="2" t="inlineStr">
        <is>
          <t>USR-003</t>
        </is>
      </c>
      <c r="F10" s="24" t="n">
        <v>46092</v>
      </c>
      <c r="G10" s="24" t="n">
        <v>46177</v>
      </c>
      <c r="H10" s="2" t="inlineStr">
        <is>
          <t>Completed</t>
        </is>
      </c>
      <c r="I10" s="2" t="inlineStr">
        <is>
          <t>Medium</t>
        </is>
      </c>
      <c r="J10" s="25" t="n">
        <v>180000</v>
      </c>
      <c r="K10" s="25" t="n">
        <v>175000</v>
      </c>
      <c r="L10" s="2">
        <f>COUNTIF(tblTasks[Project ID],[@[Project ID]])</f>
        <v/>
      </c>
      <c r="M10" s="2">
        <f>COUNTIFS(tblTasks[Project ID],[@[Project ID]],tblTasks[Manual Status],"Completed")</f>
        <v/>
      </c>
      <c r="N10" s="2">
        <f>COUNTIFS(tblIssues[Project ID],[@[Project ID]],tblIssues[Status],"&lt;&gt;Closed",tblIssues[Status],"&lt;&gt;Resolved")</f>
        <v/>
      </c>
      <c r="O10" s="2">
        <f>COUNTIFS(tblRisks[Project ID],[@[Project ID]],tblRisks[Status],"&lt;&gt;Closed")</f>
        <v/>
      </c>
      <c r="P10" s="2">
        <f>SUMIF(tblTimesheets[Project ID],[@[Project ID]],tblTimesheets[Hours])</f>
        <v/>
      </c>
      <c r="Q10" s="20">
        <f>IFERROR([@[Completed Tasks]]/[@[Task Count]],0)</f>
        <v/>
      </c>
      <c r="R10" s="2">
        <f>IF([@[Manual Status]]="Completed","Completed",IF(COUNTIFS(tblTasks[Project ID],[@[Project ID]],tblTasks[Auto Health],"Overdue")&gt;0,"Overdue",IF(COUNTIFS(tblTasks[Project ID],[@[Project ID]],tblTasks[Auto Health],"At Risk")&gt;0,"At Risk",IF(COUNTIFS(tblTasks[Project ID],[@[Project ID]],tblTasks[Manual Status],"Blocked")&gt;0,"Blocked",IF([@[Task Count]]=0,"Not Started","On Track")))))</f>
        <v/>
      </c>
      <c r="S10" s="2">
        <f>MAX(0,[@[End Date]]-TODAY())</f>
        <v/>
      </c>
      <c r="T10" s="2" t="inlineStr">
        <is>
          <t>Experience</t>
        </is>
      </c>
      <c r="U10" s="2" t="inlineStr">
        <is>
          <t>Mobile UX refresh</t>
        </is>
      </c>
    </row>
  </sheetData>
  <mergeCells count="2">
    <mergeCell ref="A2:N2"/>
    <mergeCell ref="A1:N1"/>
  </mergeCells>
  <conditionalFormatting sqref="R6:R800">
    <cfRule type="expression" priority="1" dxfId="0">
      <formula>$R6="Overdue"</formula>
    </cfRule>
    <cfRule type="expression" priority="2" dxfId="1">
      <formula>$R6="At Risk"</formula>
    </cfRule>
    <cfRule type="expression" priority="3" dxfId="0">
      <formula>$R6="Blocked"</formula>
    </cfRule>
    <cfRule type="expression" priority="4" dxfId="2">
      <formula>$R6="On Track"</formula>
    </cfRule>
    <cfRule type="expression" priority="5" dxfId="2">
      <formula>$R6="Completed"</formula>
    </cfRule>
  </conditionalFormatting>
  <dataValidations count="5">
    <dataValidation sqref="C6:C500" showDropDown="0" showInputMessage="0" showErrorMessage="0" allowBlank="1" errorTitle="Invalid selection" error="Select a valid value from the dropdown list." type="list">
      <formula1>=ClientIDs</formula1>
    </dataValidation>
    <dataValidation sqref="D6:D500" showDropDown="0" showInputMessage="0" showErrorMessage="0" allowBlank="1" errorTitle="Invalid selection" error="Select a valid value from the dropdown list." type="list">
      <formula1>=TeamIDs</formula1>
    </dataValidation>
    <dataValidation sqref="E6:E500" showDropDown="0" showInputMessage="0" showErrorMessage="0" allowBlank="1" errorTitle="Invalid selection" error="Select a valid value from the dropdown list." type="list">
      <formula1>=UserIDs</formula1>
    </dataValidation>
    <dataValidation sqref="H6:H500" showDropDown="0" showInputMessage="0" showErrorMessage="0" allowBlank="1" errorTitle="Invalid selection" error="Select a valid value from the dropdown list." type="list">
      <formula1>=Project_Status</formula1>
    </dataValidation>
    <dataValidation sqref="I6:I500" showDropDown="0" showInputMessage="0" showErrorMessage="0" allowBlank="1" errorTitle="Invalid selection" error="Select a valid value from the dropdown list." type="list">
      <formula1>=Priority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A1:U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  <col width="13" customWidth="1" min="5" max="5"/>
    <col width="12" customWidth="1" min="6" max="6"/>
    <col width="12" customWidth="1" min="7" max="7"/>
    <col width="14" customWidth="1" min="8" max="8"/>
    <col width="11" customWidth="1" min="9" max="9"/>
    <col width="10" customWidth="1" min="10" max="10"/>
    <col width="15" customWidth="1" min="11" max="11"/>
    <col width="9" customWidth="1" min="12" max="12"/>
    <col width="22" customWidth="1" min="13" max="13"/>
    <col width="14" customWidth="1" min="14" max="14"/>
    <col width="10" customWidth="1" min="15" max="15"/>
    <col width="12" customWidth="1" min="16" max="16"/>
    <col width="10" customWidth="1" min="17" max="17"/>
    <col width="11" customWidth="1" min="18" max="18"/>
    <col width="12" customWidth="1" min="19" max="19"/>
    <col width="9" customWidth="1" min="20" max="20"/>
    <col width="25" customWidth="1" min="21" max="21"/>
  </cols>
  <sheetData>
    <row r="1" ht="30" customHeight="1">
      <c r="A1" s="1" t="inlineStr">
        <is>
          <t>Tasks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Project-aware task list with dependencies and health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  <c r="O2" s="2" t="n"/>
      <c r="P2" s="2" t="n"/>
      <c r="Q2" s="2" t="n"/>
      <c r="R2" s="2" t="n"/>
      <c r="S2" s="2" t="n"/>
      <c r="T2" s="2" t="n"/>
      <c r="U2" s="2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17" t="inlineStr">
        <is>
          <t>Task ID</t>
        </is>
      </c>
      <c r="B5" s="17" t="inlineStr">
        <is>
          <t>Project ID</t>
        </is>
      </c>
      <c r="C5" s="17" t="inlineStr">
        <is>
          <t>Task Name</t>
        </is>
      </c>
      <c r="D5" s="17" t="inlineStr">
        <is>
          <t>Category</t>
        </is>
      </c>
      <c r="E5" s="17" t="inlineStr">
        <is>
          <t>Assigned User</t>
        </is>
      </c>
      <c r="F5" s="17" t="inlineStr">
        <is>
          <t>Start Date</t>
        </is>
      </c>
      <c r="G5" s="17" t="inlineStr">
        <is>
          <t>Due Date</t>
        </is>
      </c>
      <c r="H5" s="17" t="inlineStr">
        <is>
          <t>Manual Status</t>
        </is>
      </c>
      <c r="I5" s="17" t="inlineStr">
        <is>
          <t>Priority</t>
        </is>
      </c>
      <c r="J5" s="22" t="inlineStr">
        <is>
          <t>Progress %</t>
        </is>
      </c>
      <c r="K5" s="17" t="inlineStr">
        <is>
          <t>Depends On Task ID</t>
        </is>
      </c>
      <c r="L5" s="17" t="inlineStr">
        <is>
          <t>Blocked?</t>
        </is>
      </c>
      <c r="M5" s="17" t="inlineStr">
        <is>
          <t>Blocking Reason</t>
        </is>
      </c>
      <c r="N5" s="17" t="inlineStr">
        <is>
          <t>Sprint / Phase</t>
        </is>
      </c>
      <c r="O5" s="17" t="inlineStr">
        <is>
          <t>Subtask Count</t>
        </is>
      </c>
      <c r="P5" s="17" t="inlineStr">
        <is>
          <t>Completed Subtasks</t>
        </is>
      </c>
      <c r="Q5" s="17" t="inlineStr">
        <is>
          <t>Issue Count</t>
        </is>
      </c>
      <c r="R5" s="17" t="inlineStr">
        <is>
          <t>Logged Hours</t>
        </is>
      </c>
      <c r="S5" s="17" t="inlineStr">
        <is>
          <t>Auto Health</t>
        </is>
      </c>
      <c r="T5" s="17" t="inlineStr">
        <is>
          <t>Days Late</t>
        </is>
      </c>
      <c r="U5" s="17" t="inlineStr">
        <is>
          <t>Notes</t>
        </is>
      </c>
    </row>
    <row r="6">
      <c r="A6" s="2" t="inlineStr">
        <is>
          <t>TSK-001</t>
        </is>
      </c>
      <c r="B6" s="2" t="inlineStr">
        <is>
          <t>PRJ-001</t>
        </is>
      </c>
      <c r="C6" s="2" t="inlineStr">
        <is>
          <t>Requirements workshop</t>
        </is>
      </c>
      <c r="D6" s="2" t="inlineStr">
        <is>
          <t>Requirement</t>
        </is>
      </c>
      <c r="E6" s="2" t="inlineStr">
        <is>
          <t>USR-001</t>
        </is>
      </c>
      <c r="F6" s="24" t="n">
        <v>46147</v>
      </c>
      <c r="G6" s="24" t="n">
        <v>46162</v>
      </c>
      <c r="H6" s="2" t="inlineStr">
        <is>
          <t>Completed</t>
        </is>
      </c>
      <c r="I6" s="2" t="inlineStr">
        <is>
          <t>High</t>
        </is>
      </c>
      <c r="J6" s="20" t="n">
        <v>1</v>
      </c>
      <c r="K6" s="2" t="inlineStr"/>
      <c r="L6" s="2" t="inlineStr">
        <is>
          <t>No</t>
        </is>
      </c>
      <c r="M6" s="2" t="inlineStr"/>
      <c r="N6" s="2" t="inlineStr">
        <is>
          <t>Sprint 1</t>
        </is>
      </c>
      <c r="O6" s="2">
        <f>COUNTIF(tblSubtasks[Parent Task ID],[@[Task ID]])</f>
        <v/>
      </c>
      <c r="P6" s="2">
        <f>COUNTIFS(tblSubtasks[Parent Task ID],[@[Task ID]],tblSubtasks[Manual Status],"Completed")</f>
        <v/>
      </c>
      <c r="Q6" s="2">
        <f>COUNTIFS(tblIssues[Task ID],[@[Task ID]],tblIssues[Status],"&lt;&gt;Closed",tblIssues[Status],"&lt;&gt;Resolved")</f>
        <v/>
      </c>
      <c r="R6" s="2">
        <f>SUMIF(tblTimesheets[Task ID],[@[Task ID]],tblTimesheets[Hours])</f>
        <v/>
      </c>
      <c r="S6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6" s="2">
        <f>IF(AND([@[Due Date]]&lt;TODAY(),[@[Manual Status]]&lt;&gt;"Completed"),TODAY()-[@[Due Date]],0)</f>
        <v/>
      </c>
      <c r="U6" s="2" t="inlineStr"/>
    </row>
    <row r="7">
      <c r="A7" s="2" t="inlineStr">
        <is>
          <t>TSK-002</t>
        </is>
      </c>
      <c r="B7" s="2" t="inlineStr">
        <is>
          <t>PRJ-001</t>
        </is>
      </c>
      <c r="C7" s="2" t="inlineStr">
        <is>
          <t>Integration design</t>
        </is>
      </c>
      <c r="D7" s="2" t="inlineStr">
        <is>
          <t>Design</t>
        </is>
      </c>
      <c r="E7" s="2" t="inlineStr">
        <is>
          <t>USR-003</t>
        </is>
      </c>
      <c r="F7" s="24" t="n">
        <v>46164</v>
      </c>
      <c r="G7" s="24" t="n">
        <v>46187</v>
      </c>
      <c r="H7" s="2" t="inlineStr">
        <is>
          <t>In Progress</t>
        </is>
      </c>
      <c r="I7" s="2" t="inlineStr">
        <is>
          <t>Critical</t>
        </is>
      </c>
      <c r="J7" s="20" t="n">
        <v>0.65</v>
      </c>
      <c r="K7" s="2" t="inlineStr">
        <is>
          <t>TSK-001</t>
        </is>
      </c>
      <c r="L7" s="2" t="inlineStr">
        <is>
          <t>No</t>
        </is>
      </c>
      <c r="M7" s="2" t="inlineStr"/>
      <c r="N7" s="2" t="inlineStr">
        <is>
          <t>Sprint 2</t>
        </is>
      </c>
      <c r="O7" s="2">
        <f>COUNTIF(tblSubtasks[Parent Task ID],[@[Task ID]])</f>
        <v/>
      </c>
      <c r="P7" s="2">
        <f>COUNTIFS(tblSubtasks[Parent Task ID],[@[Task ID]],tblSubtasks[Manual Status],"Completed")</f>
        <v/>
      </c>
      <c r="Q7" s="2">
        <f>COUNTIFS(tblIssues[Task ID],[@[Task ID]],tblIssues[Status],"&lt;&gt;Closed",tblIssues[Status],"&lt;&gt;Resolved")</f>
        <v/>
      </c>
      <c r="R7" s="2">
        <f>SUMIF(tblTimesheets[Task ID],[@[Task ID]],tblTimesheets[Hours])</f>
        <v/>
      </c>
      <c r="S7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7" s="2">
        <f>IF(AND([@[Due Date]]&lt;TODAY(),[@[Manual Status]]&lt;&gt;"Completed"),TODAY()-[@[Due Date]],0)</f>
        <v/>
      </c>
      <c r="U7" s="2" t="inlineStr"/>
    </row>
    <row r="8">
      <c r="A8" s="2" t="inlineStr">
        <is>
          <t>TSK-003</t>
        </is>
      </c>
      <c r="B8" s="2" t="inlineStr">
        <is>
          <t>PRJ-001</t>
        </is>
      </c>
      <c r="C8" s="2" t="inlineStr">
        <is>
          <t>Build Oracle connector</t>
        </is>
      </c>
      <c r="D8" s="2" t="inlineStr">
        <is>
          <t>Development</t>
        </is>
      </c>
      <c r="E8" s="2" t="inlineStr">
        <is>
          <t>USR-002</t>
        </is>
      </c>
      <c r="F8" s="24" t="n">
        <v>46176</v>
      </c>
      <c r="G8" s="24" t="n">
        <v>46200</v>
      </c>
      <c r="H8" s="2" t="inlineStr">
        <is>
          <t>In Progress</t>
        </is>
      </c>
      <c r="I8" s="2" t="inlineStr">
        <is>
          <t>Critical</t>
        </is>
      </c>
      <c r="J8" s="20" t="n">
        <v>0.32</v>
      </c>
      <c r="K8" s="2" t="inlineStr">
        <is>
          <t>TSK-002</t>
        </is>
      </c>
      <c r="L8" s="2" t="inlineStr">
        <is>
          <t>No</t>
        </is>
      </c>
      <c r="M8" s="2" t="inlineStr"/>
      <c r="N8" s="2" t="inlineStr">
        <is>
          <t>Sprint 2</t>
        </is>
      </c>
      <c r="O8" s="2">
        <f>COUNTIF(tblSubtasks[Parent Task ID],[@[Task ID]])</f>
        <v/>
      </c>
      <c r="P8" s="2">
        <f>COUNTIFS(tblSubtasks[Parent Task ID],[@[Task ID]],tblSubtasks[Manual Status],"Completed")</f>
        <v/>
      </c>
      <c r="Q8" s="2">
        <f>COUNTIFS(tblIssues[Task ID],[@[Task ID]],tblIssues[Status],"&lt;&gt;Closed",tblIssues[Status],"&lt;&gt;Resolved")</f>
        <v/>
      </c>
      <c r="R8" s="2">
        <f>SUMIF(tblTimesheets[Task ID],[@[Task ID]],tblTimesheets[Hours])</f>
        <v/>
      </c>
      <c r="S8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8" s="2">
        <f>IF(AND([@[Due Date]]&lt;TODAY(),[@[Manual Status]]&lt;&gt;"Completed"),TODAY()-[@[Due Date]],0)</f>
        <v/>
      </c>
      <c r="U8" s="2" t="inlineStr"/>
    </row>
    <row r="9">
      <c r="A9" s="2" t="inlineStr">
        <is>
          <t>TSK-004</t>
        </is>
      </c>
      <c r="B9" s="2" t="inlineStr">
        <is>
          <t>PRJ-002</t>
        </is>
      </c>
      <c r="C9" s="2" t="inlineStr">
        <is>
          <t>Portal wireframes</t>
        </is>
      </c>
      <c r="D9" s="2" t="inlineStr">
        <is>
          <t>Design</t>
        </is>
      </c>
      <c r="E9" s="2" t="inlineStr">
        <is>
          <t>USR-003</t>
        </is>
      </c>
      <c r="F9" s="24" t="n">
        <v>46167</v>
      </c>
      <c r="G9" s="24" t="n">
        <v>46180</v>
      </c>
      <c r="H9" s="2" t="inlineStr">
        <is>
          <t>Completed</t>
        </is>
      </c>
      <c r="I9" s="2" t="inlineStr">
        <is>
          <t>High</t>
        </is>
      </c>
      <c r="J9" s="20" t="n">
        <v>1</v>
      </c>
      <c r="K9" s="2" t="inlineStr"/>
      <c r="L9" s="2" t="inlineStr">
        <is>
          <t>No</t>
        </is>
      </c>
      <c r="M9" s="2" t="inlineStr"/>
      <c r="N9" s="2" t="inlineStr">
        <is>
          <t>Sprint 1</t>
        </is>
      </c>
      <c r="O9" s="2">
        <f>COUNTIF(tblSubtasks[Parent Task ID],[@[Task ID]])</f>
        <v/>
      </c>
      <c r="P9" s="2">
        <f>COUNTIFS(tblSubtasks[Parent Task ID],[@[Task ID]],tblSubtasks[Manual Status],"Completed")</f>
        <v/>
      </c>
      <c r="Q9" s="2">
        <f>COUNTIFS(tblIssues[Task ID],[@[Task ID]],tblIssues[Status],"&lt;&gt;Closed",tblIssues[Status],"&lt;&gt;Resolved")</f>
        <v/>
      </c>
      <c r="R9" s="2">
        <f>SUMIF(tblTimesheets[Task ID],[@[Task ID]],tblTimesheets[Hours])</f>
        <v/>
      </c>
      <c r="S9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9" s="2">
        <f>IF(AND([@[Due Date]]&lt;TODAY(),[@[Manual Status]]&lt;&gt;"Completed"),TODAY()-[@[Due Date]],0)</f>
        <v/>
      </c>
      <c r="U9" s="2" t="inlineStr"/>
    </row>
    <row r="10">
      <c r="A10" s="2" t="inlineStr">
        <is>
          <t>TSK-005</t>
        </is>
      </c>
      <c r="B10" s="2" t="inlineStr">
        <is>
          <t>PRJ-002</t>
        </is>
      </c>
      <c r="C10" s="2" t="inlineStr">
        <is>
          <t>Authentication module</t>
        </is>
      </c>
      <c r="D10" s="2" t="inlineStr">
        <is>
          <t>Development</t>
        </is>
      </c>
      <c r="E10" s="2" t="inlineStr">
        <is>
          <t>USR-002</t>
        </is>
      </c>
      <c r="F10" s="24" t="n">
        <v>46174</v>
      </c>
      <c r="G10" s="24" t="n">
        <v>46204</v>
      </c>
      <c r="H10" s="2" t="inlineStr">
        <is>
          <t>Blocked</t>
        </is>
      </c>
      <c r="I10" s="2" t="inlineStr">
        <is>
          <t>High</t>
        </is>
      </c>
      <c r="J10" s="20" t="n">
        <v>0.2</v>
      </c>
      <c r="K10" s="2" t="inlineStr">
        <is>
          <t>TSK-004</t>
        </is>
      </c>
      <c r="L10" s="2" t="inlineStr">
        <is>
          <t>Yes</t>
        </is>
      </c>
      <c r="M10" s="2" t="inlineStr">
        <is>
          <t>Security review pending</t>
        </is>
      </c>
      <c r="N10" s="2" t="inlineStr">
        <is>
          <t>Sprint 2</t>
        </is>
      </c>
      <c r="O10" s="2">
        <f>COUNTIF(tblSubtasks[Parent Task ID],[@[Task ID]])</f>
        <v/>
      </c>
      <c r="P10" s="2">
        <f>COUNTIFS(tblSubtasks[Parent Task ID],[@[Task ID]],tblSubtasks[Manual Status],"Completed")</f>
        <v/>
      </c>
      <c r="Q10" s="2">
        <f>COUNTIFS(tblIssues[Task ID],[@[Task ID]],tblIssues[Status],"&lt;&gt;Closed",tblIssues[Status],"&lt;&gt;Resolved")</f>
        <v/>
      </c>
      <c r="R10" s="2">
        <f>SUMIF(tblTimesheets[Task ID],[@[Task ID]],tblTimesheets[Hours])</f>
        <v/>
      </c>
      <c r="S10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0" s="2">
        <f>IF(AND([@[Due Date]]&lt;TODAY(),[@[Manual Status]]&lt;&gt;"Completed"),TODAY()-[@[Due Date]],0)</f>
        <v/>
      </c>
      <c r="U10" s="2" t="inlineStr"/>
    </row>
    <row r="11">
      <c r="A11" s="2" t="inlineStr">
        <is>
          <t>TSK-006</t>
        </is>
      </c>
      <c r="B11" s="2" t="inlineStr">
        <is>
          <t>PRJ-003</t>
        </is>
      </c>
      <c r="C11" s="2" t="inlineStr">
        <is>
          <t>Data profiling</t>
        </is>
      </c>
      <c r="D11" s="2" t="inlineStr">
        <is>
          <t>Research</t>
        </is>
      </c>
      <c r="E11" s="2" t="inlineStr">
        <is>
          <t>USR-004</t>
        </is>
      </c>
      <c r="F11" s="24" t="n">
        <v>46127</v>
      </c>
      <c r="G11" s="24" t="n">
        <v>46174</v>
      </c>
      <c r="H11" s="2" t="inlineStr">
        <is>
          <t>In Progress</t>
        </is>
      </c>
      <c r="I11" s="2" t="inlineStr">
        <is>
          <t>Medium</t>
        </is>
      </c>
      <c r="J11" s="20" t="n">
        <v>0.7</v>
      </c>
      <c r="K11" s="2" t="inlineStr"/>
      <c r="L11" s="2" t="inlineStr">
        <is>
          <t>No</t>
        </is>
      </c>
      <c r="M11" s="2" t="inlineStr"/>
      <c r="N11" s="2" t="inlineStr">
        <is>
          <t>Phase 1</t>
        </is>
      </c>
      <c r="O11" s="2">
        <f>COUNTIF(tblSubtasks[Parent Task ID],[@[Task ID]])</f>
        <v/>
      </c>
      <c r="P11" s="2">
        <f>COUNTIFS(tblSubtasks[Parent Task ID],[@[Task ID]],tblSubtasks[Manual Status],"Completed")</f>
        <v/>
      </c>
      <c r="Q11" s="2">
        <f>COUNTIFS(tblIssues[Task ID],[@[Task ID]],tblIssues[Status],"&lt;&gt;Closed",tblIssues[Status],"&lt;&gt;Resolved")</f>
        <v/>
      </c>
      <c r="R11" s="2">
        <f>SUMIF(tblTimesheets[Task ID],[@[Task ID]],tblTimesheets[Hours])</f>
        <v/>
      </c>
      <c r="S11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1" s="2">
        <f>IF(AND([@[Due Date]]&lt;TODAY(),[@[Manual Status]]&lt;&gt;"Completed"),TODAY()-[@[Due Date]],0)</f>
        <v/>
      </c>
      <c r="U11" s="2" t="inlineStr"/>
    </row>
    <row r="12">
      <c r="A12" s="2" t="inlineStr">
        <is>
          <t>TSK-007</t>
        </is>
      </c>
      <c r="B12" s="2" t="inlineStr">
        <is>
          <t>PRJ-003</t>
        </is>
      </c>
      <c r="C12" s="2" t="inlineStr">
        <is>
          <t>Remediation plan</t>
        </is>
      </c>
      <c r="D12" s="2" t="inlineStr">
        <is>
          <t>Documentation</t>
        </is>
      </c>
      <c r="E12" s="2" t="inlineStr">
        <is>
          <t>USR-006</t>
        </is>
      </c>
      <c r="F12" s="24" t="n">
        <v>46177</v>
      </c>
      <c r="G12" s="24" t="n">
        <v>46192</v>
      </c>
      <c r="H12" s="2" t="inlineStr">
        <is>
          <t>Not Started</t>
        </is>
      </c>
      <c r="I12" s="2" t="inlineStr">
        <is>
          <t>Medium</t>
        </is>
      </c>
      <c r="J12" s="20" t="n">
        <v>0</v>
      </c>
      <c r="K12" s="2" t="inlineStr">
        <is>
          <t>TSK-006</t>
        </is>
      </c>
      <c r="L12" s="2" t="inlineStr">
        <is>
          <t>No</t>
        </is>
      </c>
      <c r="M12" s="2" t="inlineStr"/>
      <c r="N12" s="2" t="inlineStr">
        <is>
          <t>Phase 1</t>
        </is>
      </c>
      <c r="O12" s="2">
        <f>COUNTIF(tblSubtasks[Parent Task ID],[@[Task ID]])</f>
        <v/>
      </c>
      <c r="P12" s="2">
        <f>COUNTIFS(tblSubtasks[Parent Task ID],[@[Task ID]],tblSubtasks[Manual Status],"Completed")</f>
        <v/>
      </c>
      <c r="Q12" s="2">
        <f>COUNTIFS(tblIssues[Task ID],[@[Task ID]],tblIssues[Status],"&lt;&gt;Closed",tblIssues[Status],"&lt;&gt;Resolved")</f>
        <v/>
      </c>
      <c r="R12" s="2">
        <f>SUMIF(tblTimesheets[Task ID],[@[Task ID]],tblTimesheets[Hours])</f>
        <v/>
      </c>
      <c r="S12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2" s="2">
        <f>IF(AND([@[Due Date]]&lt;TODAY(),[@[Manual Status]]&lt;&gt;"Completed"),TODAY()-[@[Due Date]],0)</f>
        <v/>
      </c>
      <c r="U12" s="2" t="inlineStr"/>
    </row>
    <row r="13">
      <c r="A13" s="2" t="inlineStr">
        <is>
          <t>TSK-008</t>
        </is>
      </c>
      <c r="B13" s="2" t="inlineStr">
        <is>
          <t>PRJ-004</t>
        </is>
      </c>
      <c r="C13" s="2" t="inlineStr">
        <is>
          <t>Workflow mapping</t>
        </is>
      </c>
      <c r="D13" s="2" t="inlineStr">
        <is>
          <t>Requirement</t>
        </is>
      </c>
      <c r="E13" s="2" t="inlineStr">
        <is>
          <t>USR-006</t>
        </is>
      </c>
      <c r="F13" s="24" t="n">
        <v>46178</v>
      </c>
      <c r="G13" s="24" t="n">
        <v>46194</v>
      </c>
      <c r="H13" s="2" t="inlineStr">
        <is>
          <t>In Progress</t>
        </is>
      </c>
      <c r="I13" s="2" t="inlineStr">
        <is>
          <t>High</t>
        </is>
      </c>
      <c r="J13" s="20" t="n">
        <v>0.35</v>
      </c>
      <c r="K13" s="2" t="inlineStr"/>
      <c r="L13" s="2" t="inlineStr">
        <is>
          <t>No</t>
        </is>
      </c>
      <c r="M13" s="2" t="inlineStr"/>
      <c r="N13" s="2" t="inlineStr">
        <is>
          <t>Discovery</t>
        </is>
      </c>
      <c r="O13" s="2">
        <f>COUNTIF(tblSubtasks[Parent Task ID],[@[Task ID]])</f>
        <v/>
      </c>
      <c r="P13" s="2">
        <f>COUNTIFS(tblSubtasks[Parent Task ID],[@[Task ID]],tblSubtasks[Manual Status],"Completed")</f>
        <v/>
      </c>
      <c r="Q13" s="2">
        <f>COUNTIFS(tblIssues[Task ID],[@[Task ID]],tblIssues[Status],"&lt;&gt;Closed",tblIssues[Status],"&lt;&gt;Resolved")</f>
        <v/>
      </c>
      <c r="R13" s="2">
        <f>SUMIF(tblTimesheets[Task ID],[@[Task ID]],tblTimesheets[Hours])</f>
        <v/>
      </c>
      <c r="S13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3" s="2">
        <f>IF(AND([@[Due Date]]&lt;TODAY(),[@[Manual Status]]&lt;&gt;"Completed"),TODAY()-[@[Due Date]],0)</f>
        <v/>
      </c>
      <c r="U13" s="2" t="inlineStr"/>
    </row>
    <row r="14">
      <c r="A14" s="2" t="inlineStr">
        <is>
          <t>TSK-009</t>
        </is>
      </c>
      <c r="B14" s="2" t="inlineStr">
        <is>
          <t>PRJ-004</t>
        </is>
      </c>
      <c r="C14" s="2" t="inlineStr">
        <is>
          <t>Pilot deployment</t>
        </is>
      </c>
      <c r="D14" s="2" t="inlineStr">
        <is>
          <t>Deployment</t>
        </is>
      </c>
      <c r="E14" s="2" t="inlineStr">
        <is>
          <t>USR-005</t>
        </is>
      </c>
      <c r="F14" s="24" t="n">
        <v>46192</v>
      </c>
      <c r="G14" s="24" t="n">
        <v>46227</v>
      </c>
      <c r="H14" s="2" t="inlineStr">
        <is>
          <t>Not Started</t>
        </is>
      </c>
      <c r="I14" s="2" t="inlineStr">
        <is>
          <t>High</t>
        </is>
      </c>
      <c r="J14" s="20" t="n">
        <v>0</v>
      </c>
      <c r="K14" s="2" t="inlineStr">
        <is>
          <t>TSK-008</t>
        </is>
      </c>
      <c r="L14" s="2" t="inlineStr">
        <is>
          <t>No</t>
        </is>
      </c>
      <c r="M14" s="2" t="inlineStr"/>
      <c r="N14" s="2" t="inlineStr">
        <is>
          <t>Pilot</t>
        </is>
      </c>
      <c r="O14" s="2">
        <f>COUNTIF(tblSubtasks[Parent Task ID],[@[Task ID]])</f>
        <v/>
      </c>
      <c r="P14" s="2">
        <f>COUNTIFS(tblSubtasks[Parent Task ID],[@[Task ID]],tblSubtasks[Manual Status],"Completed")</f>
        <v/>
      </c>
      <c r="Q14" s="2">
        <f>COUNTIFS(tblIssues[Task ID],[@[Task ID]],tblIssues[Status],"&lt;&gt;Closed",tblIssues[Status],"&lt;&gt;Resolved")</f>
        <v/>
      </c>
      <c r="R14" s="2">
        <f>SUMIF(tblTimesheets[Task ID],[@[Task ID]],tblTimesheets[Hours])</f>
        <v/>
      </c>
      <c r="S14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4" s="2">
        <f>IF(AND([@[Due Date]]&lt;TODAY(),[@[Manual Status]]&lt;&gt;"Completed"),TODAY()-[@[Due Date]],0)</f>
        <v/>
      </c>
      <c r="U14" s="2" t="inlineStr"/>
    </row>
    <row r="15">
      <c r="A15" s="2" t="inlineStr">
        <is>
          <t>TSK-010</t>
        </is>
      </c>
      <c r="B15" s="2" t="inlineStr">
        <is>
          <t>PRJ-005</t>
        </is>
      </c>
      <c r="C15" s="2" t="inlineStr">
        <is>
          <t>Release closure</t>
        </is>
      </c>
      <c r="D15" s="2" t="inlineStr">
        <is>
          <t>Deployment</t>
        </is>
      </c>
      <c r="E15" s="2" t="inlineStr">
        <is>
          <t>USR-005</t>
        </is>
      </c>
      <c r="F15" s="24" t="n">
        <v>46162</v>
      </c>
      <c r="G15" s="24" t="n">
        <v>46177</v>
      </c>
      <c r="H15" s="2" t="inlineStr">
        <is>
          <t>Completed</t>
        </is>
      </c>
      <c r="I15" s="2" t="inlineStr">
        <is>
          <t>Medium</t>
        </is>
      </c>
      <c r="J15" s="20" t="n">
        <v>1</v>
      </c>
      <c r="K15" s="2" t="inlineStr"/>
      <c r="L15" s="2" t="inlineStr">
        <is>
          <t>No</t>
        </is>
      </c>
      <c r="M15" s="2" t="inlineStr"/>
      <c r="N15" s="2" t="inlineStr">
        <is>
          <t>Closure</t>
        </is>
      </c>
      <c r="O15" s="2">
        <f>COUNTIF(tblSubtasks[Parent Task ID],[@[Task ID]])</f>
        <v/>
      </c>
      <c r="P15" s="2">
        <f>COUNTIFS(tblSubtasks[Parent Task ID],[@[Task ID]],tblSubtasks[Manual Status],"Completed")</f>
        <v/>
      </c>
      <c r="Q15" s="2">
        <f>COUNTIFS(tblIssues[Task ID],[@[Task ID]],tblIssues[Status],"&lt;&gt;Closed",tblIssues[Status],"&lt;&gt;Resolved")</f>
        <v/>
      </c>
      <c r="R15" s="2">
        <f>SUMIF(tblTimesheets[Task ID],[@[Task ID]],tblTimesheets[Hours])</f>
        <v/>
      </c>
      <c r="S15" s="2">
        <f>IF([@[Manual Status]]="Completed","Completed",IF([@[Manual Status]]="Blocked","Blocked",IF(AND([@[Due Date]]&lt;TODAY(),[@[Manual Status]]&lt;&gt;"Completed",[@[Manual Status]]&lt;&gt;"Cancelled"),"Overdue",IF(AND([@[Due Date]]-TODAY()&lt;=3,[@[Progress %]]&lt;0.8),"At Risk",IF([@[Progress %]]=0,"Not Started","On Track")))))</f>
        <v/>
      </c>
      <c r="T15" s="2">
        <f>IF(AND([@[Due Date]]&lt;TODAY(),[@[Manual Status]]&lt;&gt;"Completed"),TODAY()-[@[Due Date]],0)</f>
        <v/>
      </c>
      <c r="U15" s="2" t="inlineStr"/>
    </row>
  </sheetData>
  <mergeCells count="2">
    <mergeCell ref="A2:N2"/>
    <mergeCell ref="A1:N1"/>
  </mergeCells>
  <conditionalFormatting sqref="S6:S800">
    <cfRule type="expression" priority="1" dxfId="0">
      <formula>$S6="Overdue"</formula>
    </cfRule>
    <cfRule type="expression" priority="2" dxfId="1">
      <formula>$S6="At Risk"</formula>
    </cfRule>
    <cfRule type="expression" priority="3" dxfId="0">
      <formula>$S6="Blocked"</formula>
    </cfRule>
    <cfRule type="expression" priority="4" dxfId="2">
      <formula>$S6="On Track"</formula>
    </cfRule>
    <cfRule type="expression" priority="5" dxfId="2">
      <formula>$S6="Completed"</formula>
    </cfRule>
  </conditionalFormatting>
  <dataValidations count="5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E6:E700" showDropDown="0" showInputMessage="0" showErrorMessage="0" allowBlank="1" errorTitle="Invalid selection" error="Select a valid value from the dropdown list." type="list">
      <formula1>=UserIDs</formula1>
    </dataValidation>
    <dataValidation sqref="H6:H700" showDropDown="0" showInputMessage="0" showErrorMessage="0" allowBlank="1" errorTitle="Invalid selection" error="Select a valid value from the dropdown list." type="list">
      <formula1>=Task_Status</formula1>
    </dataValidation>
    <dataValidation sqref="I6:I700" showDropDown="0" showInputMessage="0" showErrorMessage="0" allowBlank="1" errorTitle="Invalid selection" error="Select a valid value from the dropdown list." type="list">
      <formula1>=Priority</formula1>
    </dataValidation>
    <dataValidation sqref="K6:K700" showDropDown="0" showInputMessage="0" showErrorMessage="0" allowBlank="1" errorTitle="Invalid selection" error="Select a valid value from the dropdown list." type="list">
      <formula1>=TaskIDs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/>
  </sheetPr>
  <dimension ref="A1:N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Subtasks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Detailed execution checklist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Subtask ID</t>
        </is>
      </c>
      <c r="B5" s="17" t="inlineStr">
        <is>
          <t>Parent Task ID</t>
        </is>
      </c>
      <c r="C5" s="17" t="inlineStr">
        <is>
          <t>Project ID</t>
        </is>
      </c>
      <c r="D5" s="17" t="inlineStr">
        <is>
          <t>Subtask Name</t>
        </is>
      </c>
      <c r="E5" s="17" t="inlineStr">
        <is>
          <t>Assigned User</t>
        </is>
      </c>
      <c r="F5" s="17" t="inlineStr">
        <is>
          <t>Due Date</t>
        </is>
      </c>
      <c r="G5" s="17" t="inlineStr">
        <is>
          <t>Manual Status</t>
        </is>
      </c>
      <c r="H5" s="17" t="inlineStr">
        <is>
          <t>Priority</t>
        </is>
      </c>
      <c r="I5" s="22" t="inlineStr">
        <is>
          <t>Completion %</t>
        </is>
      </c>
      <c r="J5" s="17" t="inlineStr">
        <is>
          <t>Auto Health</t>
        </is>
      </c>
      <c r="K5" s="17" t="inlineStr">
        <is>
          <t>Days Late</t>
        </is>
      </c>
      <c r="L5" s="17" t="n"/>
      <c r="M5" s="17" t="n"/>
      <c r="N5" s="17" t="n"/>
    </row>
    <row r="6">
      <c r="A6" s="2" t="inlineStr">
        <is>
          <t>SUB-001</t>
        </is>
      </c>
      <c r="B6" s="2" t="inlineStr">
        <is>
          <t>TSK-002</t>
        </is>
      </c>
      <c r="C6" s="2" t="inlineStr">
        <is>
          <t>PRJ-001</t>
        </is>
      </c>
      <c r="D6" s="2" t="inlineStr">
        <is>
          <t>Interface inventory</t>
        </is>
      </c>
      <c r="E6" s="2" t="inlineStr">
        <is>
          <t>USR-003</t>
        </is>
      </c>
      <c r="F6" s="24" t="n">
        <v>46184</v>
      </c>
      <c r="G6" s="2" t="inlineStr">
        <is>
          <t>In Progress</t>
        </is>
      </c>
      <c r="H6" s="2" t="inlineStr">
        <is>
          <t>High</t>
        </is>
      </c>
      <c r="I6" s="20" t="n">
        <v>0.7</v>
      </c>
      <c r="J6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6" s="2">
        <f>IF(AND([@[Due Date]]&lt;TODAY(),[@[Manual Status]]&lt;&gt;"Completed"),TODAY()-[@[Due Date]],0)</f>
        <v/>
      </c>
      <c r="L6" s="2" t="n"/>
      <c r="M6" s="2" t="n"/>
      <c r="N6" s="2" t="n"/>
    </row>
    <row r="7">
      <c r="A7" s="2" t="inlineStr">
        <is>
          <t>SUB-002</t>
        </is>
      </c>
      <c r="B7" s="2" t="inlineStr">
        <is>
          <t>TSK-003</t>
        </is>
      </c>
      <c r="C7" s="2" t="inlineStr">
        <is>
          <t>PRJ-001</t>
        </is>
      </c>
      <c r="D7" s="2" t="inlineStr">
        <is>
          <t>Connection pool</t>
        </is>
      </c>
      <c r="E7" s="2" t="inlineStr">
        <is>
          <t>USR-002</t>
        </is>
      </c>
      <c r="F7" s="24" t="n">
        <v>46190</v>
      </c>
      <c r="G7" s="2" t="inlineStr">
        <is>
          <t>Not Started</t>
        </is>
      </c>
      <c r="H7" s="2" t="inlineStr">
        <is>
          <t>Critical</t>
        </is>
      </c>
      <c r="I7" s="20" t="n">
        <v>0</v>
      </c>
      <c r="J7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7" s="2">
        <f>IF(AND([@[Due Date]]&lt;TODAY(),[@[Manual Status]]&lt;&gt;"Completed"),TODAY()-[@[Due Date]],0)</f>
        <v/>
      </c>
      <c r="L7" s="2" t="n"/>
      <c r="M7" s="2" t="n"/>
      <c r="N7" s="2" t="n"/>
    </row>
    <row r="8">
      <c r="A8" s="2" t="inlineStr">
        <is>
          <t>SUB-003</t>
        </is>
      </c>
      <c r="B8" s="2" t="inlineStr">
        <is>
          <t>TSK-005</t>
        </is>
      </c>
      <c r="C8" s="2" t="inlineStr">
        <is>
          <t>PRJ-002</t>
        </is>
      </c>
      <c r="D8" s="2" t="inlineStr">
        <is>
          <t>SSO spike</t>
        </is>
      </c>
      <c r="E8" s="2" t="inlineStr">
        <is>
          <t>USR-002</t>
        </is>
      </c>
      <c r="F8" s="24" t="n">
        <v>46188</v>
      </c>
      <c r="G8" s="2" t="inlineStr">
        <is>
          <t>Blocked</t>
        </is>
      </c>
      <c r="H8" s="2" t="inlineStr">
        <is>
          <t>High</t>
        </is>
      </c>
      <c r="I8" s="20" t="n">
        <v>0.15</v>
      </c>
      <c r="J8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8" s="2">
        <f>IF(AND([@[Due Date]]&lt;TODAY(),[@[Manual Status]]&lt;&gt;"Completed"),TODAY()-[@[Due Date]],0)</f>
        <v/>
      </c>
      <c r="L8" s="2" t="n"/>
      <c r="M8" s="2" t="n"/>
      <c r="N8" s="2" t="n"/>
    </row>
    <row r="9">
      <c r="A9" s="2" t="inlineStr">
        <is>
          <t>SUB-004</t>
        </is>
      </c>
      <c r="B9" s="2" t="inlineStr">
        <is>
          <t>TSK-006</t>
        </is>
      </c>
      <c r="C9" s="2" t="inlineStr">
        <is>
          <t>PRJ-003</t>
        </is>
      </c>
      <c r="D9" s="2" t="inlineStr">
        <is>
          <t>Profile customer table</t>
        </is>
      </c>
      <c r="E9" s="2" t="inlineStr">
        <is>
          <t>USR-004</t>
        </is>
      </c>
      <c r="F9" s="24" t="n">
        <v>46178</v>
      </c>
      <c r="G9" s="2" t="inlineStr">
        <is>
          <t>In Progress</t>
        </is>
      </c>
      <c r="H9" s="2" t="inlineStr">
        <is>
          <t>Medium</t>
        </is>
      </c>
      <c r="I9" s="20" t="n">
        <v>0.8</v>
      </c>
      <c r="J9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9" s="2">
        <f>IF(AND([@[Due Date]]&lt;TODAY(),[@[Manual Status]]&lt;&gt;"Completed"),TODAY()-[@[Due Date]],0)</f>
        <v/>
      </c>
      <c r="L9" s="2" t="n"/>
      <c r="M9" s="2" t="n"/>
      <c r="N9" s="2" t="n"/>
    </row>
    <row r="10">
      <c r="A10" s="2" t="inlineStr">
        <is>
          <t>SUB-005</t>
        </is>
      </c>
      <c r="B10" s="2" t="inlineStr">
        <is>
          <t>TSK-008</t>
        </is>
      </c>
      <c r="C10" s="2" t="inlineStr">
        <is>
          <t>PRJ-004</t>
        </is>
      </c>
      <c r="D10" s="2" t="inlineStr">
        <is>
          <t>Current-state process map</t>
        </is>
      </c>
      <c r="E10" s="2" t="inlineStr">
        <is>
          <t>USR-006</t>
        </is>
      </c>
      <c r="F10" s="24" t="n">
        <v>46187</v>
      </c>
      <c r="G10" s="2" t="inlineStr">
        <is>
          <t>In Progress</t>
        </is>
      </c>
      <c r="H10" s="2" t="inlineStr">
        <is>
          <t>High</t>
        </is>
      </c>
      <c r="I10" s="20" t="n">
        <v>0.45</v>
      </c>
      <c r="J10" s="2">
        <f>IF([@[Manual Status]]="Completed","Completed",IF(AND([@[Due Date]]&lt;TODAY(),[@[Manual Status]]&lt;&gt;"Completed"),"Overdue",IF(AND([@[Due Date]]-TODAY()&lt;=3,[@[Completion %]]&lt;0.8),"At Risk",IF([@[Completion %]]=0,"Not Started","On Track"))))</f>
        <v/>
      </c>
      <c r="K10" s="2">
        <f>IF(AND([@[Due Date]]&lt;TODAY(),[@[Manual Status]]&lt;&gt;"Completed"),TODAY()-[@[Due Date]],0)</f>
        <v/>
      </c>
      <c r="L10" s="2" t="n"/>
      <c r="M10" s="2" t="n"/>
      <c r="N10" s="2" t="n"/>
    </row>
  </sheetData>
  <mergeCells count="2">
    <mergeCell ref="A2:N2"/>
    <mergeCell ref="A1:N1"/>
  </mergeCells>
  <conditionalFormatting sqref="J6:J800">
    <cfRule type="expression" priority="1" dxfId="0">
      <formula>$J6="Overdue"</formula>
    </cfRule>
    <cfRule type="expression" priority="2" dxfId="1">
      <formula>$J6="At Risk"</formula>
    </cfRule>
    <cfRule type="expression" priority="3" dxfId="0">
      <formula>$J6="Blocked"</formula>
    </cfRule>
    <cfRule type="expression" priority="4" dxfId="2">
      <formula>$J6="On Track"</formula>
    </cfRule>
    <cfRule type="expression" priority="5" dxfId="2">
      <formula>$J6="Completed"</formula>
    </cfRule>
  </conditionalFormatting>
  <dataValidations count="5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B6:B700" showDropDown="0" showInputMessage="0" showErrorMessage="0" allowBlank="1" errorTitle="Invalid selection" error="Select a valid value from the dropdown list." type="list">
      <formula1>=TaskIDs</formula1>
    </dataValidation>
    <dataValidation sqref="E6:E700" showDropDown="0" showInputMessage="0" showErrorMessage="0" allowBlank="1" errorTitle="Invalid selection" error="Select a valid value from the dropdown list." type="list">
      <formula1>=UserIDs</formula1>
    </dataValidation>
    <dataValidation sqref="G6:G700" showDropDown="0" showInputMessage="0" showErrorMessage="0" allowBlank="1" errorTitle="Invalid selection" error="Select a valid value from the dropdown list." type="list">
      <formula1>=Task_Status</formula1>
    </dataValidation>
    <dataValidation sqref="H6:H700" showDropDown="0" showInputMessage="0" showErrorMessage="0" allowBlank="1" errorTitle="Invalid selection" error="Select a valid value from the dropdown list." type="list">
      <formula1>=Priority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1:N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Milestones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Major checkpoints and delivery gates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Milestone ID</t>
        </is>
      </c>
      <c r="B5" s="17" t="inlineStr">
        <is>
          <t>Project ID</t>
        </is>
      </c>
      <c r="C5" s="17" t="inlineStr">
        <is>
          <t>Milestone Name</t>
        </is>
      </c>
      <c r="D5" s="17" t="inlineStr">
        <is>
          <t>Owner</t>
        </is>
      </c>
      <c r="E5" s="17" t="inlineStr">
        <is>
          <t>Target Date</t>
        </is>
      </c>
      <c r="F5" s="17" t="inlineStr">
        <is>
          <t>Manual Status</t>
        </is>
      </c>
      <c r="G5" s="17" t="inlineStr">
        <is>
          <t>Priority</t>
        </is>
      </c>
      <c r="H5" s="17" t="inlineStr">
        <is>
          <t>Auto Health</t>
        </is>
      </c>
      <c r="I5" s="17" t="inlineStr">
        <is>
          <t>Days Remaining</t>
        </is>
      </c>
      <c r="J5" s="17" t="n"/>
      <c r="K5" s="17" t="n"/>
      <c r="L5" s="17" t="n"/>
      <c r="M5" s="17" t="n"/>
      <c r="N5" s="17" t="n"/>
    </row>
    <row r="6">
      <c r="A6" s="2" t="inlineStr">
        <is>
          <t>MS-001</t>
        </is>
      </c>
      <c r="B6" s="2" t="inlineStr">
        <is>
          <t>PRJ-001</t>
        </is>
      </c>
      <c r="C6" s="2" t="inlineStr">
        <is>
          <t>Architecture sign-off</t>
        </is>
      </c>
      <c r="D6" s="2" t="inlineStr">
        <is>
          <t>USR-001</t>
        </is>
      </c>
      <c r="E6" s="24" t="n">
        <v>46194</v>
      </c>
      <c r="F6" s="2" t="inlineStr">
        <is>
          <t>In Progress</t>
        </is>
      </c>
      <c r="G6" s="2" t="inlineStr">
        <is>
          <t>Critical</t>
        </is>
      </c>
      <c r="H6" s="2">
        <f>IF([@[Manual Status]]="Completed","Completed",IF(AND([@[Target Date]]&lt;TODAY(),[@[Manual Status]]&lt;&gt;"Completed"),"Overdue",IF([@[Target Date]]-TODAY()&lt;=5,"At Risk","On Track")))</f>
        <v/>
      </c>
      <c r="I6" s="2">
        <f>MAX(0,[@[Target Date]]-TODAY())</f>
        <v/>
      </c>
      <c r="J6" s="2" t="n"/>
      <c r="K6" s="2" t="n"/>
      <c r="L6" s="2" t="n"/>
      <c r="M6" s="2" t="n"/>
      <c r="N6" s="2" t="n"/>
    </row>
    <row r="7">
      <c r="A7" s="2" t="inlineStr">
        <is>
          <t>MS-002</t>
        </is>
      </c>
      <c r="B7" s="2" t="inlineStr">
        <is>
          <t>PRJ-002</t>
        </is>
      </c>
      <c r="C7" s="2" t="inlineStr">
        <is>
          <t>Portal beta</t>
        </is>
      </c>
      <c r="D7" s="2" t="inlineStr">
        <is>
          <t>USR-001</t>
        </is>
      </c>
      <c r="E7" s="24" t="n">
        <v>46207</v>
      </c>
      <c r="F7" s="2" t="inlineStr">
        <is>
          <t>Not Started</t>
        </is>
      </c>
      <c r="G7" s="2" t="inlineStr">
        <is>
          <t>High</t>
        </is>
      </c>
      <c r="H7" s="2">
        <f>IF([@[Manual Status]]="Completed","Completed",IF(AND([@[Target Date]]&lt;TODAY(),[@[Manual Status]]&lt;&gt;"Completed"),"Overdue",IF([@[Target Date]]-TODAY()&lt;=5,"At Risk","On Track")))</f>
        <v/>
      </c>
      <c r="I7" s="2">
        <f>MAX(0,[@[Target Date]]-TODAY())</f>
        <v/>
      </c>
      <c r="J7" s="2" t="n"/>
      <c r="K7" s="2" t="n"/>
      <c r="L7" s="2" t="n"/>
      <c r="M7" s="2" t="n"/>
      <c r="N7" s="2" t="n"/>
    </row>
    <row r="8">
      <c r="A8" s="2" t="inlineStr">
        <is>
          <t>MS-003</t>
        </is>
      </c>
      <c r="B8" s="2" t="inlineStr">
        <is>
          <t>PRJ-003</t>
        </is>
      </c>
      <c r="C8" s="2" t="inlineStr">
        <is>
          <t>DQ baseline approved</t>
        </is>
      </c>
      <c r="D8" s="2" t="inlineStr">
        <is>
          <t>USR-004</t>
        </is>
      </c>
      <c r="E8" s="24" t="n">
        <v>46186</v>
      </c>
      <c r="F8" s="2" t="inlineStr">
        <is>
          <t>In Progress</t>
        </is>
      </c>
      <c r="G8" s="2" t="inlineStr">
        <is>
          <t>Medium</t>
        </is>
      </c>
      <c r="H8" s="2">
        <f>IF([@[Manual Status]]="Completed","Completed",IF(AND([@[Target Date]]&lt;TODAY(),[@[Manual Status]]&lt;&gt;"Completed"),"Overdue",IF([@[Target Date]]-TODAY()&lt;=5,"At Risk","On Track")))</f>
        <v/>
      </c>
      <c r="I8" s="2">
        <f>MAX(0,[@[Target Date]]-TODAY())</f>
        <v/>
      </c>
      <c r="J8" s="2" t="n"/>
      <c r="K8" s="2" t="n"/>
      <c r="L8" s="2" t="n"/>
      <c r="M8" s="2" t="n"/>
      <c r="N8" s="2" t="n"/>
    </row>
    <row r="9">
      <c r="A9" s="2" t="inlineStr">
        <is>
          <t>MS-004</t>
        </is>
      </c>
      <c r="B9" s="2" t="inlineStr">
        <is>
          <t>PRJ-004</t>
        </is>
      </c>
      <c r="C9" s="2" t="inlineStr">
        <is>
          <t>Pilot go-live</t>
        </is>
      </c>
      <c r="D9" s="2" t="inlineStr">
        <is>
          <t>USR-005</t>
        </is>
      </c>
      <c r="E9" s="24" t="n">
        <v>46232</v>
      </c>
      <c r="F9" s="2" t="inlineStr">
        <is>
          <t>Not Started</t>
        </is>
      </c>
      <c r="G9" s="2" t="inlineStr">
        <is>
          <t>High</t>
        </is>
      </c>
      <c r="H9" s="2">
        <f>IF([@[Manual Status]]="Completed","Completed",IF(AND([@[Target Date]]&lt;TODAY(),[@[Manual Status]]&lt;&gt;"Completed"),"Overdue",IF([@[Target Date]]-TODAY()&lt;=5,"At Risk","On Track")))</f>
        <v/>
      </c>
      <c r="I9" s="2">
        <f>MAX(0,[@[Target Date]]-TODAY())</f>
        <v/>
      </c>
      <c r="J9" s="2" t="n"/>
      <c r="K9" s="2" t="n"/>
      <c r="L9" s="2" t="n"/>
      <c r="M9" s="2" t="n"/>
      <c r="N9" s="2" t="n"/>
    </row>
    <row r="10">
      <c r="A10" s="2" t="inlineStr">
        <is>
          <t>MS-005</t>
        </is>
      </c>
      <c r="B10" s="2" t="inlineStr">
        <is>
          <t>PRJ-005</t>
        </is>
      </c>
      <c r="C10" s="2" t="inlineStr">
        <is>
          <t>Closure accepted</t>
        </is>
      </c>
      <c r="D10" s="2" t="inlineStr">
        <is>
          <t>USR-001</t>
        </is>
      </c>
      <c r="E10" s="24" t="n">
        <v>46179</v>
      </c>
      <c r="F10" s="2" t="inlineStr">
        <is>
          <t>Completed</t>
        </is>
      </c>
      <c r="G10" s="2" t="inlineStr">
        <is>
          <t>Medium</t>
        </is>
      </c>
      <c r="H10" s="2">
        <f>IF([@[Manual Status]]="Completed","Completed",IF(AND([@[Target Date]]&lt;TODAY(),[@[Manual Status]]&lt;&gt;"Completed"),"Overdue",IF([@[Target Date]]-TODAY()&lt;=5,"At Risk","On Track")))</f>
        <v/>
      </c>
      <c r="I10" s="2">
        <f>MAX(0,[@[Target Date]]-TODAY())</f>
        <v/>
      </c>
      <c r="J10" s="2" t="n"/>
      <c r="K10" s="2" t="n"/>
      <c r="L10" s="2" t="n"/>
      <c r="M10" s="2" t="n"/>
      <c r="N10" s="2" t="n"/>
    </row>
  </sheetData>
  <mergeCells count="2">
    <mergeCell ref="A2:N2"/>
    <mergeCell ref="A1:N1"/>
  </mergeCells>
  <conditionalFormatting sqref="H6:H800">
    <cfRule type="expression" priority="1" dxfId="0">
      <formula>$H6="Overdue"</formula>
    </cfRule>
    <cfRule type="expression" priority="2" dxfId="1">
      <formula>$H6="At Risk"</formula>
    </cfRule>
    <cfRule type="expression" priority="3" dxfId="0">
      <formula>$H6="Blocked"</formula>
    </cfRule>
    <cfRule type="expression" priority="4" dxfId="2">
      <formula>$H6="On Track"</formula>
    </cfRule>
    <cfRule type="expression" priority="5" dxfId="2">
      <formula>$H6="Completed"</formula>
    </cfRule>
  </conditionalFormatting>
  <dataValidations count="4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D6:D300" showDropDown="0" showInputMessage="0" showErrorMessage="0" allowBlank="1" errorTitle="Invalid selection" error="Select a valid value from the dropdown list." type="list">
      <formula1>=UserIDs</formula1>
    </dataValidation>
    <dataValidation sqref="F6:F300" showDropDown="0" showInputMessage="0" showErrorMessage="0" allowBlank="1" errorTitle="Invalid selection" error="Select a valid value from the dropdown list." type="list">
      <formula1>=Project_Status</formula1>
    </dataValidation>
    <dataValidation sqref="G6:G300" showDropDown="0" showInputMessage="0" showErrorMessage="0" allowBlank="1" errorTitle="Invalid selection" error="Select a valid value from the dropdown list." type="list">
      <formula1>=Priority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8.xml><?xml version="1.0" encoding="utf-8"?>
<worksheet xmlns="http://schemas.openxmlformats.org/spreadsheetml/2006/main">
  <sheetPr>
    <tabColor rgb="00D9770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Issues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Zoho-style issue and blocker register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Issue ID</t>
        </is>
      </c>
      <c r="B5" s="17" t="inlineStr">
        <is>
          <t>Project ID</t>
        </is>
      </c>
      <c r="C5" s="17" t="inlineStr">
        <is>
          <t>Task ID</t>
        </is>
      </c>
      <c r="D5" s="17" t="inlineStr">
        <is>
          <t>Type</t>
        </is>
      </c>
      <c r="E5" s="17" t="inlineStr">
        <is>
          <t>Title</t>
        </is>
      </c>
      <c r="F5" s="17" t="inlineStr">
        <is>
          <t>Owner</t>
        </is>
      </c>
      <c r="G5" s="17" t="inlineStr">
        <is>
          <t>Priority</t>
        </is>
      </c>
      <c r="H5" s="17" t="inlineStr">
        <is>
          <t>Status</t>
        </is>
      </c>
      <c r="I5" s="17" t="inlineStr">
        <is>
          <t>Created Date</t>
        </is>
      </c>
      <c r="J5" s="17" t="inlineStr">
        <is>
          <t>Due Date</t>
        </is>
      </c>
      <c r="K5" s="17" t="inlineStr">
        <is>
          <t>Age Days</t>
        </is>
      </c>
      <c r="L5" s="17" t="inlineStr">
        <is>
          <t>Auto Health</t>
        </is>
      </c>
      <c r="M5" s="17" t="inlineStr">
        <is>
          <t>Notes</t>
        </is>
      </c>
      <c r="N5" s="17" t="n"/>
    </row>
    <row r="6">
      <c r="A6" s="2" t="inlineStr">
        <is>
          <t>ISS-001</t>
        </is>
      </c>
      <c r="B6" s="2" t="inlineStr">
        <is>
          <t>PRJ-001</t>
        </is>
      </c>
      <c r="C6" s="2" t="inlineStr">
        <is>
          <t>TSK-003</t>
        </is>
      </c>
      <c r="D6" s="2" t="inlineStr">
        <is>
          <t>Dependency</t>
        </is>
      </c>
      <c r="E6" s="2" t="inlineStr">
        <is>
          <t>Oracle access delay</t>
        </is>
      </c>
      <c r="F6" s="2" t="inlineStr">
        <is>
          <t>USR-002</t>
        </is>
      </c>
      <c r="G6" s="2" t="inlineStr">
        <is>
          <t>High</t>
        </is>
      </c>
      <c r="H6" s="2" t="inlineStr">
        <is>
          <t>In Progress</t>
        </is>
      </c>
      <c r="I6" s="24" t="n">
        <v>46180</v>
      </c>
      <c r="J6" s="24" t="n">
        <v>46185</v>
      </c>
      <c r="K6" s="2">
        <f>TODAY()-[@[Created Date]]</f>
        <v/>
      </c>
      <c r="L6" s="2">
        <f>IF([@[Status]]="Closed","Completed",IF([@[Status]]="Resolved","Completed",IF(AND([@[Due Date]]&lt;TODAY(),[@[Status]]&lt;&gt;"Closed",[@[Status]]&lt;&gt;"Resolved"),"Overdue",IF([@[Priority]]="Critical","At Risk","On Track"))))</f>
        <v/>
      </c>
      <c r="M6" s="2" t="inlineStr">
        <is>
          <t>Need DBA approval</t>
        </is>
      </c>
      <c r="N6" s="2" t="n"/>
    </row>
    <row r="7">
      <c r="A7" s="2" t="inlineStr">
        <is>
          <t>ISS-002</t>
        </is>
      </c>
      <c r="B7" s="2" t="inlineStr">
        <is>
          <t>PRJ-002</t>
        </is>
      </c>
      <c r="C7" s="2" t="inlineStr">
        <is>
          <t>TSK-005</t>
        </is>
      </c>
      <c r="D7" s="2" t="inlineStr">
        <is>
          <t>Blocker</t>
        </is>
      </c>
      <c r="E7" s="2" t="inlineStr">
        <is>
          <t>Security sign-off pending</t>
        </is>
      </c>
      <c r="F7" s="2" t="inlineStr">
        <is>
          <t>USR-001</t>
        </is>
      </c>
      <c r="G7" s="2" t="inlineStr">
        <is>
          <t>Critical</t>
        </is>
      </c>
      <c r="H7" s="2" t="inlineStr">
        <is>
          <t>Open</t>
        </is>
      </c>
      <c r="I7" s="24" t="n">
        <v>46177</v>
      </c>
      <c r="J7" s="24" t="n">
        <v>46183</v>
      </c>
      <c r="K7" s="2">
        <f>TODAY()-[@[Created Date]]</f>
        <v/>
      </c>
      <c r="L7" s="2">
        <f>IF([@[Status]]="Closed","Completed",IF([@[Status]]="Resolved","Completed",IF(AND([@[Due Date]]&lt;TODAY(),[@[Status]]&lt;&gt;"Closed",[@[Status]]&lt;&gt;"Resolved"),"Overdue",IF([@[Priority]]="Critical","At Risk","On Track"))))</f>
        <v/>
      </c>
      <c r="M7" s="2" t="inlineStr">
        <is>
          <t>Escalated to security</t>
        </is>
      </c>
      <c r="N7" s="2" t="n"/>
    </row>
    <row r="8">
      <c r="A8" s="2" t="inlineStr">
        <is>
          <t>ISS-003</t>
        </is>
      </c>
      <c r="B8" s="2" t="inlineStr">
        <is>
          <t>PRJ-003</t>
        </is>
      </c>
      <c r="C8" s="2" t="inlineStr">
        <is>
          <t>TSK-006</t>
        </is>
      </c>
      <c r="D8" s="2" t="inlineStr">
        <is>
          <t>Bug</t>
        </is>
      </c>
      <c r="E8" s="2" t="inlineStr">
        <is>
          <t>Missing source ownership</t>
        </is>
      </c>
      <c r="F8" s="2" t="inlineStr">
        <is>
          <t>USR-004</t>
        </is>
      </c>
      <c r="G8" s="2" t="inlineStr">
        <is>
          <t>Medium</t>
        </is>
      </c>
      <c r="H8" s="2" t="inlineStr">
        <is>
          <t>Waiting</t>
        </is>
      </c>
      <c r="I8" s="24" t="n">
        <v>46172</v>
      </c>
      <c r="J8" s="24" t="n">
        <v>46188</v>
      </c>
      <c r="K8" s="2">
        <f>TODAY()-[@[Created Date]]</f>
        <v/>
      </c>
      <c r="L8" s="2">
        <f>IF([@[Status]]="Closed","Completed",IF([@[Status]]="Resolved","Completed",IF(AND([@[Due Date]]&lt;TODAY(),[@[Status]]&lt;&gt;"Closed",[@[Status]]&lt;&gt;"Resolved"),"Overdue",IF([@[Priority]]="Critical","At Risk","On Track"))))</f>
        <v/>
      </c>
      <c r="M8" s="2" t="inlineStr">
        <is>
          <t>Waiting data steward</t>
        </is>
      </c>
      <c r="N8" s="2" t="n"/>
    </row>
    <row r="9">
      <c r="A9" s="2" t="inlineStr">
        <is>
          <t>ISS-004</t>
        </is>
      </c>
      <c r="B9" s="2" t="inlineStr">
        <is>
          <t>PRJ-004</t>
        </is>
      </c>
      <c r="C9" s="2" t="inlineStr">
        <is>
          <t>TSK-008</t>
        </is>
      </c>
      <c r="D9" s="2" t="inlineStr">
        <is>
          <t>Change Request</t>
        </is>
      </c>
      <c r="E9" s="2" t="inlineStr">
        <is>
          <t>Add approval workflow</t>
        </is>
      </c>
      <c r="F9" s="2" t="inlineStr">
        <is>
          <t>USR-006</t>
        </is>
      </c>
      <c r="G9" s="2" t="inlineStr">
        <is>
          <t>Medium</t>
        </is>
      </c>
      <c r="H9" s="2" t="inlineStr">
        <is>
          <t>Open</t>
        </is>
      </c>
      <c r="I9" s="24" t="n">
        <v>46181</v>
      </c>
      <c r="J9" s="24" t="n">
        <v>46196</v>
      </c>
      <c r="K9" s="2">
        <f>TODAY()-[@[Created Date]]</f>
        <v/>
      </c>
      <c r="L9" s="2">
        <f>IF([@[Status]]="Closed","Completed",IF([@[Status]]="Resolved","Completed",IF(AND([@[Due Date]]&lt;TODAY(),[@[Status]]&lt;&gt;"Closed",[@[Status]]&lt;&gt;"Resolved"),"Overdue",IF([@[Priority]]="Critical","At Risk","On Track"))))</f>
        <v/>
      </c>
      <c r="M9" s="2" t="inlineStr">
        <is>
          <t>Scope review</t>
        </is>
      </c>
      <c r="N9" s="2" t="n"/>
    </row>
  </sheetData>
  <mergeCells count="2">
    <mergeCell ref="A2:N2"/>
    <mergeCell ref="A1:N1"/>
  </mergeCells>
  <conditionalFormatting sqref="L6:L800">
    <cfRule type="expression" priority="1" dxfId="0">
      <formula>$L6="Overdue"</formula>
    </cfRule>
    <cfRule type="expression" priority="2" dxfId="1">
      <formula>$L6="At Risk"</formula>
    </cfRule>
    <cfRule type="expression" priority="3" dxfId="0">
      <formula>$L6="Blocked"</formula>
    </cfRule>
    <cfRule type="expression" priority="4" dxfId="2">
      <formula>$L6="On Track"</formula>
    </cfRule>
    <cfRule type="expression" priority="5" dxfId="2">
      <formula>$L6="Completed"</formula>
    </cfRule>
  </conditionalFormatting>
  <dataValidations count="6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C6:C500" showDropDown="0" showInputMessage="0" showErrorMessage="0" allowBlank="1" errorTitle="Invalid selection" error="Select a valid value from the dropdown list." type="list">
      <formula1>=TaskIDs</formula1>
    </dataValidation>
    <dataValidation sqref="D6:D500" showDropDown="0" showInputMessage="0" showErrorMessage="0" allowBlank="1" errorTitle="Invalid selection" error="Select a valid value from the dropdown list." type="list">
      <formula1>=Issue_Type</formula1>
    </dataValidation>
    <dataValidation sqref="F6:F500" showDropDown="0" showInputMessage="0" showErrorMessage="0" allowBlank="1" errorTitle="Invalid selection" error="Select a valid value from the dropdown list." type="list">
      <formula1>=UserIDs</formula1>
    </dataValidation>
    <dataValidation sqref="G6:G500" showDropDown="0" showInputMessage="0" showErrorMessage="0" allowBlank="1" errorTitle="Invalid selection" error="Select a valid value from the dropdown list." type="list">
      <formula1>=Priority</formula1>
    </dataValidation>
    <dataValidation sqref="H6:H500" showDropDown="0" showInputMessage="0" showErrorMessage="0" allowBlank="1" errorTitle="Invalid selection" error="Select a valid value from the dropdown list." type="list">
      <formula1>=Issue_Status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9.xml><?xml version="1.0" encoding="utf-8"?>
<worksheet xmlns="http://schemas.openxmlformats.org/spreadsheetml/2006/main">
  <sheetPr>
    <tabColor rgb="00D9770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Risks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Risk register with mitigation tracking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Risk ID</t>
        </is>
      </c>
      <c r="B5" s="17" t="inlineStr">
        <is>
          <t>Project ID</t>
        </is>
      </c>
      <c r="C5" s="17" t="inlineStr">
        <is>
          <t>Risk Title</t>
        </is>
      </c>
      <c r="D5" s="17" t="inlineStr">
        <is>
          <t>Owner</t>
        </is>
      </c>
      <c r="E5" s="17" t="inlineStr">
        <is>
          <t>Probability</t>
        </is>
      </c>
      <c r="F5" s="17" t="inlineStr">
        <is>
          <t>Impact</t>
        </is>
      </c>
      <c r="G5" s="17" t="inlineStr">
        <is>
          <t>Severity</t>
        </is>
      </c>
      <c r="H5" s="17" t="inlineStr">
        <is>
          <t>Mitigation</t>
        </is>
      </c>
      <c r="I5" s="17" t="inlineStr">
        <is>
          <t>Status</t>
        </is>
      </c>
      <c r="J5" s="17" t="inlineStr">
        <is>
          <t>Risk Score</t>
        </is>
      </c>
      <c r="K5" s="17" t="n"/>
      <c r="L5" s="17" t="n"/>
      <c r="M5" s="17" t="n"/>
      <c r="N5" s="17" t="n"/>
    </row>
    <row r="6">
      <c r="A6" s="2" t="inlineStr">
        <is>
          <t>RSK-001</t>
        </is>
      </c>
      <c r="B6" s="2" t="inlineStr">
        <is>
          <t>PRJ-001</t>
        </is>
      </c>
      <c r="C6" s="2" t="inlineStr">
        <is>
          <t>Legacy schema unknowns</t>
        </is>
      </c>
      <c r="D6" s="2" t="inlineStr">
        <is>
          <t>USR-002</t>
        </is>
      </c>
      <c r="E6" s="2" t="inlineStr">
        <is>
          <t>High</t>
        </is>
      </c>
      <c r="F6" s="2" t="inlineStr">
        <is>
          <t>Medium</t>
        </is>
      </c>
      <c r="G6" s="2" t="inlineStr">
        <is>
          <t>High</t>
        </is>
      </c>
      <c r="H6" s="2" t="inlineStr">
        <is>
          <t>Run profiling spike</t>
        </is>
      </c>
      <c r="I6" s="2" t="inlineStr">
        <is>
          <t>Mitigating</t>
        </is>
      </c>
      <c r="J6" s="2">
        <f>IF([@[Severity]]="Critical",9,IF([@[Severity]]="High",6,IF([@[Severity]]="Medium",3,1)))</f>
        <v/>
      </c>
      <c r="K6" s="2" t="n"/>
      <c r="L6" s="2" t="n"/>
      <c r="M6" s="2" t="n"/>
      <c r="N6" s="2" t="n"/>
    </row>
    <row r="7">
      <c r="A7" s="2" t="inlineStr">
        <is>
          <t>RSK-002</t>
        </is>
      </c>
      <c r="B7" s="2" t="inlineStr">
        <is>
          <t>PRJ-002</t>
        </is>
      </c>
      <c r="C7" s="2" t="inlineStr">
        <is>
          <t>Security approval may slip</t>
        </is>
      </c>
      <c r="D7" s="2" t="inlineStr">
        <is>
          <t>USR-001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Critical</t>
        </is>
      </c>
      <c r="H7" s="2" t="inlineStr">
        <is>
          <t>Escalate weekly</t>
        </is>
      </c>
      <c r="I7" s="2" t="inlineStr">
        <is>
          <t>Escalated</t>
        </is>
      </c>
      <c r="J7" s="2">
        <f>IF([@[Severity]]="Critical",9,IF([@[Severity]]="High",6,IF([@[Severity]]="Medium",3,1)))</f>
        <v/>
      </c>
      <c r="K7" s="2" t="n"/>
      <c r="L7" s="2" t="n"/>
      <c r="M7" s="2" t="n"/>
      <c r="N7" s="2" t="n"/>
    </row>
    <row r="8">
      <c r="A8" s="2" t="inlineStr">
        <is>
          <t>RSK-003</t>
        </is>
      </c>
      <c r="B8" s="2" t="inlineStr">
        <is>
          <t>PRJ-003</t>
        </is>
      </c>
      <c r="C8" s="2" t="inlineStr">
        <is>
          <t>Low business owner availability</t>
        </is>
      </c>
      <c r="D8" s="2" t="inlineStr">
        <is>
          <t>USR-004</t>
        </is>
      </c>
      <c r="E8" s="2" t="inlineStr">
        <is>
          <t>Medium</t>
        </is>
      </c>
      <c r="F8" s="2" t="inlineStr">
        <is>
          <t>High</t>
        </is>
      </c>
      <c r="G8" s="2" t="inlineStr">
        <is>
          <t>Medium</t>
        </is>
      </c>
      <c r="H8" s="2" t="inlineStr">
        <is>
          <t>Set governance cadence</t>
        </is>
      </c>
      <c r="I8" s="2" t="inlineStr">
        <is>
          <t>Open</t>
        </is>
      </c>
      <c r="J8" s="2">
        <f>IF([@[Severity]]="Critical",9,IF([@[Severity]]="High",6,IF([@[Severity]]="Medium",3,1)))</f>
        <v/>
      </c>
      <c r="K8" s="2" t="n"/>
      <c r="L8" s="2" t="n"/>
      <c r="M8" s="2" t="n"/>
      <c r="N8" s="2" t="n"/>
    </row>
    <row r="9">
      <c r="A9" s="2" t="inlineStr">
        <is>
          <t>RSK-004</t>
        </is>
      </c>
      <c r="B9" s="2" t="inlineStr">
        <is>
          <t>PRJ-004</t>
        </is>
      </c>
      <c r="C9" s="2" t="inlineStr">
        <is>
          <t>Pilot adoption risk</t>
        </is>
      </c>
      <c r="D9" s="2" t="inlineStr">
        <is>
          <t>USR-005</t>
        </is>
      </c>
      <c r="E9" s="2" t="inlineStr">
        <is>
          <t>Medium</t>
        </is>
      </c>
      <c r="F9" s="2" t="inlineStr">
        <is>
          <t>Medium</t>
        </is>
      </c>
      <c r="G9" s="2" t="inlineStr">
        <is>
          <t>Medium</t>
        </is>
      </c>
      <c r="H9" s="2" t="inlineStr">
        <is>
          <t>Training and hypercare</t>
        </is>
      </c>
      <c r="I9" s="2" t="inlineStr">
        <is>
          <t>Open</t>
        </is>
      </c>
      <c r="J9" s="2">
        <f>IF([@[Severity]]="Critical",9,IF([@[Severity]]="High",6,IF([@[Severity]]="Medium",3,1)))</f>
        <v/>
      </c>
      <c r="K9" s="2" t="n"/>
      <c r="L9" s="2" t="n"/>
      <c r="M9" s="2" t="n"/>
      <c r="N9" s="2" t="n"/>
    </row>
  </sheetData>
  <mergeCells count="2">
    <mergeCell ref="A2:N2"/>
    <mergeCell ref="A1:N1"/>
  </mergeCells>
  <dataValidations count="4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D6:D500" showDropDown="0" showInputMessage="0" showErrorMessage="0" allowBlank="1" errorTitle="Invalid selection" error="Select a valid value from the dropdown list." type="list">
      <formula1>=UserIDs</formula1>
    </dataValidation>
    <dataValidation sqref="E6:G500" showDropDown="0" showInputMessage="0" showErrorMessage="0" allowBlank="1" errorTitle="Invalid selection" error="Select a valid value from the dropdown list." type="list">
      <formula1>=Priority</formula1>
    </dataValidation>
    <dataValidation sqref="I6:I500" showDropDown="0" showInputMessage="0" showErrorMessage="0" allowBlank="1" errorTitle="Invalid selection" error="Select a valid value from the dropdown list." type="list">
      <formula1>=Risk_Status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0.xml><?xml version="1.0" encoding="utf-8"?>
<worksheet xmlns="http://schemas.openxmlformats.org/spreadsheetml/2006/main">
  <sheetPr>
    <tabColor rgb="008064A2"/>
    <outlinePr summaryBelow="1" summaryRight="1"/>
    <pageSetUpPr/>
  </sheetPr>
  <dimension ref="A1:N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 ht="30" customHeight="1">
      <c r="A1" s="1" t="inlineStr">
        <is>
          <t>Timesheets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Project and task time tracking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Entry ID</t>
        </is>
      </c>
      <c r="B5" s="17" t="inlineStr">
        <is>
          <t>Project ID</t>
        </is>
      </c>
      <c r="C5" s="17" t="inlineStr">
        <is>
          <t>Task ID</t>
        </is>
      </c>
      <c r="D5" s="17" t="inlineStr">
        <is>
          <t>User ID</t>
        </is>
      </c>
      <c r="E5" s="17" t="inlineStr">
        <is>
          <t>Work Date</t>
        </is>
      </c>
      <c r="F5" s="17" t="inlineStr">
        <is>
          <t>Hours</t>
        </is>
      </c>
      <c r="G5" s="17" t="inlineStr">
        <is>
          <t>Billable</t>
        </is>
      </c>
      <c r="H5" s="17" t="inlineStr">
        <is>
          <t>Work Description</t>
        </is>
      </c>
      <c r="I5" s="17" t="n"/>
      <c r="J5" s="17" t="n"/>
      <c r="K5" s="17" t="n"/>
      <c r="L5" s="17" t="n"/>
      <c r="M5" s="17" t="n"/>
      <c r="N5" s="17" t="n"/>
    </row>
    <row r="6">
      <c r="A6" s="2" t="inlineStr">
        <is>
          <t>TIME-001</t>
        </is>
      </c>
      <c r="B6" s="2" t="inlineStr">
        <is>
          <t>PRJ-001</t>
        </is>
      </c>
      <c r="C6" s="2" t="inlineStr">
        <is>
          <t>TSK-002</t>
        </is>
      </c>
      <c r="D6" s="2" t="inlineStr">
        <is>
          <t>USR-003</t>
        </is>
      </c>
      <c r="E6" s="24" t="n">
        <v>46181</v>
      </c>
      <c r="F6" s="2" t="n">
        <v>6</v>
      </c>
      <c r="G6" s="2" t="inlineStr">
        <is>
          <t>Billable</t>
        </is>
      </c>
      <c r="H6" s="2" t="inlineStr">
        <is>
          <t>Design review</t>
        </is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TIME-002</t>
        </is>
      </c>
      <c r="B7" s="2" t="inlineStr">
        <is>
          <t>PRJ-001</t>
        </is>
      </c>
      <c r="C7" s="2" t="inlineStr">
        <is>
          <t>TSK-003</t>
        </is>
      </c>
      <c r="D7" s="2" t="inlineStr">
        <is>
          <t>USR-002</t>
        </is>
      </c>
      <c r="E7" s="24" t="n">
        <v>46181</v>
      </c>
      <c r="F7" s="2" t="n">
        <v>7</v>
      </c>
      <c r="G7" s="2" t="inlineStr">
        <is>
          <t>Billable</t>
        </is>
      </c>
      <c r="H7" s="2" t="inlineStr">
        <is>
          <t>Connector build</t>
        </is>
      </c>
      <c r="I7" s="2" t="n"/>
      <c r="J7" s="2" t="n"/>
      <c r="K7" s="2" t="n"/>
      <c r="L7" s="2" t="n"/>
      <c r="M7" s="2" t="n"/>
      <c r="N7" s="2" t="n"/>
    </row>
    <row r="8">
      <c r="A8" s="2" t="inlineStr">
        <is>
          <t>TIME-003</t>
        </is>
      </c>
      <c r="B8" s="2" t="inlineStr">
        <is>
          <t>PRJ-002</t>
        </is>
      </c>
      <c r="C8" s="2" t="inlineStr">
        <is>
          <t>TSK-005</t>
        </is>
      </c>
      <c r="D8" s="2" t="inlineStr">
        <is>
          <t>USR-002</t>
        </is>
      </c>
      <c r="E8" s="24" t="n">
        <v>46180</v>
      </c>
      <c r="F8" s="2" t="n">
        <v>5</v>
      </c>
      <c r="G8" s="2" t="inlineStr">
        <is>
          <t>Billable</t>
        </is>
      </c>
      <c r="H8" s="2" t="inlineStr">
        <is>
          <t>Auth spike</t>
        </is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TIME-004</t>
        </is>
      </c>
      <c r="B9" s="2" t="inlineStr">
        <is>
          <t>PRJ-003</t>
        </is>
      </c>
      <c r="C9" s="2" t="inlineStr">
        <is>
          <t>TSK-006</t>
        </is>
      </c>
      <c r="D9" s="2" t="inlineStr">
        <is>
          <t>USR-004</t>
        </is>
      </c>
      <c r="E9" s="24" t="n">
        <v>46179</v>
      </c>
      <c r="F9" s="2" t="n">
        <v>4</v>
      </c>
      <c r="G9" s="2" t="inlineStr">
        <is>
          <t>Non-Billable</t>
        </is>
      </c>
      <c r="H9" s="2" t="inlineStr">
        <is>
          <t>Data profiling</t>
        </is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TIME-005</t>
        </is>
      </c>
      <c r="B10" s="2" t="inlineStr">
        <is>
          <t>PRJ-004</t>
        </is>
      </c>
      <c r="C10" s="2" t="inlineStr">
        <is>
          <t>TSK-008</t>
        </is>
      </c>
      <c r="D10" s="2" t="inlineStr">
        <is>
          <t>USR-006</t>
        </is>
      </c>
      <c r="E10" s="24" t="n">
        <v>46182</v>
      </c>
      <c r="F10" s="2" t="n">
        <v>6</v>
      </c>
      <c r="G10" s="2" t="inlineStr">
        <is>
          <t>Billable</t>
        </is>
      </c>
      <c r="H10" s="2" t="inlineStr">
        <is>
          <t>Workshop notes</t>
        </is>
      </c>
      <c r="I10" s="2" t="n"/>
      <c r="J10" s="2" t="n"/>
      <c r="K10" s="2" t="n"/>
      <c r="L10" s="2" t="n"/>
      <c r="M10" s="2" t="n"/>
      <c r="N10" s="2" t="n"/>
    </row>
  </sheetData>
  <mergeCells count="2">
    <mergeCell ref="A2:N2"/>
    <mergeCell ref="A1:N1"/>
  </mergeCells>
  <dataValidations count="4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C6:C700" showDropDown="0" showInputMessage="0" showErrorMessage="0" allowBlank="1" errorTitle="Invalid selection" error="Select a valid value from the dropdown list." type="list">
      <formula1>=TaskIDs</formula1>
    </dataValidation>
    <dataValidation sqref="D6:D700" showDropDown="0" showInputMessage="0" showErrorMessage="0" allowBlank="1" errorTitle="Invalid selection" error="Select a valid value from the dropdown list." type="list">
      <formula1>=UserIDs</formula1>
    </dataValidation>
    <dataValidation sqref="G6:G700" showDropDown="0" showInputMessage="0" showErrorMessage="0" allowBlank="1" errorTitle="Invalid selection" error="Select a valid value from the dropdown list." type="list">
      <formula1>=Billable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1.xml><?xml version="1.0" encoding="utf-8"?>
<worksheet xmlns="http://schemas.openxmlformats.org/spreadsheetml/2006/main">
  <sheetPr>
    <tabColor rgb="00666666"/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Calendar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Upcoming due dates across all projects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Item Type</t>
        </is>
      </c>
      <c r="B5" s="17" t="inlineStr">
        <is>
          <t>Project ID</t>
        </is>
      </c>
      <c r="C5" s="17" t="inlineStr">
        <is>
          <t>Item ID</t>
        </is>
      </c>
      <c r="D5" s="17" t="inlineStr">
        <is>
          <t>Title</t>
        </is>
      </c>
      <c r="E5" s="17" t="inlineStr">
        <is>
          <t>Owner</t>
        </is>
      </c>
      <c r="F5" s="17" t="inlineStr">
        <is>
          <t>Due Date</t>
        </is>
      </c>
      <c r="G5" s="17" t="inlineStr">
        <is>
          <t>Status</t>
        </is>
      </c>
      <c r="H5" s="17" t="inlineStr">
        <is>
          <t>Health</t>
        </is>
      </c>
      <c r="I5" s="2" t="n"/>
      <c r="J5" s="2" t="n"/>
      <c r="K5" s="2" t="n"/>
      <c r="L5" s="2" t="n"/>
      <c r="M5" s="2" t="n"/>
      <c r="N5" s="2" t="n"/>
    </row>
    <row r="6">
      <c r="A6" s="2" t="inlineStr">
        <is>
          <t>Task</t>
        </is>
      </c>
      <c r="B6" s="2">
        <f>IFERROR(INDEX(tblTasks[Project ID],1),"")</f>
        <v/>
      </c>
      <c r="C6" s="2">
        <f>IFERROR(INDEX(tblTasks[Task ID],1),"")</f>
        <v/>
      </c>
      <c r="D6" s="2">
        <f>IFERROR(INDEX(tblTasks[Task Name],1),"")</f>
        <v/>
      </c>
      <c r="E6" s="2">
        <f>IFERROR(INDEX(tblTasks[Assigned User],1),"")</f>
        <v/>
      </c>
      <c r="F6" s="2">
        <f>IFERROR(INDEX(tblTasks[Due Date],1),"")</f>
        <v/>
      </c>
      <c r="G6" s="2">
        <f>IFERROR(INDEX(tblTasks[Manual Status],1),"")</f>
        <v/>
      </c>
      <c r="H6" s="2">
        <f>IFERROR(INDEX(tblTasks[Auto Health],1),"")</f>
        <v/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Task</t>
        </is>
      </c>
      <c r="B7" s="2">
        <f>IFERROR(INDEX(tblTasks[Project ID],2),"")</f>
        <v/>
      </c>
      <c r="C7" s="2">
        <f>IFERROR(INDEX(tblTasks[Task ID],2),"")</f>
        <v/>
      </c>
      <c r="D7" s="2">
        <f>IFERROR(INDEX(tblTasks[Task Name],2),"")</f>
        <v/>
      </c>
      <c r="E7" s="2">
        <f>IFERROR(INDEX(tblTasks[Assigned User],2),"")</f>
        <v/>
      </c>
      <c r="F7" s="2">
        <f>IFERROR(INDEX(tblTasks[Due Date],2),"")</f>
        <v/>
      </c>
      <c r="G7" s="2">
        <f>IFERROR(INDEX(tblTasks[Manual Status],2),"")</f>
        <v/>
      </c>
      <c r="H7" s="2">
        <f>IFERROR(INDEX(tblTasks[Auto Health],2),"")</f>
        <v/>
      </c>
      <c r="I7" s="2" t="n"/>
      <c r="J7" s="2" t="n"/>
      <c r="K7" s="2" t="n"/>
      <c r="L7" s="2" t="n"/>
      <c r="M7" s="2" t="n"/>
      <c r="N7" s="2" t="n"/>
    </row>
    <row r="8">
      <c r="A8" s="2" t="inlineStr">
        <is>
          <t>Task</t>
        </is>
      </c>
      <c r="B8" s="2">
        <f>IFERROR(INDEX(tblTasks[Project ID],3),"")</f>
        <v/>
      </c>
      <c r="C8" s="2">
        <f>IFERROR(INDEX(tblTasks[Task ID],3),"")</f>
        <v/>
      </c>
      <c r="D8" s="2">
        <f>IFERROR(INDEX(tblTasks[Task Name],3),"")</f>
        <v/>
      </c>
      <c r="E8" s="2">
        <f>IFERROR(INDEX(tblTasks[Assigned User],3),"")</f>
        <v/>
      </c>
      <c r="F8" s="2">
        <f>IFERROR(INDEX(tblTasks[Due Date],3),"")</f>
        <v/>
      </c>
      <c r="G8" s="2">
        <f>IFERROR(INDEX(tblTasks[Manual Status],3),"")</f>
        <v/>
      </c>
      <c r="H8" s="2">
        <f>IFERROR(INDEX(tblTasks[Auto Health],3),"")</f>
        <v/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Task</t>
        </is>
      </c>
      <c r="B9" s="2">
        <f>IFERROR(INDEX(tblTasks[Project ID],4),"")</f>
        <v/>
      </c>
      <c r="C9" s="2">
        <f>IFERROR(INDEX(tblTasks[Task ID],4),"")</f>
        <v/>
      </c>
      <c r="D9" s="2">
        <f>IFERROR(INDEX(tblTasks[Task Name],4),"")</f>
        <v/>
      </c>
      <c r="E9" s="2">
        <f>IFERROR(INDEX(tblTasks[Assigned User],4),"")</f>
        <v/>
      </c>
      <c r="F9" s="2">
        <f>IFERROR(INDEX(tblTasks[Due Date],4),"")</f>
        <v/>
      </c>
      <c r="G9" s="2">
        <f>IFERROR(INDEX(tblTasks[Manual Status],4),"")</f>
        <v/>
      </c>
      <c r="H9" s="2">
        <f>IFERROR(INDEX(tblTasks[Auto Health],4),"")</f>
        <v/>
      </c>
      <c r="I9" s="2" t="n"/>
      <c r="J9" s="2" t="n"/>
      <c r="K9" s="2" t="n"/>
      <c r="L9" s="2" t="n"/>
      <c r="M9" s="2" t="n"/>
      <c r="N9" s="2" t="n"/>
    </row>
    <row r="10">
      <c r="A10" s="2" t="inlineStr">
        <is>
          <t>Task</t>
        </is>
      </c>
      <c r="B10" s="2">
        <f>IFERROR(INDEX(tblTasks[Project ID],5),"")</f>
        <v/>
      </c>
      <c r="C10" s="2">
        <f>IFERROR(INDEX(tblTasks[Task ID],5),"")</f>
        <v/>
      </c>
      <c r="D10" s="2">
        <f>IFERROR(INDEX(tblTasks[Task Name],5),"")</f>
        <v/>
      </c>
      <c r="E10" s="2">
        <f>IFERROR(INDEX(tblTasks[Assigned User],5),"")</f>
        <v/>
      </c>
      <c r="F10" s="2">
        <f>IFERROR(INDEX(tblTasks[Due Date],5),"")</f>
        <v/>
      </c>
      <c r="G10" s="2">
        <f>IFERROR(INDEX(tblTasks[Manual Status],5),"")</f>
        <v/>
      </c>
      <c r="H10" s="2">
        <f>IFERROR(INDEX(tblTasks[Auto Health],5),"")</f>
        <v/>
      </c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Task</t>
        </is>
      </c>
      <c r="B11" s="2">
        <f>IFERROR(INDEX(tblTasks[Project ID],6),"")</f>
        <v/>
      </c>
      <c r="C11" s="2">
        <f>IFERROR(INDEX(tblTasks[Task ID],6),"")</f>
        <v/>
      </c>
      <c r="D11" s="2">
        <f>IFERROR(INDEX(tblTasks[Task Name],6),"")</f>
        <v/>
      </c>
      <c r="E11" s="2">
        <f>IFERROR(INDEX(tblTasks[Assigned User],6),"")</f>
        <v/>
      </c>
      <c r="F11" s="2">
        <f>IFERROR(INDEX(tblTasks[Due Date],6),"")</f>
        <v/>
      </c>
      <c r="G11" s="2">
        <f>IFERROR(INDEX(tblTasks[Manual Status],6),"")</f>
        <v/>
      </c>
      <c r="H11" s="2">
        <f>IFERROR(INDEX(tblTasks[Auto Health],6),"")</f>
        <v/>
      </c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Task</t>
        </is>
      </c>
      <c r="B12" s="2">
        <f>IFERROR(INDEX(tblTasks[Project ID],7),"")</f>
        <v/>
      </c>
      <c r="C12" s="2">
        <f>IFERROR(INDEX(tblTasks[Task ID],7),"")</f>
        <v/>
      </c>
      <c r="D12" s="2">
        <f>IFERROR(INDEX(tblTasks[Task Name],7),"")</f>
        <v/>
      </c>
      <c r="E12" s="2">
        <f>IFERROR(INDEX(tblTasks[Assigned User],7),"")</f>
        <v/>
      </c>
      <c r="F12" s="2">
        <f>IFERROR(INDEX(tblTasks[Due Date],7),"")</f>
        <v/>
      </c>
      <c r="G12" s="2">
        <f>IFERROR(INDEX(tblTasks[Manual Status],7),"")</f>
        <v/>
      </c>
      <c r="H12" s="2">
        <f>IFERROR(INDEX(tblTasks[Auto Health],7),"")</f>
        <v/>
      </c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Task</t>
        </is>
      </c>
      <c r="B13" s="2">
        <f>IFERROR(INDEX(tblTasks[Project ID],8),"")</f>
        <v/>
      </c>
      <c r="C13" s="2">
        <f>IFERROR(INDEX(tblTasks[Task ID],8),"")</f>
        <v/>
      </c>
      <c r="D13" s="2">
        <f>IFERROR(INDEX(tblTasks[Task Name],8),"")</f>
        <v/>
      </c>
      <c r="E13" s="2">
        <f>IFERROR(INDEX(tblTasks[Assigned User],8),"")</f>
        <v/>
      </c>
      <c r="F13" s="2">
        <f>IFERROR(INDEX(tblTasks[Due Date],8),"")</f>
        <v/>
      </c>
      <c r="G13" s="2">
        <f>IFERROR(INDEX(tblTasks[Manual Status],8),"")</f>
        <v/>
      </c>
      <c r="H13" s="2">
        <f>IFERROR(INDEX(tblTasks[Auto Health],8),"")</f>
        <v/>
      </c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Task</t>
        </is>
      </c>
      <c r="B14" s="2">
        <f>IFERROR(INDEX(tblTasks[Project ID],9),"")</f>
        <v/>
      </c>
      <c r="C14" s="2">
        <f>IFERROR(INDEX(tblTasks[Task ID],9),"")</f>
        <v/>
      </c>
      <c r="D14" s="2">
        <f>IFERROR(INDEX(tblTasks[Task Name],9),"")</f>
        <v/>
      </c>
      <c r="E14" s="2">
        <f>IFERROR(INDEX(tblTasks[Assigned User],9),"")</f>
        <v/>
      </c>
      <c r="F14" s="2">
        <f>IFERROR(INDEX(tblTasks[Due Date],9),"")</f>
        <v/>
      </c>
      <c r="G14" s="2">
        <f>IFERROR(INDEX(tblTasks[Manual Status],9),"")</f>
        <v/>
      </c>
      <c r="H14" s="2">
        <f>IFERROR(INDEX(tblTasks[Auto Health],9),"")</f>
        <v/>
      </c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Task</t>
        </is>
      </c>
      <c r="B15" s="2">
        <f>IFERROR(INDEX(tblTasks[Project ID],10),"")</f>
        <v/>
      </c>
      <c r="C15" s="2">
        <f>IFERROR(INDEX(tblTasks[Task ID],10),"")</f>
        <v/>
      </c>
      <c r="D15" s="2">
        <f>IFERROR(INDEX(tblTasks[Task Name],10),"")</f>
        <v/>
      </c>
      <c r="E15" s="2">
        <f>IFERROR(INDEX(tblTasks[Assigned User],10),"")</f>
        <v/>
      </c>
      <c r="F15" s="2">
        <f>IFERROR(INDEX(tblTasks[Due Date],10),"")</f>
        <v/>
      </c>
      <c r="G15" s="2">
        <f>IFERROR(INDEX(tblTasks[Manual Status],10),"")</f>
        <v/>
      </c>
      <c r="H15" s="2">
        <f>IFERROR(INDEX(tblTasks[Auto Health],10),"")</f>
        <v/>
      </c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Task</t>
        </is>
      </c>
      <c r="B16" s="2">
        <f>IFERROR(INDEX(tblTasks[Project ID],11),"")</f>
        <v/>
      </c>
      <c r="C16" s="2">
        <f>IFERROR(INDEX(tblTasks[Task ID],11),"")</f>
        <v/>
      </c>
      <c r="D16" s="2">
        <f>IFERROR(INDEX(tblTasks[Task Name],11),"")</f>
        <v/>
      </c>
      <c r="E16" s="2">
        <f>IFERROR(INDEX(tblTasks[Assigned User],11),"")</f>
        <v/>
      </c>
      <c r="F16" s="2">
        <f>IFERROR(INDEX(tblTasks[Due Date],11),"")</f>
        <v/>
      </c>
      <c r="G16" s="2">
        <f>IFERROR(INDEX(tblTasks[Manual Status],11),"")</f>
        <v/>
      </c>
      <c r="H16" s="2">
        <f>IFERROR(INDEX(tblTasks[Auto Health],11),"")</f>
        <v/>
      </c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Task</t>
        </is>
      </c>
      <c r="B17" s="2">
        <f>IFERROR(INDEX(tblTasks[Project ID],12),"")</f>
        <v/>
      </c>
      <c r="C17" s="2">
        <f>IFERROR(INDEX(tblTasks[Task ID],12),"")</f>
        <v/>
      </c>
      <c r="D17" s="2">
        <f>IFERROR(INDEX(tblTasks[Task Name],12),"")</f>
        <v/>
      </c>
      <c r="E17" s="2">
        <f>IFERROR(INDEX(tblTasks[Assigned User],12),"")</f>
        <v/>
      </c>
      <c r="F17" s="2">
        <f>IFERROR(INDEX(tblTasks[Due Date],12),"")</f>
        <v/>
      </c>
      <c r="G17" s="2">
        <f>IFERROR(INDEX(tblTasks[Manual Status],12),"")</f>
        <v/>
      </c>
      <c r="H17" s="2">
        <f>IFERROR(INDEX(tblTasks[Auto Health],12),"")</f>
        <v/>
      </c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Task</t>
        </is>
      </c>
      <c r="B18" s="2">
        <f>IFERROR(INDEX(tblTasks[Project ID],13),"")</f>
        <v/>
      </c>
      <c r="C18" s="2">
        <f>IFERROR(INDEX(tblTasks[Task ID],13),"")</f>
        <v/>
      </c>
      <c r="D18" s="2">
        <f>IFERROR(INDEX(tblTasks[Task Name],13),"")</f>
        <v/>
      </c>
      <c r="E18" s="2">
        <f>IFERROR(INDEX(tblTasks[Assigned User],13),"")</f>
        <v/>
      </c>
      <c r="F18" s="2">
        <f>IFERROR(INDEX(tblTasks[Due Date],13),"")</f>
        <v/>
      </c>
      <c r="G18" s="2">
        <f>IFERROR(INDEX(tblTasks[Manual Status],13),"")</f>
        <v/>
      </c>
      <c r="H18" s="2">
        <f>IFERROR(INDEX(tblTasks[Auto Health],13),"")</f>
        <v/>
      </c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Task</t>
        </is>
      </c>
      <c r="B19" s="2">
        <f>IFERROR(INDEX(tblTasks[Project ID],14),"")</f>
        <v/>
      </c>
      <c r="C19" s="2">
        <f>IFERROR(INDEX(tblTasks[Task ID],14),"")</f>
        <v/>
      </c>
      <c r="D19" s="2">
        <f>IFERROR(INDEX(tblTasks[Task Name],14),"")</f>
        <v/>
      </c>
      <c r="E19" s="2">
        <f>IFERROR(INDEX(tblTasks[Assigned User],14),"")</f>
        <v/>
      </c>
      <c r="F19" s="2">
        <f>IFERROR(INDEX(tblTasks[Due Date],14),"")</f>
        <v/>
      </c>
      <c r="G19" s="2">
        <f>IFERROR(INDEX(tblTasks[Manual Status],14),"")</f>
        <v/>
      </c>
      <c r="H19" s="2">
        <f>IFERROR(INDEX(tblTasks[Auto Health],14),"")</f>
        <v/>
      </c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Task</t>
        </is>
      </c>
      <c r="B20" s="2">
        <f>IFERROR(INDEX(tblTasks[Project ID],15),"")</f>
        <v/>
      </c>
      <c r="C20" s="2">
        <f>IFERROR(INDEX(tblTasks[Task ID],15),"")</f>
        <v/>
      </c>
      <c r="D20" s="2">
        <f>IFERROR(INDEX(tblTasks[Task Name],15),"")</f>
        <v/>
      </c>
      <c r="E20" s="2">
        <f>IFERROR(INDEX(tblTasks[Assigned User],15),"")</f>
        <v/>
      </c>
      <c r="F20" s="2">
        <f>IFERROR(INDEX(tblTasks[Due Date],15),"")</f>
        <v/>
      </c>
      <c r="G20" s="2">
        <f>IFERROR(INDEX(tblTasks[Manual Status],15),"")</f>
        <v/>
      </c>
      <c r="H20" s="2">
        <f>IFERROR(INDEX(tblTasks[Auto Health],15),"")</f>
        <v/>
      </c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Task</t>
        </is>
      </c>
      <c r="B21" s="2">
        <f>IFERROR(INDEX(tblTasks[Project ID],16),"")</f>
        <v/>
      </c>
      <c r="C21" s="2">
        <f>IFERROR(INDEX(tblTasks[Task ID],16),"")</f>
        <v/>
      </c>
      <c r="D21" s="2">
        <f>IFERROR(INDEX(tblTasks[Task Name],16),"")</f>
        <v/>
      </c>
      <c r="E21" s="2">
        <f>IFERROR(INDEX(tblTasks[Assigned User],16),"")</f>
        <v/>
      </c>
      <c r="F21" s="2">
        <f>IFERROR(INDEX(tblTasks[Due Date],16),"")</f>
        <v/>
      </c>
      <c r="G21" s="2">
        <f>IFERROR(INDEX(tblTasks[Manual Status],16),"")</f>
        <v/>
      </c>
      <c r="H21" s="2">
        <f>IFERROR(INDEX(tblTasks[Auto Health],16),"")</f>
        <v/>
      </c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Task</t>
        </is>
      </c>
      <c r="B22" s="2">
        <f>IFERROR(INDEX(tblTasks[Project ID],17),"")</f>
        <v/>
      </c>
      <c r="C22" s="2">
        <f>IFERROR(INDEX(tblTasks[Task ID],17),"")</f>
        <v/>
      </c>
      <c r="D22" s="2">
        <f>IFERROR(INDEX(tblTasks[Task Name],17),"")</f>
        <v/>
      </c>
      <c r="E22" s="2">
        <f>IFERROR(INDEX(tblTasks[Assigned User],17),"")</f>
        <v/>
      </c>
      <c r="F22" s="2">
        <f>IFERROR(INDEX(tblTasks[Due Date],17),"")</f>
        <v/>
      </c>
      <c r="G22" s="2">
        <f>IFERROR(INDEX(tblTasks[Manual Status],17),"")</f>
        <v/>
      </c>
      <c r="H22" s="2">
        <f>IFERROR(INDEX(tblTasks[Auto Health],17),"")</f>
        <v/>
      </c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Task</t>
        </is>
      </c>
      <c r="B23" s="2">
        <f>IFERROR(INDEX(tblTasks[Project ID],18),"")</f>
        <v/>
      </c>
      <c r="C23" s="2">
        <f>IFERROR(INDEX(tblTasks[Task ID],18),"")</f>
        <v/>
      </c>
      <c r="D23" s="2">
        <f>IFERROR(INDEX(tblTasks[Task Name],18),"")</f>
        <v/>
      </c>
      <c r="E23" s="2">
        <f>IFERROR(INDEX(tblTasks[Assigned User],18),"")</f>
        <v/>
      </c>
      <c r="F23" s="2">
        <f>IFERROR(INDEX(tblTasks[Due Date],18),"")</f>
        <v/>
      </c>
      <c r="G23" s="2">
        <f>IFERROR(INDEX(tblTasks[Manual Status],18),"")</f>
        <v/>
      </c>
      <c r="H23" s="2">
        <f>IFERROR(INDEX(tblTasks[Auto Health],18),"")</f>
        <v/>
      </c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Task</t>
        </is>
      </c>
      <c r="B24" s="2">
        <f>IFERROR(INDEX(tblTasks[Project ID],19),"")</f>
        <v/>
      </c>
      <c r="C24" s="2">
        <f>IFERROR(INDEX(tblTasks[Task ID],19),"")</f>
        <v/>
      </c>
      <c r="D24" s="2">
        <f>IFERROR(INDEX(tblTasks[Task Name],19),"")</f>
        <v/>
      </c>
      <c r="E24" s="2">
        <f>IFERROR(INDEX(tblTasks[Assigned User],19),"")</f>
        <v/>
      </c>
      <c r="F24" s="2">
        <f>IFERROR(INDEX(tblTasks[Due Date],19),"")</f>
        <v/>
      </c>
      <c r="G24" s="2">
        <f>IFERROR(INDEX(tblTasks[Manual Status],19),"")</f>
        <v/>
      </c>
      <c r="H24" s="2">
        <f>IFERROR(INDEX(tblTasks[Auto Health],19),"")</f>
        <v/>
      </c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Task</t>
        </is>
      </c>
      <c r="B25" s="2">
        <f>IFERROR(INDEX(tblTasks[Project ID],20),"")</f>
        <v/>
      </c>
      <c r="C25" s="2">
        <f>IFERROR(INDEX(tblTasks[Task ID],20),"")</f>
        <v/>
      </c>
      <c r="D25" s="2">
        <f>IFERROR(INDEX(tblTasks[Task Name],20),"")</f>
        <v/>
      </c>
      <c r="E25" s="2">
        <f>IFERROR(INDEX(tblTasks[Assigned User],20),"")</f>
        <v/>
      </c>
      <c r="F25" s="2">
        <f>IFERROR(INDEX(tblTasks[Due Date],20),"")</f>
        <v/>
      </c>
      <c r="G25" s="2">
        <f>IFERROR(INDEX(tblTasks[Manual Status],20),"")</f>
        <v/>
      </c>
      <c r="H25" s="2">
        <f>IFERROR(INDEX(tblTasks[Auto Health],20),"")</f>
        <v/>
      </c>
      <c r="I25" s="2" t="n"/>
      <c r="J25" s="2" t="n"/>
      <c r="K25" s="2" t="n"/>
      <c r="L25" s="2" t="n"/>
      <c r="M25" s="2" t="n"/>
      <c r="N25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766E"/>
    <outlinePr summaryBelow="1" summaryRight="1"/>
    <pageSetUpPr/>
  </sheetPr>
  <dimension ref="A1:N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Kanban View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Status board-style task view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Not Started</t>
        </is>
      </c>
      <c r="B5" s="17" t="inlineStr">
        <is>
          <t>In Progress</t>
        </is>
      </c>
      <c r="C5" s="17" t="inlineStr">
        <is>
          <t>Blocked</t>
        </is>
      </c>
      <c r="D5" s="17" t="inlineStr">
        <is>
          <t>In Review</t>
        </is>
      </c>
      <c r="E5" s="17" t="inlineStr">
        <is>
          <t>Completed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>
        <f>IFERROR(INDEX(FILTER(tblTasks[Task Name],tblTasks[Manual Status]=A$5),1),"")</f>
        <v/>
      </c>
      <c r="B6" s="2">
        <f>IFERROR(INDEX(FILTER(tblTasks[Task Name],tblTasks[Manual Status]=B$5),1),"")</f>
        <v/>
      </c>
      <c r="C6" s="2">
        <f>IFERROR(INDEX(FILTER(tblTasks[Task Name],tblTasks[Manual Status]=C$5),1),"")</f>
        <v/>
      </c>
      <c r="D6" s="2">
        <f>IFERROR(INDEX(FILTER(tblTasks[Task Name],tblTasks[Manual Status]=D$5),1),"")</f>
        <v/>
      </c>
      <c r="E6" s="2">
        <f>IFERROR(INDEX(FILTER(tblTasks[Task Name],tblTasks[Manual Status]=E$5),1),"")</f>
        <v/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>
        <f>IFERROR(INDEX(FILTER(tblTasks[Task Name],tblTasks[Manual Status]=A$5),2),"")</f>
        <v/>
      </c>
      <c r="B7" s="2">
        <f>IFERROR(INDEX(FILTER(tblTasks[Task Name],tblTasks[Manual Status]=B$5),2),"")</f>
        <v/>
      </c>
      <c r="C7" s="2">
        <f>IFERROR(INDEX(FILTER(tblTasks[Task Name],tblTasks[Manual Status]=C$5),2),"")</f>
        <v/>
      </c>
      <c r="D7" s="2">
        <f>IFERROR(INDEX(FILTER(tblTasks[Task Name],tblTasks[Manual Status]=D$5),2),"")</f>
        <v/>
      </c>
      <c r="E7" s="2">
        <f>IFERROR(INDEX(FILTER(tblTasks[Task Name],tblTasks[Manual Status]=E$5),2),"")</f>
        <v/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>
        <f>IFERROR(INDEX(FILTER(tblTasks[Task Name],tblTasks[Manual Status]=A$5),3),"")</f>
        <v/>
      </c>
      <c r="B8" s="2">
        <f>IFERROR(INDEX(FILTER(tblTasks[Task Name],tblTasks[Manual Status]=B$5),3),"")</f>
        <v/>
      </c>
      <c r="C8" s="2">
        <f>IFERROR(INDEX(FILTER(tblTasks[Task Name],tblTasks[Manual Status]=C$5),3),"")</f>
        <v/>
      </c>
      <c r="D8" s="2">
        <f>IFERROR(INDEX(FILTER(tblTasks[Task Name],tblTasks[Manual Status]=D$5),3),"")</f>
        <v/>
      </c>
      <c r="E8" s="2">
        <f>IFERROR(INDEX(FILTER(tblTasks[Task Name],tblTasks[Manual Status]=E$5),3),"")</f>
        <v/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>
        <f>IFERROR(INDEX(FILTER(tblTasks[Task Name],tblTasks[Manual Status]=A$5),4),"")</f>
        <v/>
      </c>
      <c r="B9" s="2">
        <f>IFERROR(INDEX(FILTER(tblTasks[Task Name],tblTasks[Manual Status]=B$5),4),"")</f>
        <v/>
      </c>
      <c r="C9" s="2">
        <f>IFERROR(INDEX(FILTER(tblTasks[Task Name],tblTasks[Manual Status]=C$5),4),"")</f>
        <v/>
      </c>
      <c r="D9" s="2">
        <f>IFERROR(INDEX(FILTER(tblTasks[Task Name],tblTasks[Manual Status]=D$5),4),"")</f>
        <v/>
      </c>
      <c r="E9" s="2">
        <f>IFERROR(INDEX(FILTER(tblTasks[Task Name],tblTasks[Manual Status]=E$5),4),"")</f>
        <v/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>
        <f>IFERROR(INDEX(FILTER(tblTasks[Task Name],tblTasks[Manual Status]=A$5),5),"")</f>
        <v/>
      </c>
      <c r="B10" s="2">
        <f>IFERROR(INDEX(FILTER(tblTasks[Task Name],tblTasks[Manual Status]=B$5),5),"")</f>
        <v/>
      </c>
      <c r="C10" s="2">
        <f>IFERROR(INDEX(FILTER(tblTasks[Task Name],tblTasks[Manual Status]=C$5),5),"")</f>
        <v/>
      </c>
      <c r="D10" s="2">
        <f>IFERROR(INDEX(FILTER(tblTasks[Task Name],tblTasks[Manual Status]=D$5),5),"")</f>
        <v/>
      </c>
      <c r="E10" s="2">
        <f>IFERROR(INDEX(FILTER(tblTasks[Task Name],tblTasks[Manual Status]=E$5),5),"")</f>
        <v/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>
        <f>IFERROR(INDEX(FILTER(tblTasks[Task Name],tblTasks[Manual Status]=A$5),6),"")</f>
        <v/>
      </c>
      <c r="B11" s="2">
        <f>IFERROR(INDEX(FILTER(tblTasks[Task Name],tblTasks[Manual Status]=B$5),6),"")</f>
        <v/>
      </c>
      <c r="C11" s="2">
        <f>IFERROR(INDEX(FILTER(tblTasks[Task Name],tblTasks[Manual Status]=C$5),6),"")</f>
        <v/>
      </c>
      <c r="D11" s="2">
        <f>IFERROR(INDEX(FILTER(tblTasks[Task Name],tblTasks[Manual Status]=D$5),6),"")</f>
        <v/>
      </c>
      <c r="E11" s="2">
        <f>IFERROR(INDEX(FILTER(tblTasks[Task Name],tblTasks[Manual Status]=E$5),6),"")</f>
        <v/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>
        <f>IFERROR(INDEX(FILTER(tblTasks[Task Name],tblTasks[Manual Status]=A$5),7),"")</f>
        <v/>
      </c>
      <c r="B12" s="2">
        <f>IFERROR(INDEX(FILTER(tblTasks[Task Name],tblTasks[Manual Status]=B$5),7),"")</f>
        <v/>
      </c>
      <c r="C12" s="2">
        <f>IFERROR(INDEX(FILTER(tblTasks[Task Name],tblTasks[Manual Status]=C$5),7),"")</f>
        <v/>
      </c>
      <c r="D12" s="2">
        <f>IFERROR(INDEX(FILTER(tblTasks[Task Name],tblTasks[Manual Status]=D$5),7),"")</f>
        <v/>
      </c>
      <c r="E12" s="2">
        <f>IFERROR(INDEX(FILTER(tblTasks[Task Name],tblTasks[Manual Status]=E$5),7),"")</f>
        <v/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>
        <f>IFERROR(INDEX(FILTER(tblTasks[Task Name],tblTasks[Manual Status]=A$5),8),"")</f>
        <v/>
      </c>
      <c r="B13" s="2">
        <f>IFERROR(INDEX(FILTER(tblTasks[Task Name],tblTasks[Manual Status]=B$5),8),"")</f>
        <v/>
      </c>
      <c r="C13" s="2">
        <f>IFERROR(INDEX(FILTER(tblTasks[Task Name],tblTasks[Manual Status]=C$5),8),"")</f>
        <v/>
      </c>
      <c r="D13" s="2">
        <f>IFERROR(INDEX(FILTER(tblTasks[Task Name],tblTasks[Manual Status]=D$5),8),"")</f>
        <v/>
      </c>
      <c r="E13" s="2">
        <f>IFERROR(INDEX(FILTER(tblTasks[Task Name],tblTasks[Manual Status]=E$5),8),"")</f>
        <v/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>
        <f>IFERROR(INDEX(FILTER(tblTasks[Task Name],tblTasks[Manual Status]=A$5),9),"")</f>
        <v/>
      </c>
      <c r="B14" s="2">
        <f>IFERROR(INDEX(FILTER(tblTasks[Task Name],tblTasks[Manual Status]=B$5),9),"")</f>
        <v/>
      </c>
      <c r="C14" s="2">
        <f>IFERROR(INDEX(FILTER(tblTasks[Task Name],tblTasks[Manual Status]=C$5),9),"")</f>
        <v/>
      </c>
      <c r="D14" s="2">
        <f>IFERROR(INDEX(FILTER(tblTasks[Task Name],tblTasks[Manual Status]=D$5),9),"")</f>
        <v/>
      </c>
      <c r="E14" s="2">
        <f>IFERROR(INDEX(FILTER(tblTasks[Task Name],tblTasks[Manual Status]=E$5),9),"")</f>
        <v/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>
        <f>IFERROR(INDEX(FILTER(tblTasks[Task Name],tblTasks[Manual Status]=A$5),10),"")</f>
        <v/>
      </c>
      <c r="B15" s="2">
        <f>IFERROR(INDEX(FILTER(tblTasks[Task Name],tblTasks[Manual Status]=B$5),10),"")</f>
        <v/>
      </c>
      <c r="C15" s="2">
        <f>IFERROR(INDEX(FILTER(tblTasks[Task Name],tblTasks[Manual Status]=C$5),10),"")</f>
        <v/>
      </c>
      <c r="D15" s="2">
        <f>IFERROR(INDEX(FILTER(tblTasks[Task Name],tblTasks[Manual Status]=D$5),10),"")</f>
        <v/>
      </c>
      <c r="E15" s="2">
        <f>IFERROR(INDEX(FILTER(tblTasks[Task Name],tblTasks[Manual Status]=E$5),10),"")</f>
        <v/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>
        <f>IFERROR(INDEX(FILTER(tblTasks[Task Name],tblTasks[Manual Status]=A$5),11),"")</f>
        <v/>
      </c>
      <c r="B16" s="2">
        <f>IFERROR(INDEX(FILTER(tblTasks[Task Name],tblTasks[Manual Status]=B$5),11),"")</f>
        <v/>
      </c>
      <c r="C16" s="2">
        <f>IFERROR(INDEX(FILTER(tblTasks[Task Name],tblTasks[Manual Status]=C$5),11),"")</f>
        <v/>
      </c>
      <c r="D16" s="2">
        <f>IFERROR(INDEX(FILTER(tblTasks[Task Name],tblTasks[Manual Status]=D$5),11),"")</f>
        <v/>
      </c>
      <c r="E16" s="2">
        <f>IFERROR(INDEX(FILTER(tblTasks[Task Name],tblTasks[Manual Status]=E$5),11),"")</f>
        <v/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>
        <f>IFERROR(INDEX(FILTER(tblTasks[Task Name],tblTasks[Manual Status]=A$5),12),"")</f>
        <v/>
      </c>
      <c r="B17" s="2">
        <f>IFERROR(INDEX(FILTER(tblTasks[Task Name],tblTasks[Manual Status]=B$5),12),"")</f>
        <v/>
      </c>
      <c r="C17" s="2">
        <f>IFERROR(INDEX(FILTER(tblTasks[Task Name],tblTasks[Manual Status]=C$5),12),"")</f>
        <v/>
      </c>
      <c r="D17" s="2">
        <f>IFERROR(INDEX(FILTER(tblTasks[Task Name],tblTasks[Manual Status]=D$5),12),"")</f>
        <v/>
      </c>
      <c r="E17" s="2">
        <f>IFERROR(INDEX(FILTER(tblTasks[Task Name],tblTasks[Manual Status]=E$5),12),"")</f>
        <v/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>
        <f>IFERROR(INDEX(FILTER(tblTasks[Task Name],tblTasks[Manual Status]=A$5),13),"")</f>
        <v/>
      </c>
      <c r="B18" s="2">
        <f>IFERROR(INDEX(FILTER(tblTasks[Task Name],tblTasks[Manual Status]=B$5),13),"")</f>
        <v/>
      </c>
      <c r="C18" s="2">
        <f>IFERROR(INDEX(FILTER(tblTasks[Task Name],tblTasks[Manual Status]=C$5),13),"")</f>
        <v/>
      </c>
      <c r="D18" s="2">
        <f>IFERROR(INDEX(FILTER(tblTasks[Task Name],tblTasks[Manual Status]=D$5),13),"")</f>
        <v/>
      </c>
      <c r="E18" s="2">
        <f>IFERROR(INDEX(FILTER(tblTasks[Task Name],tblTasks[Manual Status]=E$5),13),"")</f>
        <v/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>
        <f>IFERROR(INDEX(FILTER(tblTasks[Task Name],tblTasks[Manual Status]=A$5),14),"")</f>
        <v/>
      </c>
      <c r="B19" s="2">
        <f>IFERROR(INDEX(FILTER(tblTasks[Task Name],tblTasks[Manual Status]=B$5),14),"")</f>
        <v/>
      </c>
      <c r="C19" s="2">
        <f>IFERROR(INDEX(FILTER(tblTasks[Task Name],tblTasks[Manual Status]=C$5),14),"")</f>
        <v/>
      </c>
      <c r="D19" s="2">
        <f>IFERROR(INDEX(FILTER(tblTasks[Task Name],tblTasks[Manual Status]=D$5),14),"")</f>
        <v/>
      </c>
      <c r="E19" s="2">
        <f>IFERROR(INDEX(FILTER(tblTasks[Task Name],tblTasks[Manual Status]=E$5),14),"")</f>
        <v/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>
        <f>IFERROR(INDEX(FILTER(tblTasks[Task Name],tblTasks[Manual Status]=A$5),15),"")</f>
        <v/>
      </c>
      <c r="B20" s="2">
        <f>IFERROR(INDEX(FILTER(tblTasks[Task Name],tblTasks[Manual Status]=B$5),15),"")</f>
        <v/>
      </c>
      <c r="C20" s="2">
        <f>IFERROR(INDEX(FILTER(tblTasks[Task Name],tblTasks[Manual Status]=C$5),15),"")</f>
        <v/>
      </c>
      <c r="D20" s="2">
        <f>IFERROR(INDEX(FILTER(tblTasks[Task Name],tblTasks[Manual Status]=D$5),15),"")</f>
        <v/>
      </c>
      <c r="E20" s="2">
        <f>IFERROR(INDEX(FILTER(tblTasks[Task Name],tblTasks[Manual Status]=E$5),15),"")</f>
        <v/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6666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30" customHeight="1">
      <c r="A1" s="1" t="inlineStr">
        <is>
          <t>Activity Log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Project activity stream and comments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Activity ID</t>
        </is>
      </c>
      <c r="B5" s="17" t="inlineStr">
        <is>
          <t>Project ID</t>
        </is>
      </c>
      <c r="C5" s="17" t="inlineStr">
        <is>
          <t>Task ID</t>
        </is>
      </c>
      <c r="D5" s="17" t="inlineStr">
        <is>
          <t>Activity Type</t>
        </is>
      </c>
      <c r="E5" s="17" t="inlineStr">
        <is>
          <t>User ID</t>
        </is>
      </c>
      <c r="F5" s="17" t="inlineStr">
        <is>
          <t>Activity Date</t>
        </is>
      </c>
      <c r="G5" s="17" t="inlineStr">
        <is>
          <t>Comment / Update</t>
        </is>
      </c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ACT-001</t>
        </is>
      </c>
      <c r="B6" s="2" t="inlineStr">
        <is>
          <t>PRJ-001</t>
        </is>
      </c>
      <c r="C6" s="2" t="inlineStr">
        <is>
          <t>TSK-003</t>
        </is>
      </c>
      <c r="D6" s="2" t="inlineStr">
        <is>
          <t>Comment</t>
        </is>
      </c>
      <c r="E6" s="2" t="inlineStr">
        <is>
          <t>USR-002</t>
        </is>
      </c>
      <c r="F6" s="24" t="n">
        <v>46181</v>
      </c>
      <c r="G6" s="2" t="inlineStr">
        <is>
          <t>Connector design shared for review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ACT-002</t>
        </is>
      </c>
      <c r="B7" s="2" t="inlineStr">
        <is>
          <t>PRJ-002</t>
        </is>
      </c>
      <c r="C7" s="2" t="inlineStr">
        <is>
          <t>TSK-005</t>
        </is>
      </c>
      <c r="D7" s="2" t="inlineStr">
        <is>
          <t>Escalation</t>
        </is>
      </c>
      <c r="E7" s="2" t="inlineStr">
        <is>
          <t>USR-001</t>
        </is>
      </c>
      <c r="F7" s="24" t="n">
        <v>46181</v>
      </c>
      <c r="G7" s="2" t="inlineStr">
        <is>
          <t>Security review escalated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ACT-003</t>
        </is>
      </c>
      <c r="B8" s="2" t="inlineStr">
        <is>
          <t>PRJ-003</t>
        </is>
      </c>
      <c r="C8" s="2" t="inlineStr">
        <is>
          <t>TSK-006</t>
        </is>
      </c>
      <c r="D8" s="2" t="inlineStr">
        <is>
          <t>Status Change</t>
        </is>
      </c>
      <c r="E8" s="2" t="inlineStr">
        <is>
          <t>USR-004</t>
        </is>
      </c>
      <c r="F8" s="24" t="n">
        <v>46180</v>
      </c>
      <c r="G8" s="2" t="inlineStr">
        <is>
          <t>Profiling moved to in progress</t>
        </is>
      </c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ACT-004</t>
        </is>
      </c>
      <c r="B9" s="2" t="inlineStr">
        <is>
          <t>PRJ-004</t>
        </is>
      </c>
      <c r="C9" s="2" t="inlineStr">
        <is>
          <t>TSK-008</t>
        </is>
      </c>
      <c r="D9" s="2" t="inlineStr">
        <is>
          <t>Meeting</t>
        </is>
      </c>
      <c r="E9" s="2" t="inlineStr">
        <is>
          <t>USR-006</t>
        </is>
      </c>
      <c r="F9" s="24" t="n">
        <v>46182</v>
      </c>
      <c r="G9" s="2" t="inlineStr">
        <is>
          <t>Workflow discovery meeting completed</t>
        </is>
      </c>
      <c r="H9" s="2" t="n"/>
      <c r="I9" s="2" t="n"/>
      <c r="J9" s="2" t="n"/>
      <c r="K9" s="2" t="n"/>
      <c r="L9" s="2" t="n"/>
      <c r="M9" s="2" t="n"/>
      <c r="N9" s="2" t="n"/>
    </row>
  </sheetData>
  <mergeCells count="2">
    <mergeCell ref="A2:N2"/>
    <mergeCell ref="A1:N1"/>
  </mergeCells>
  <dataValidations count="4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C6:C700" showDropDown="0" showInputMessage="0" showErrorMessage="0" allowBlank="1" errorTitle="Invalid selection" error="Select a valid value from the dropdown list." type="list">
      <formula1>=TaskIDs</formula1>
    </dataValidation>
    <dataValidation sqref="D6:D700" showDropDown="0" showInputMessage="0" showErrorMessage="0" allowBlank="1" errorTitle="Invalid selection" error="Select a valid value from the dropdown list." type="list">
      <formula1>=Activity_Type</formula1>
    </dataValidation>
    <dataValidation sqref="E6:E700" showDropDown="0" showInputMessage="0" showErrorMessage="0" allowBlank="1" errorTitle="Invalid selection" error="Select a valid value from the dropdown list." type="list">
      <formula1>=UserIDs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4.xml><?xml version="1.0" encoding="utf-8"?>
<worksheet xmlns="http://schemas.openxmlformats.org/spreadsheetml/2006/main">
  <sheetPr>
    <tabColor rgb="0066666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30" customHeight="1">
      <c r="A1" s="1" t="inlineStr">
        <is>
          <t>Documents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Document and file reference register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Document ID</t>
        </is>
      </c>
      <c r="B5" s="17" t="inlineStr">
        <is>
          <t>Project ID</t>
        </is>
      </c>
      <c r="C5" s="17" t="inlineStr">
        <is>
          <t>Document Type</t>
        </is>
      </c>
      <c r="D5" s="17" t="inlineStr">
        <is>
          <t>Document Name</t>
        </is>
      </c>
      <c r="E5" s="17" t="inlineStr">
        <is>
          <t>Owner</t>
        </is>
      </c>
      <c r="F5" s="17" t="inlineStr">
        <is>
          <t>Upload Date</t>
        </is>
      </c>
      <c r="G5" s="17" t="inlineStr">
        <is>
          <t>Link / Location</t>
        </is>
      </c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DOC-001</t>
        </is>
      </c>
      <c r="B6" s="2" t="inlineStr">
        <is>
          <t>PRJ-001</t>
        </is>
      </c>
      <c r="C6" s="2" t="inlineStr">
        <is>
          <t>BRD</t>
        </is>
      </c>
      <c r="D6" s="2" t="inlineStr">
        <is>
          <t>ERP requirements</t>
        </is>
      </c>
      <c r="E6" s="2" t="inlineStr">
        <is>
          <t>USR-001</t>
        </is>
      </c>
      <c r="F6" s="24" t="n">
        <v>46152</v>
      </c>
      <c r="G6" s="2" t="inlineStr">
        <is>
          <t>SharePoint/ERP-BRD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DOC-002</t>
        </is>
      </c>
      <c r="B7" s="2" t="inlineStr">
        <is>
          <t>PRJ-002</t>
        </is>
      </c>
      <c r="C7" s="2" t="inlineStr">
        <is>
          <t>Design</t>
        </is>
      </c>
      <c r="D7" s="2" t="inlineStr">
        <is>
          <t>Portal wireframes</t>
        </is>
      </c>
      <c r="E7" s="2" t="inlineStr">
        <is>
          <t>USR-003</t>
        </is>
      </c>
      <c r="F7" s="24" t="n">
        <v>46175</v>
      </c>
      <c r="G7" s="2" t="inlineStr">
        <is>
          <t>Figma/Portal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DOC-003</t>
        </is>
      </c>
      <c r="B8" s="2" t="inlineStr">
        <is>
          <t>PRJ-003</t>
        </is>
      </c>
      <c r="C8" s="2" t="inlineStr">
        <is>
          <t>Report</t>
        </is>
      </c>
      <c r="D8" s="2" t="inlineStr">
        <is>
          <t>DQ baseline</t>
        </is>
      </c>
      <c r="E8" s="2" t="inlineStr">
        <is>
          <t>USR-004</t>
        </is>
      </c>
      <c r="F8" s="24" t="n">
        <v>46179</v>
      </c>
      <c r="G8" s="2" t="inlineStr">
        <is>
          <t>Drive/DQ</t>
        </is>
      </c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DOC-004</t>
        </is>
      </c>
      <c r="B9" s="2" t="inlineStr">
        <is>
          <t>PRJ-004</t>
        </is>
      </c>
      <c r="C9" s="2" t="inlineStr">
        <is>
          <t>Minutes</t>
        </is>
      </c>
      <c r="D9" s="2" t="inlineStr">
        <is>
          <t>Workshop notes</t>
        </is>
      </c>
      <c r="E9" s="2" t="inlineStr">
        <is>
          <t>USR-006</t>
        </is>
      </c>
      <c r="F9" s="24" t="n">
        <v>46182</v>
      </c>
      <c r="G9" s="2" t="inlineStr">
        <is>
          <t>Drive/Ops</t>
        </is>
      </c>
      <c r="H9" s="2" t="n"/>
      <c r="I9" s="2" t="n"/>
      <c r="J9" s="2" t="n"/>
      <c r="K9" s="2" t="n"/>
      <c r="L9" s="2" t="n"/>
      <c r="M9" s="2" t="n"/>
      <c r="N9" s="2" t="n"/>
    </row>
  </sheetData>
  <mergeCells count="2">
    <mergeCell ref="A2:N2"/>
    <mergeCell ref="A1:N1"/>
  </mergeCells>
  <dataValidations count="3">
    <dataValidation sqref="B6:B700" showDropDown="0" showInputMessage="0" showErrorMessage="0" allowBlank="1" errorTitle="Invalid selection" error="Select a valid value from the dropdown list." type="list">
      <formula1>=ProjectIDs</formula1>
    </dataValidation>
    <dataValidation sqref="C6:C500" showDropDown="0" showInputMessage="0" showErrorMessage="0" allowBlank="1" errorTitle="Invalid selection" error="Select a valid value from the dropdown list." type="list">
      <formula1>=Document_Type</formula1>
    </dataValidation>
    <dataValidation sqref="E6:E500" showDropDown="0" showInputMessage="0" showErrorMessage="0" allowBlank="1" errorTitle="Invalid selection" error="Select a valid value from the dropdown list." type="list">
      <formula1>=UserIDs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5.xml><?xml version="1.0" encoding="utf-8"?>
<worksheet xmlns="http://schemas.openxmlformats.org/spreadsheetml/2006/main">
  <sheetPr>
    <tabColor rgb="008064A2"/>
    <outlinePr summaryBelow="1" summaryRight="1"/>
    <pageSetUpPr/>
  </sheetPr>
  <dimension ref="A1:N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6" customWidth="1" min="4" max="4"/>
    <col width="20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Users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Resource directory and calculated workload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User ID</t>
        </is>
      </c>
      <c r="B5" s="17" t="inlineStr">
        <is>
          <t>Full Name</t>
        </is>
      </c>
      <c r="C5" s="17" t="inlineStr">
        <is>
          <t>Email</t>
        </is>
      </c>
      <c r="D5" s="17" t="inlineStr">
        <is>
          <t>Department</t>
        </is>
      </c>
      <c r="E5" s="17" t="inlineStr">
        <is>
          <t>Role</t>
        </is>
      </c>
      <c r="F5" s="17" t="inlineStr">
        <is>
          <t>Availability</t>
        </is>
      </c>
      <c r="G5" s="17" t="inlineStr">
        <is>
          <t>Capacity Hours/Week</t>
        </is>
      </c>
      <c r="H5" s="17" t="inlineStr">
        <is>
          <t>Assigned Tasks</t>
        </is>
      </c>
      <c r="I5" s="17" t="inlineStr">
        <is>
          <t>Active Tasks</t>
        </is>
      </c>
      <c r="J5" s="17" t="inlineStr">
        <is>
          <t>Overdue Tasks</t>
        </is>
      </c>
      <c r="K5" s="17" t="inlineStr">
        <is>
          <t>Logged Hours</t>
        </is>
      </c>
      <c r="L5" s="22" t="inlineStr">
        <is>
          <t>Utilization %</t>
        </is>
      </c>
      <c r="M5" s="17" t="n"/>
      <c r="N5" s="17" t="n"/>
    </row>
    <row r="6">
      <c r="A6" s="2" t="inlineStr">
        <is>
          <t>USR-001</t>
        </is>
      </c>
      <c r="B6" s="2" t="inlineStr">
        <is>
          <t>Aarav Sharma</t>
        </is>
      </c>
      <c r="C6" s="2" t="inlineStr">
        <is>
          <t>aarav@example.com</t>
        </is>
      </c>
      <c r="D6" s="2" t="inlineStr">
        <is>
          <t>PMO</t>
        </is>
      </c>
      <c r="E6" s="2" t="inlineStr">
        <is>
          <t>Project Manager</t>
        </is>
      </c>
      <c r="F6" s="2" t="inlineStr">
        <is>
          <t>Available</t>
        </is>
      </c>
      <c r="G6" s="2" t="n">
        <v>40</v>
      </c>
      <c r="H6" s="2">
        <f>COUNTIF(tblTasks[Assigned User],[@[User ID]])</f>
        <v/>
      </c>
      <c r="I6" s="2">
        <f>COUNTIFS(tblTasks[Assigned User],[@[User ID]],tblTasks[Manual Status],"&lt;&gt;Completed",tblTasks[Manual Status],"&lt;&gt;Cancelled")</f>
        <v/>
      </c>
      <c r="J6" s="2">
        <f>COUNTIFS(tblTasks[Assigned User],[@[User ID]],tblTasks[Auto Health],"Overdue")</f>
        <v/>
      </c>
      <c r="K6" s="2">
        <f>SUMIF(tblTimesheets[User ID],[@[User ID]],tblTimesheets[Hours])</f>
        <v/>
      </c>
      <c r="L6" s="20">
        <f>IFERROR([@[Logged Hours]]/([@[Capacity Hours/Week]]*4),0)</f>
        <v/>
      </c>
      <c r="M6" s="2" t="n"/>
      <c r="N6" s="2" t="n"/>
    </row>
    <row r="7">
      <c r="A7" s="2" t="inlineStr">
        <is>
          <t>USR-002</t>
        </is>
      </c>
      <c r="B7" s="2" t="inlineStr">
        <is>
          <t>Meera Iyer</t>
        </is>
      </c>
      <c r="C7" s="2" t="inlineStr">
        <is>
          <t>meera@example.com</t>
        </is>
      </c>
      <c r="D7" s="2" t="inlineStr">
        <is>
          <t>Engineering</t>
        </is>
      </c>
      <c r="E7" s="2" t="inlineStr">
        <is>
          <t>Developer</t>
        </is>
      </c>
      <c r="F7" s="2" t="inlineStr">
        <is>
          <t>Busy</t>
        </is>
      </c>
      <c r="G7" s="2" t="n">
        <v>40</v>
      </c>
      <c r="H7" s="2">
        <f>COUNTIF(tblTasks[Assigned User],[@[User ID]])</f>
        <v/>
      </c>
      <c r="I7" s="2">
        <f>COUNTIFS(tblTasks[Assigned User],[@[User ID]],tblTasks[Manual Status],"&lt;&gt;Completed",tblTasks[Manual Status],"&lt;&gt;Cancelled")</f>
        <v/>
      </c>
      <c r="J7" s="2">
        <f>COUNTIFS(tblTasks[Assigned User],[@[User ID]],tblTasks[Auto Health],"Overdue")</f>
        <v/>
      </c>
      <c r="K7" s="2">
        <f>SUMIF(tblTimesheets[User ID],[@[User ID]],tblTimesheets[Hours])</f>
        <v/>
      </c>
      <c r="L7" s="20">
        <f>IFERROR([@[Logged Hours]]/([@[Capacity Hours/Week]]*4),0)</f>
        <v/>
      </c>
      <c r="M7" s="2" t="n"/>
      <c r="N7" s="2" t="n"/>
    </row>
    <row r="8">
      <c r="A8" s="2" t="inlineStr">
        <is>
          <t>USR-003</t>
        </is>
      </c>
      <c r="B8" s="2" t="inlineStr">
        <is>
          <t>Rohan Gupta</t>
        </is>
      </c>
      <c r="C8" s="2" t="inlineStr">
        <is>
          <t>rohan@example.com</t>
        </is>
      </c>
      <c r="D8" s="2" t="inlineStr">
        <is>
          <t>Design</t>
        </is>
      </c>
      <c r="E8" s="2" t="inlineStr">
        <is>
          <t>Designer</t>
        </is>
      </c>
      <c r="F8" s="2" t="inlineStr">
        <is>
          <t>Available</t>
        </is>
      </c>
      <c r="G8" s="2" t="n">
        <v>35</v>
      </c>
      <c r="H8" s="2">
        <f>COUNTIF(tblTasks[Assigned User],[@[User ID]])</f>
        <v/>
      </c>
      <c r="I8" s="2">
        <f>COUNTIFS(tblTasks[Assigned User],[@[User ID]],tblTasks[Manual Status],"&lt;&gt;Completed",tblTasks[Manual Status],"&lt;&gt;Cancelled")</f>
        <v/>
      </c>
      <c r="J8" s="2">
        <f>COUNTIFS(tblTasks[Assigned User],[@[User ID]],tblTasks[Auto Health],"Overdue")</f>
        <v/>
      </c>
      <c r="K8" s="2">
        <f>SUMIF(tblTimesheets[User ID],[@[User ID]],tblTimesheets[Hours])</f>
        <v/>
      </c>
      <c r="L8" s="20">
        <f>IFERROR([@[Logged Hours]]/([@[Capacity Hours/Week]]*4),0)</f>
        <v/>
      </c>
      <c r="M8" s="2" t="n"/>
      <c r="N8" s="2" t="n"/>
    </row>
    <row r="9">
      <c r="A9" s="2" t="inlineStr">
        <is>
          <t>USR-004</t>
        </is>
      </c>
      <c r="B9" s="2" t="inlineStr">
        <is>
          <t>Nisha Rao</t>
        </is>
      </c>
      <c r="C9" s="2" t="inlineStr">
        <is>
          <t>nisha@example.com</t>
        </is>
      </c>
      <c r="D9" s="2" t="inlineStr">
        <is>
          <t>QA</t>
        </is>
      </c>
      <c r="E9" s="2" t="inlineStr">
        <is>
          <t>QA Engineer</t>
        </is>
      </c>
      <c r="F9" s="2" t="inlineStr">
        <is>
          <t>Available</t>
        </is>
      </c>
      <c r="G9" s="2" t="n">
        <v>40</v>
      </c>
      <c r="H9" s="2">
        <f>COUNTIF(tblTasks[Assigned User],[@[User ID]])</f>
        <v/>
      </c>
      <c r="I9" s="2">
        <f>COUNTIFS(tblTasks[Assigned User],[@[User ID]],tblTasks[Manual Status],"&lt;&gt;Completed",tblTasks[Manual Status],"&lt;&gt;Cancelled")</f>
        <v/>
      </c>
      <c r="J9" s="2">
        <f>COUNTIFS(tblTasks[Assigned User],[@[User ID]],tblTasks[Auto Health],"Overdue")</f>
        <v/>
      </c>
      <c r="K9" s="2">
        <f>SUMIF(tblTimesheets[User ID],[@[User ID]],tblTimesheets[Hours])</f>
        <v/>
      </c>
      <c r="L9" s="20">
        <f>IFERROR([@[Logged Hours]]/([@[Capacity Hours/Week]]*4),0)</f>
        <v/>
      </c>
      <c r="M9" s="2" t="n"/>
      <c r="N9" s="2" t="n"/>
    </row>
    <row r="10">
      <c r="A10" s="2" t="inlineStr">
        <is>
          <t>USR-005</t>
        </is>
      </c>
      <c r="B10" s="2" t="inlineStr">
        <is>
          <t>Vikram Menon</t>
        </is>
      </c>
      <c r="C10" s="2" t="inlineStr">
        <is>
          <t>vikram@example.com</t>
        </is>
      </c>
      <c r="D10" s="2" t="inlineStr">
        <is>
          <t>Operations</t>
        </is>
      </c>
      <c r="E10" s="2" t="inlineStr">
        <is>
          <t>DevOps</t>
        </is>
      </c>
      <c r="F10" s="2" t="inlineStr">
        <is>
          <t>Busy</t>
        </is>
      </c>
      <c r="G10" s="2" t="n">
        <v>40</v>
      </c>
      <c r="H10" s="2">
        <f>COUNTIF(tblTasks[Assigned User],[@[User ID]])</f>
        <v/>
      </c>
      <c r="I10" s="2">
        <f>COUNTIFS(tblTasks[Assigned User],[@[User ID]],tblTasks[Manual Status],"&lt;&gt;Completed",tblTasks[Manual Status],"&lt;&gt;Cancelled")</f>
        <v/>
      </c>
      <c r="J10" s="2">
        <f>COUNTIFS(tblTasks[Assigned User],[@[User ID]],tblTasks[Auto Health],"Overdue")</f>
        <v/>
      </c>
      <c r="K10" s="2">
        <f>SUMIF(tblTimesheets[User ID],[@[User ID]],tblTimesheets[Hours])</f>
        <v/>
      </c>
      <c r="L10" s="20">
        <f>IFERROR([@[Logged Hours]]/([@[Capacity Hours/Week]]*4),0)</f>
        <v/>
      </c>
      <c r="M10" s="2" t="n"/>
      <c r="N10" s="2" t="n"/>
    </row>
    <row r="11">
      <c r="A11" s="2" t="inlineStr">
        <is>
          <t>USR-006</t>
        </is>
      </c>
      <c r="B11" s="2" t="inlineStr">
        <is>
          <t>Fatima Khan</t>
        </is>
      </c>
      <c r="C11" s="2" t="inlineStr">
        <is>
          <t>fatima@example.com</t>
        </is>
      </c>
      <c r="D11" s="2" t="inlineStr">
        <is>
          <t>Support</t>
        </is>
      </c>
      <c r="E11" s="2" t="inlineStr">
        <is>
          <t>Business Analyst</t>
        </is>
      </c>
      <c r="F11" s="2" t="inlineStr">
        <is>
          <t>Available</t>
        </is>
      </c>
      <c r="G11" s="2" t="n">
        <v>40</v>
      </c>
      <c r="H11" s="2">
        <f>COUNTIF(tblTasks[Assigned User],[@[User ID]])</f>
        <v/>
      </c>
      <c r="I11" s="2">
        <f>COUNTIFS(tblTasks[Assigned User],[@[User ID]],tblTasks[Manual Status],"&lt;&gt;Completed",tblTasks[Manual Status],"&lt;&gt;Cancelled")</f>
        <v/>
      </c>
      <c r="J11" s="2">
        <f>COUNTIFS(tblTasks[Assigned User],[@[User ID]],tblTasks[Auto Health],"Overdue")</f>
        <v/>
      </c>
      <c r="K11" s="2">
        <f>SUMIF(tblTimesheets[User ID],[@[User ID]],tblTimesheets[Hours])</f>
        <v/>
      </c>
      <c r="L11" s="20">
        <f>IFERROR([@[Logged Hours]]/([@[Capacity Hours/Week]]*4),0)</f>
        <v/>
      </c>
      <c r="M11" s="2" t="n"/>
      <c r="N11" s="2" t="n"/>
    </row>
  </sheetData>
  <mergeCells count="2">
    <mergeCell ref="A2:N2"/>
    <mergeCell ref="A1:N1"/>
  </mergeCells>
  <dataValidations count="2">
    <dataValidation sqref="D6:D300" showDropDown="0" showInputMessage="0" showErrorMessage="0" allowBlank="1" errorTitle="Invalid selection" error="Select a valid value from the dropdown list." type="list">
      <formula1>=Department</formula1>
    </dataValidation>
    <dataValidation sqref="E6:E300" showDropDown="0" showInputMessage="0" showErrorMessage="0" allowBlank="1" errorTitle="Invalid selection" error="Select a valid value from the dropdown list." type="list">
      <formula1>=Role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6.xml><?xml version="1.0" encoding="utf-8"?>
<worksheet xmlns="http://schemas.openxmlformats.org/spreadsheetml/2006/main">
  <sheetPr>
    <tabColor rgb="0066666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Teams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Zoho-style teams/squads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Team ID</t>
        </is>
      </c>
      <c r="B5" s="17" t="inlineStr">
        <is>
          <t>Team Name</t>
        </is>
      </c>
      <c r="C5" s="17" t="inlineStr">
        <is>
          <t>Lead User</t>
        </is>
      </c>
      <c r="D5" s="17" t="inlineStr">
        <is>
          <t>Department</t>
        </is>
      </c>
      <c r="E5" s="17" t="inlineStr">
        <is>
          <t>Notes</t>
        </is>
      </c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TEAM-001</t>
        </is>
      </c>
      <c r="B6" s="2" t="inlineStr">
        <is>
          <t>Platform Squad</t>
        </is>
      </c>
      <c r="C6" s="2" t="inlineStr">
        <is>
          <t>USR-001</t>
        </is>
      </c>
      <c r="D6" s="2" t="inlineStr">
        <is>
          <t>Engineering</t>
        </is>
      </c>
      <c r="E6" s="2" t="inlineStr">
        <is>
          <t>Core app delivery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TEAM-002</t>
        </is>
      </c>
      <c r="B7" s="2" t="inlineStr">
        <is>
          <t>Quality Guild</t>
        </is>
      </c>
      <c r="C7" s="2" t="inlineStr">
        <is>
          <t>USR-004</t>
        </is>
      </c>
      <c r="D7" s="2" t="inlineStr">
        <is>
          <t>QA</t>
        </is>
      </c>
      <c r="E7" s="2" t="inlineStr">
        <is>
          <t>Testing and release assurance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TEAM-003</t>
        </is>
      </c>
      <c r="B8" s="2" t="inlineStr">
        <is>
          <t>Operations Cell</t>
        </is>
      </c>
      <c r="C8" s="2" t="inlineStr">
        <is>
          <t>USR-005</t>
        </is>
      </c>
      <c r="D8" s="2" t="inlineStr">
        <is>
          <t>Operations</t>
        </is>
      </c>
      <c r="E8" s="2" t="inlineStr">
        <is>
          <t>Deployment and support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7.xml><?xml version="1.0" encoding="utf-8"?>
<worksheet xmlns="http://schemas.openxmlformats.org/spreadsheetml/2006/main">
  <sheetPr>
    <tabColor rgb="00666666"/>
    <outlinePr summaryBelow="1" summaryRight="1"/>
    <pageSetUpPr/>
  </sheetPr>
  <dimension ref="A1:N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Clients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Client and department master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Client ID</t>
        </is>
      </c>
      <c r="B5" s="17" t="inlineStr">
        <is>
          <t>Client / Department</t>
        </is>
      </c>
      <c r="C5" s="17" t="inlineStr">
        <is>
          <t>Type</t>
        </is>
      </c>
      <c r="D5" s="17" t="inlineStr">
        <is>
          <t>Contact Name</t>
        </is>
      </c>
      <c r="E5" s="17" t="inlineStr">
        <is>
          <t>Contact Email</t>
        </is>
      </c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CL-001</t>
        </is>
      </c>
      <c r="B6" s="2" t="inlineStr">
        <is>
          <t>Finance Department</t>
        </is>
      </c>
      <c r="C6" s="2" t="inlineStr">
        <is>
          <t>Internal</t>
        </is>
      </c>
      <c r="D6" s="2" t="inlineStr">
        <is>
          <t>Anjali Verma</t>
        </is>
      </c>
      <c r="E6" s="2" t="inlineStr">
        <is>
          <t>anjali@example.com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CL-002</t>
        </is>
      </c>
      <c r="B7" s="2" t="inlineStr">
        <is>
          <t>Sales Department</t>
        </is>
      </c>
      <c r="C7" s="2" t="inlineStr">
        <is>
          <t>Internal</t>
        </is>
      </c>
      <c r="D7" s="2" t="inlineStr">
        <is>
          <t>Raj Mehta</t>
        </is>
      </c>
      <c r="E7" s="2" t="inlineStr">
        <is>
          <t>raj@example.com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CL-003</t>
        </is>
      </c>
      <c r="B8" s="2" t="inlineStr">
        <is>
          <t>Operations Group</t>
        </is>
      </c>
      <c r="C8" s="2" t="inlineStr">
        <is>
          <t>Internal</t>
        </is>
      </c>
      <c r="D8" s="2" t="inlineStr">
        <is>
          <t>Kiran Rao</t>
        </is>
      </c>
      <c r="E8" s="2" t="inlineStr">
        <is>
          <t>kiran@example.com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CL-004</t>
        </is>
      </c>
      <c r="B9" s="2" t="inlineStr">
        <is>
          <t>External Client A</t>
        </is>
      </c>
      <c r="C9" s="2" t="inlineStr">
        <is>
          <t>External</t>
        </is>
      </c>
      <c r="D9" s="2" t="inlineStr">
        <is>
          <t>Divya Shah</t>
        </is>
      </c>
      <c r="E9" s="2" t="inlineStr">
        <is>
          <t>divya@example.com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18.xml><?xml version="1.0" encoding="utf-8"?>
<worksheet xmlns="http://schemas.openxmlformats.org/spreadsheetml/2006/main">
  <sheetPr>
    <tabColor rgb="008064A2"/>
    <outlinePr summaryBelow="1" summaryRight="1"/>
    <pageSetUpPr/>
  </sheetPr>
  <dimension ref="A1:N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Reports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Ready-to-use PMO reports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8" t="inlineStr">
        <is>
          <t>Overdue Tasks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7" t="inlineStr">
        <is>
          <t>Task ID</t>
        </is>
      </c>
      <c r="B6" s="17" t="inlineStr">
        <is>
          <t>Project ID</t>
        </is>
      </c>
      <c r="C6" s="17" t="inlineStr">
        <is>
          <t>Task</t>
        </is>
      </c>
      <c r="D6" s="17" t="inlineStr">
        <is>
          <t>Owner</t>
        </is>
      </c>
      <c r="E6" s="17" t="inlineStr">
        <is>
          <t>Due Date</t>
        </is>
      </c>
      <c r="F6" s="17" t="inlineStr">
        <is>
          <t>Days Late</t>
        </is>
      </c>
      <c r="G6" s="17" t="inlineStr">
        <is>
          <t>Priority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>
        <f>IFERROR(INDEX(FILTER(tblTasks[Task ID],tblTasks[Auto Health]="Overdue"),1),"")</f>
        <v/>
      </c>
      <c r="B7" s="2">
        <f>IFERROR(INDEX(FILTER(tblTasks[Project ID],tblTasks[Auto Health]="Overdue"),1),"")</f>
        <v/>
      </c>
      <c r="C7" s="2">
        <f>IFERROR(INDEX(FILTER(tblTasks[Task Name],tblTasks[Auto Health]="Overdue"),1),"")</f>
        <v/>
      </c>
      <c r="D7" s="2">
        <f>IFERROR(INDEX(FILTER(tblTasks[Assigned User],tblTasks[Auto Health]="Overdue"),1),"")</f>
        <v/>
      </c>
      <c r="E7" s="2">
        <f>IFERROR(INDEX(FILTER(tblTasks[Due Date],tblTasks[Auto Health]="Overdue"),1),"")</f>
        <v/>
      </c>
      <c r="F7" s="2">
        <f>IFERROR(INDEX(FILTER(tblTasks[Days Late],tblTasks[Auto Health]="Overdue"),1),"")</f>
        <v/>
      </c>
      <c r="G7" s="2">
        <f>IFERROR(INDEX(FILTER(tblTasks[Priority],tblTasks[Auto Health]="Overdue"),1),"")</f>
        <v/>
      </c>
      <c r="H7" s="2" t="n"/>
      <c r="I7" s="2" t="n"/>
      <c r="J7" s="2" t="n"/>
      <c r="K7" s="2" t="n"/>
      <c r="L7" s="2" t="n"/>
      <c r="M7" s="2" t="n"/>
      <c r="N7" s="2" t="n"/>
    </row>
    <row r="8">
      <c r="A8" s="2">
        <f>IFERROR(INDEX(FILTER(tblTasks[Task ID],tblTasks[Auto Health]="Overdue"),2),"")</f>
        <v/>
      </c>
      <c r="B8" s="2">
        <f>IFERROR(INDEX(FILTER(tblTasks[Project ID],tblTasks[Auto Health]="Overdue"),2),"")</f>
        <v/>
      </c>
      <c r="C8" s="2">
        <f>IFERROR(INDEX(FILTER(tblTasks[Task Name],tblTasks[Auto Health]="Overdue"),2),"")</f>
        <v/>
      </c>
      <c r="D8" s="2">
        <f>IFERROR(INDEX(FILTER(tblTasks[Assigned User],tblTasks[Auto Health]="Overdue"),2),"")</f>
        <v/>
      </c>
      <c r="E8" s="2">
        <f>IFERROR(INDEX(FILTER(tblTasks[Due Date],tblTasks[Auto Health]="Overdue"),2),"")</f>
        <v/>
      </c>
      <c r="F8" s="2">
        <f>IFERROR(INDEX(FILTER(tblTasks[Days Late],tblTasks[Auto Health]="Overdue"),2),"")</f>
        <v/>
      </c>
      <c r="G8" s="2">
        <f>IFERROR(INDEX(FILTER(tblTasks[Priority],tblTasks[Auto Health]="Overdue"),2),"")</f>
        <v/>
      </c>
      <c r="H8" s="2" t="n"/>
      <c r="I8" s="2" t="n"/>
      <c r="J8" s="2" t="n"/>
      <c r="K8" s="2" t="n"/>
      <c r="L8" s="2" t="n"/>
      <c r="M8" s="2" t="n"/>
      <c r="N8" s="2" t="n"/>
    </row>
    <row r="9">
      <c r="A9" s="2">
        <f>IFERROR(INDEX(FILTER(tblTasks[Task ID],tblTasks[Auto Health]="Overdue"),3),"")</f>
        <v/>
      </c>
      <c r="B9" s="2">
        <f>IFERROR(INDEX(FILTER(tblTasks[Project ID],tblTasks[Auto Health]="Overdue"),3),"")</f>
        <v/>
      </c>
      <c r="C9" s="2">
        <f>IFERROR(INDEX(FILTER(tblTasks[Task Name],tblTasks[Auto Health]="Overdue"),3),"")</f>
        <v/>
      </c>
      <c r="D9" s="2">
        <f>IFERROR(INDEX(FILTER(tblTasks[Assigned User],tblTasks[Auto Health]="Overdue"),3),"")</f>
        <v/>
      </c>
      <c r="E9" s="2">
        <f>IFERROR(INDEX(FILTER(tblTasks[Due Date],tblTasks[Auto Health]="Overdue"),3),"")</f>
        <v/>
      </c>
      <c r="F9" s="2">
        <f>IFERROR(INDEX(FILTER(tblTasks[Days Late],tblTasks[Auto Health]="Overdue"),3),"")</f>
        <v/>
      </c>
      <c r="G9" s="2">
        <f>IFERROR(INDEX(FILTER(tblTasks[Priority],tblTasks[Auto Health]="Overdue"),3),"")</f>
        <v/>
      </c>
      <c r="H9" s="2" t="n"/>
      <c r="I9" s="2" t="n"/>
      <c r="J9" s="2" t="n"/>
      <c r="K9" s="2" t="n"/>
      <c r="L9" s="2" t="n"/>
      <c r="M9" s="2" t="n"/>
      <c r="N9" s="2" t="n"/>
    </row>
    <row r="10">
      <c r="A10" s="2">
        <f>IFERROR(INDEX(FILTER(tblTasks[Task ID],tblTasks[Auto Health]="Overdue"),4),"")</f>
        <v/>
      </c>
      <c r="B10" s="2">
        <f>IFERROR(INDEX(FILTER(tblTasks[Project ID],tblTasks[Auto Health]="Overdue"),4),"")</f>
        <v/>
      </c>
      <c r="C10" s="2">
        <f>IFERROR(INDEX(FILTER(tblTasks[Task Name],tblTasks[Auto Health]="Overdue"),4),"")</f>
        <v/>
      </c>
      <c r="D10" s="2">
        <f>IFERROR(INDEX(FILTER(tblTasks[Assigned User],tblTasks[Auto Health]="Overdue"),4),"")</f>
        <v/>
      </c>
      <c r="E10" s="2">
        <f>IFERROR(INDEX(FILTER(tblTasks[Due Date],tblTasks[Auto Health]="Overdue"),4),"")</f>
        <v/>
      </c>
      <c r="F10" s="2">
        <f>IFERROR(INDEX(FILTER(tblTasks[Days Late],tblTasks[Auto Health]="Overdue"),4),"")</f>
        <v/>
      </c>
      <c r="G10" s="2">
        <f>IFERROR(INDEX(FILTER(tblTasks[Priority],tblTasks[Auto Health]="Overdue"),4),"")</f>
        <v/>
      </c>
      <c r="H10" s="2" t="n"/>
      <c r="I10" s="2" t="n"/>
      <c r="J10" s="2" t="n"/>
      <c r="K10" s="2" t="n"/>
      <c r="L10" s="2" t="n"/>
      <c r="M10" s="2" t="n"/>
      <c r="N10" s="2" t="n"/>
    </row>
    <row r="11">
      <c r="A11" s="2">
        <f>IFERROR(INDEX(FILTER(tblTasks[Task ID],tblTasks[Auto Health]="Overdue"),5),"")</f>
        <v/>
      </c>
      <c r="B11" s="2">
        <f>IFERROR(INDEX(FILTER(tblTasks[Project ID],tblTasks[Auto Health]="Overdue"),5),"")</f>
        <v/>
      </c>
      <c r="C11" s="2">
        <f>IFERROR(INDEX(FILTER(tblTasks[Task Name],tblTasks[Auto Health]="Overdue"),5),"")</f>
        <v/>
      </c>
      <c r="D11" s="2">
        <f>IFERROR(INDEX(FILTER(tblTasks[Assigned User],tblTasks[Auto Health]="Overdue"),5),"")</f>
        <v/>
      </c>
      <c r="E11" s="2">
        <f>IFERROR(INDEX(FILTER(tblTasks[Due Date],tblTasks[Auto Health]="Overdue"),5),"")</f>
        <v/>
      </c>
      <c r="F11" s="2">
        <f>IFERROR(INDEX(FILTER(tblTasks[Days Late],tblTasks[Auto Health]="Overdue"),5),"")</f>
        <v/>
      </c>
      <c r="G11" s="2">
        <f>IFERROR(INDEX(FILTER(tblTasks[Priority],tblTasks[Auto Health]="Overdue"),5),"")</f>
        <v/>
      </c>
      <c r="H11" s="2" t="n"/>
      <c r="I11" s="2" t="n"/>
      <c r="J11" s="2" t="n"/>
      <c r="K11" s="2" t="n"/>
      <c r="L11" s="2" t="n"/>
      <c r="M11" s="2" t="n"/>
      <c r="N11" s="2" t="n"/>
    </row>
    <row r="12">
      <c r="A12" s="2">
        <f>IFERROR(INDEX(FILTER(tblTasks[Task ID],tblTasks[Auto Health]="Overdue"),6),"")</f>
        <v/>
      </c>
      <c r="B12" s="2">
        <f>IFERROR(INDEX(FILTER(tblTasks[Project ID],tblTasks[Auto Health]="Overdue"),6),"")</f>
        <v/>
      </c>
      <c r="C12" s="2">
        <f>IFERROR(INDEX(FILTER(tblTasks[Task Name],tblTasks[Auto Health]="Overdue"),6),"")</f>
        <v/>
      </c>
      <c r="D12" s="2">
        <f>IFERROR(INDEX(FILTER(tblTasks[Assigned User],tblTasks[Auto Health]="Overdue"),6),"")</f>
        <v/>
      </c>
      <c r="E12" s="2">
        <f>IFERROR(INDEX(FILTER(tblTasks[Due Date],tblTasks[Auto Health]="Overdue"),6),"")</f>
        <v/>
      </c>
      <c r="F12" s="2">
        <f>IFERROR(INDEX(FILTER(tblTasks[Days Late],tblTasks[Auto Health]="Overdue"),6),"")</f>
        <v/>
      </c>
      <c r="G12" s="2">
        <f>IFERROR(INDEX(FILTER(tblTasks[Priority],tblTasks[Auto Health]="Overdue"),6),"")</f>
        <v/>
      </c>
      <c r="H12" s="2" t="n"/>
      <c r="I12" s="2" t="n"/>
      <c r="J12" s="2" t="n"/>
      <c r="K12" s="2" t="n"/>
      <c r="L12" s="2" t="n"/>
      <c r="M12" s="2" t="n"/>
      <c r="N12" s="2" t="n"/>
    </row>
    <row r="13">
      <c r="A13" s="2">
        <f>IFERROR(INDEX(FILTER(tblTasks[Task ID],tblTasks[Auto Health]="Overdue"),7),"")</f>
        <v/>
      </c>
      <c r="B13" s="2">
        <f>IFERROR(INDEX(FILTER(tblTasks[Project ID],tblTasks[Auto Health]="Overdue"),7),"")</f>
        <v/>
      </c>
      <c r="C13" s="2">
        <f>IFERROR(INDEX(FILTER(tblTasks[Task Name],tblTasks[Auto Health]="Overdue"),7),"")</f>
        <v/>
      </c>
      <c r="D13" s="2">
        <f>IFERROR(INDEX(FILTER(tblTasks[Assigned User],tblTasks[Auto Health]="Overdue"),7),"")</f>
        <v/>
      </c>
      <c r="E13" s="2">
        <f>IFERROR(INDEX(FILTER(tblTasks[Due Date],tblTasks[Auto Health]="Overdue"),7),"")</f>
        <v/>
      </c>
      <c r="F13" s="2">
        <f>IFERROR(INDEX(FILTER(tblTasks[Days Late],tblTasks[Auto Health]="Overdue"),7),"")</f>
        <v/>
      </c>
      <c r="G13" s="2">
        <f>IFERROR(INDEX(FILTER(tblTasks[Priority],tblTasks[Auto Health]="Overdue"),7),"")</f>
        <v/>
      </c>
      <c r="H13" s="2" t="n"/>
      <c r="I13" s="2" t="n"/>
      <c r="J13" s="2" t="n"/>
      <c r="K13" s="2" t="n"/>
      <c r="L13" s="2" t="n"/>
      <c r="M13" s="2" t="n"/>
      <c r="N13" s="2" t="n"/>
    </row>
    <row r="14">
      <c r="A14" s="2">
        <f>IFERROR(INDEX(FILTER(tblTasks[Task ID],tblTasks[Auto Health]="Overdue"),8),"")</f>
        <v/>
      </c>
      <c r="B14" s="2">
        <f>IFERROR(INDEX(FILTER(tblTasks[Project ID],tblTasks[Auto Health]="Overdue"),8),"")</f>
        <v/>
      </c>
      <c r="C14" s="2">
        <f>IFERROR(INDEX(FILTER(tblTasks[Task Name],tblTasks[Auto Health]="Overdue"),8),"")</f>
        <v/>
      </c>
      <c r="D14" s="2">
        <f>IFERROR(INDEX(FILTER(tblTasks[Assigned User],tblTasks[Auto Health]="Overdue"),8),"")</f>
        <v/>
      </c>
      <c r="E14" s="2">
        <f>IFERROR(INDEX(FILTER(tblTasks[Due Date],tblTasks[Auto Health]="Overdue"),8),"")</f>
        <v/>
      </c>
      <c r="F14" s="2">
        <f>IFERROR(INDEX(FILTER(tblTasks[Days Late],tblTasks[Auto Health]="Overdue"),8),"")</f>
        <v/>
      </c>
      <c r="G14" s="2">
        <f>IFERROR(INDEX(FILTER(tblTasks[Priority],tblTasks[Auto Health]="Overdue"),8),"")</f>
        <v/>
      </c>
      <c r="H14" s="2" t="n"/>
      <c r="I14" s="2" t="n"/>
      <c r="J14" s="2" t="n"/>
      <c r="K14" s="2" t="n"/>
      <c r="L14" s="2" t="n"/>
      <c r="M14" s="2" t="n"/>
      <c r="N14" s="2" t="n"/>
    </row>
    <row r="15">
      <c r="A15" s="2">
        <f>IFERROR(INDEX(FILTER(tblTasks[Task ID],tblTasks[Auto Health]="Overdue"),9),"")</f>
        <v/>
      </c>
      <c r="B15" s="2">
        <f>IFERROR(INDEX(FILTER(tblTasks[Project ID],tblTasks[Auto Health]="Overdue"),9),"")</f>
        <v/>
      </c>
      <c r="C15" s="2">
        <f>IFERROR(INDEX(FILTER(tblTasks[Task Name],tblTasks[Auto Health]="Overdue"),9),"")</f>
        <v/>
      </c>
      <c r="D15" s="2">
        <f>IFERROR(INDEX(FILTER(tblTasks[Assigned User],tblTasks[Auto Health]="Overdue"),9),"")</f>
        <v/>
      </c>
      <c r="E15" s="2">
        <f>IFERROR(INDEX(FILTER(tblTasks[Due Date],tblTasks[Auto Health]="Overdue"),9),"")</f>
        <v/>
      </c>
      <c r="F15" s="2">
        <f>IFERROR(INDEX(FILTER(tblTasks[Days Late],tblTasks[Auto Health]="Overdue"),9),"")</f>
        <v/>
      </c>
      <c r="G15" s="2">
        <f>IFERROR(INDEX(FILTER(tblTasks[Priority],tblTasks[Auto Health]="Overdue"),9),"")</f>
        <v/>
      </c>
      <c r="H15" s="2" t="n"/>
      <c r="I15" s="2" t="n"/>
      <c r="J15" s="2" t="n"/>
      <c r="K15" s="2" t="n"/>
      <c r="L15" s="2" t="n"/>
      <c r="M15" s="2" t="n"/>
      <c r="N15" s="2" t="n"/>
    </row>
    <row r="16">
      <c r="A16" s="2">
        <f>IFERROR(INDEX(FILTER(tblTasks[Task ID],tblTasks[Auto Health]="Overdue"),10),"")</f>
        <v/>
      </c>
      <c r="B16" s="2">
        <f>IFERROR(INDEX(FILTER(tblTasks[Project ID],tblTasks[Auto Health]="Overdue"),10),"")</f>
        <v/>
      </c>
      <c r="C16" s="2">
        <f>IFERROR(INDEX(FILTER(tblTasks[Task Name],tblTasks[Auto Health]="Overdue"),10),"")</f>
        <v/>
      </c>
      <c r="D16" s="2">
        <f>IFERROR(INDEX(FILTER(tblTasks[Assigned User],tblTasks[Auto Health]="Overdue"),10),"")</f>
        <v/>
      </c>
      <c r="E16" s="2">
        <f>IFERROR(INDEX(FILTER(tblTasks[Due Date],tblTasks[Auto Health]="Overdue"),10),"")</f>
        <v/>
      </c>
      <c r="F16" s="2">
        <f>IFERROR(INDEX(FILTER(tblTasks[Days Late],tblTasks[Auto Health]="Overdue"),10),"")</f>
        <v/>
      </c>
      <c r="G16" s="2">
        <f>IFERROR(INDEX(FILTER(tblTasks[Priority],tblTasks[Auto Health]="Overdue"),10),"")</f>
        <v/>
      </c>
      <c r="H16" s="2" t="n"/>
      <c r="I16" s="2" t="n"/>
      <c r="J16" s="2" t="n"/>
      <c r="K16" s="2" t="n"/>
      <c r="L16" s="2" t="n"/>
      <c r="M16" s="2" t="n"/>
      <c r="N16" s="2" t="n"/>
    </row>
    <row r="17">
      <c r="A17" s="2">
        <f>IFERROR(INDEX(FILTER(tblTasks[Task ID],tblTasks[Auto Health]="Overdue"),11),"")</f>
        <v/>
      </c>
      <c r="B17" s="2">
        <f>IFERROR(INDEX(FILTER(tblTasks[Project ID],tblTasks[Auto Health]="Overdue"),11),"")</f>
        <v/>
      </c>
      <c r="C17" s="2">
        <f>IFERROR(INDEX(FILTER(tblTasks[Task Name],tblTasks[Auto Health]="Overdue"),11),"")</f>
        <v/>
      </c>
      <c r="D17" s="2">
        <f>IFERROR(INDEX(FILTER(tblTasks[Assigned User],tblTasks[Auto Health]="Overdue"),11),"")</f>
        <v/>
      </c>
      <c r="E17" s="2">
        <f>IFERROR(INDEX(FILTER(tblTasks[Due Date],tblTasks[Auto Health]="Overdue"),11),"")</f>
        <v/>
      </c>
      <c r="F17" s="2">
        <f>IFERROR(INDEX(FILTER(tblTasks[Days Late],tblTasks[Auto Health]="Overdue"),11),"")</f>
        <v/>
      </c>
      <c r="G17" s="2">
        <f>IFERROR(INDEX(FILTER(tblTasks[Priority],tblTasks[Auto Health]="Overdue"),11),"")</f>
        <v/>
      </c>
      <c r="H17" s="2" t="n"/>
      <c r="I17" s="2" t="n"/>
      <c r="J17" s="2" t="n"/>
      <c r="K17" s="2" t="n"/>
      <c r="L17" s="2" t="n"/>
      <c r="M17" s="2" t="n"/>
      <c r="N17" s="2" t="n"/>
    </row>
    <row r="18">
      <c r="A18" s="2">
        <f>IFERROR(INDEX(FILTER(tblTasks[Task ID],tblTasks[Auto Health]="Overdue"),12),"")</f>
        <v/>
      </c>
      <c r="B18" s="2">
        <f>IFERROR(INDEX(FILTER(tblTasks[Project ID],tblTasks[Auto Health]="Overdue"),12),"")</f>
        <v/>
      </c>
      <c r="C18" s="2">
        <f>IFERROR(INDEX(FILTER(tblTasks[Task Name],tblTasks[Auto Health]="Overdue"),12),"")</f>
        <v/>
      </c>
      <c r="D18" s="2">
        <f>IFERROR(INDEX(FILTER(tblTasks[Assigned User],tblTasks[Auto Health]="Overdue"),12),"")</f>
        <v/>
      </c>
      <c r="E18" s="2">
        <f>IFERROR(INDEX(FILTER(tblTasks[Due Date],tblTasks[Auto Health]="Overdue"),12),"")</f>
        <v/>
      </c>
      <c r="F18" s="2">
        <f>IFERROR(INDEX(FILTER(tblTasks[Days Late],tblTasks[Auto Health]="Overdue"),12),"")</f>
        <v/>
      </c>
      <c r="G18" s="2">
        <f>IFERROR(INDEX(FILTER(tblTasks[Priority],tblTasks[Auto Health]="Overdue"),12),"")</f>
        <v/>
      </c>
      <c r="H18" s="2" t="n"/>
      <c r="I18" s="2" t="n"/>
      <c r="J18" s="2" t="n"/>
      <c r="K18" s="2" t="n"/>
      <c r="L18" s="2" t="n"/>
      <c r="M18" s="2" t="n"/>
      <c r="N18" s="2" t="n"/>
    </row>
    <row r="19">
      <c r="A19" s="2">
        <f>IFERROR(INDEX(FILTER(tblTasks[Task ID],tblTasks[Auto Health]="Overdue"),13),"")</f>
        <v/>
      </c>
      <c r="B19" s="2">
        <f>IFERROR(INDEX(FILTER(tblTasks[Project ID],tblTasks[Auto Health]="Overdue"),13),"")</f>
        <v/>
      </c>
      <c r="C19" s="2">
        <f>IFERROR(INDEX(FILTER(tblTasks[Task Name],tblTasks[Auto Health]="Overdue"),13),"")</f>
        <v/>
      </c>
      <c r="D19" s="2">
        <f>IFERROR(INDEX(FILTER(tblTasks[Assigned User],tblTasks[Auto Health]="Overdue"),13),"")</f>
        <v/>
      </c>
      <c r="E19" s="2">
        <f>IFERROR(INDEX(FILTER(tblTasks[Due Date],tblTasks[Auto Health]="Overdue"),13),"")</f>
        <v/>
      </c>
      <c r="F19" s="2">
        <f>IFERROR(INDEX(FILTER(tblTasks[Days Late],tblTasks[Auto Health]="Overdue"),13),"")</f>
        <v/>
      </c>
      <c r="G19" s="2">
        <f>IFERROR(INDEX(FILTER(tblTasks[Priority],tblTasks[Auto Health]="Overdue"),13),"")</f>
        <v/>
      </c>
      <c r="H19" s="2" t="n"/>
      <c r="I19" s="2" t="n"/>
      <c r="J19" s="2" t="n"/>
      <c r="K19" s="2" t="n"/>
      <c r="L19" s="2" t="n"/>
      <c r="M19" s="2" t="n"/>
      <c r="N19" s="2" t="n"/>
    </row>
    <row r="20">
      <c r="A20" s="2">
        <f>IFERROR(INDEX(FILTER(tblTasks[Task ID],tblTasks[Auto Health]="Overdue"),14),"")</f>
        <v/>
      </c>
      <c r="B20" s="2">
        <f>IFERROR(INDEX(FILTER(tblTasks[Project ID],tblTasks[Auto Health]="Overdue"),14),"")</f>
        <v/>
      </c>
      <c r="C20" s="2">
        <f>IFERROR(INDEX(FILTER(tblTasks[Task Name],tblTasks[Auto Health]="Overdue"),14),"")</f>
        <v/>
      </c>
      <c r="D20" s="2">
        <f>IFERROR(INDEX(FILTER(tblTasks[Assigned User],tblTasks[Auto Health]="Overdue"),14),"")</f>
        <v/>
      </c>
      <c r="E20" s="2">
        <f>IFERROR(INDEX(FILTER(tblTasks[Due Date],tblTasks[Auto Health]="Overdue"),14),"")</f>
        <v/>
      </c>
      <c r="F20" s="2">
        <f>IFERROR(INDEX(FILTER(tblTasks[Days Late],tblTasks[Auto Health]="Overdue"),14),"")</f>
        <v/>
      </c>
      <c r="G20" s="2">
        <f>IFERROR(INDEX(FILTER(tblTasks[Priority],tblTasks[Auto Health]="Overdue"),14),"")</f>
        <v/>
      </c>
      <c r="H20" s="2" t="n"/>
      <c r="I20" s="2" t="n"/>
      <c r="J20" s="2" t="n"/>
      <c r="K20" s="2" t="n"/>
      <c r="L20" s="2" t="n"/>
      <c r="M20" s="2" t="n"/>
      <c r="N20" s="2" t="n"/>
    </row>
    <row r="21">
      <c r="A21" s="2">
        <f>IFERROR(INDEX(FILTER(tblTasks[Task ID],tblTasks[Auto Health]="Overdue"),15),"")</f>
        <v/>
      </c>
      <c r="B21" s="2">
        <f>IFERROR(INDEX(FILTER(tblTasks[Project ID],tblTasks[Auto Health]="Overdue"),15),"")</f>
        <v/>
      </c>
      <c r="C21" s="2">
        <f>IFERROR(INDEX(FILTER(tblTasks[Task Name],tblTasks[Auto Health]="Overdue"),15),"")</f>
        <v/>
      </c>
      <c r="D21" s="2">
        <f>IFERROR(INDEX(FILTER(tblTasks[Assigned User],tblTasks[Auto Health]="Overdue"),15),"")</f>
        <v/>
      </c>
      <c r="E21" s="2">
        <f>IFERROR(INDEX(FILTER(tblTasks[Due Date],tblTasks[Auto Health]="Overdue"),15),"")</f>
        <v/>
      </c>
      <c r="F21" s="2">
        <f>IFERROR(INDEX(FILTER(tblTasks[Days Late],tblTasks[Auto Health]="Overdue"),15),"")</f>
        <v/>
      </c>
      <c r="G21" s="2">
        <f>IFERROR(INDEX(FILTER(tblTasks[Priority],tblTasks[Auto Health]="Overdue"),15),"")</f>
        <v/>
      </c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8" t="inlineStr">
        <is>
          <t>User Workload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7" t="inlineStr">
        <is>
          <t>User</t>
        </is>
      </c>
      <c r="B26" s="17" t="inlineStr">
        <is>
          <t>Department</t>
        </is>
      </c>
      <c r="C26" s="17" t="inlineStr">
        <is>
          <t>Active Tasks</t>
        </is>
      </c>
      <c r="D26" s="17" t="inlineStr">
        <is>
          <t>Overdue Tasks</t>
        </is>
      </c>
      <c r="E26" s="17" t="inlineStr">
        <is>
          <t>Logged Hours</t>
        </is>
      </c>
      <c r="F26" s="17" t="inlineStr">
        <is>
          <t>Utilization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>
        <f>IFERROR(INDEX(tblUsers[Full Name],1),"")</f>
        <v/>
      </c>
      <c r="B27" s="2">
        <f>IFERROR(INDEX(tblUsers[Department],1),"")</f>
        <v/>
      </c>
      <c r="C27" s="2">
        <f>IFERROR(INDEX(tblUsers[Active Tasks],1),"")</f>
        <v/>
      </c>
      <c r="D27" s="2">
        <f>IFERROR(INDEX(tblUsers[Overdue Tasks],1),"")</f>
        <v/>
      </c>
      <c r="E27" s="2">
        <f>IFERROR(INDEX(tblUsers[Logged Hours],1),"")</f>
        <v/>
      </c>
      <c r="F27" s="2">
        <f>IFERROR(INDEX(tblUsers[Utilization %],1),"")</f>
        <v/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>
        <f>IFERROR(INDEX(tblUsers[Full Name],2),"")</f>
        <v/>
      </c>
      <c r="B28" s="2">
        <f>IFERROR(INDEX(tblUsers[Department],2),"")</f>
        <v/>
      </c>
      <c r="C28" s="2">
        <f>IFERROR(INDEX(tblUsers[Active Tasks],2),"")</f>
        <v/>
      </c>
      <c r="D28" s="2">
        <f>IFERROR(INDEX(tblUsers[Overdue Tasks],2),"")</f>
        <v/>
      </c>
      <c r="E28" s="2">
        <f>IFERROR(INDEX(tblUsers[Logged Hours],2),"")</f>
        <v/>
      </c>
      <c r="F28" s="2">
        <f>IFERROR(INDEX(tblUsers[Utilization %],2),"")</f>
        <v/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>
        <f>IFERROR(INDEX(tblUsers[Full Name],3),"")</f>
        <v/>
      </c>
      <c r="B29" s="2">
        <f>IFERROR(INDEX(tblUsers[Department],3),"")</f>
        <v/>
      </c>
      <c r="C29" s="2">
        <f>IFERROR(INDEX(tblUsers[Active Tasks],3),"")</f>
        <v/>
      </c>
      <c r="D29" s="2">
        <f>IFERROR(INDEX(tblUsers[Overdue Tasks],3),"")</f>
        <v/>
      </c>
      <c r="E29" s="2">
        <f>IFERROR(INDEX(tblUsers[Logged Hours],3),"")</f>
        <v/>
      </c>
      <c r="F29" s="2">
        <f>IFERROR(INDEX(tblUsers[Utilization %],3),"")</f>
        <v/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>
        <f>IFERROR(INDEX(tblUsers[Full Name],4),"")</f>
        <v/>
      </c>
      <c r="B30" s="2">
        <f>IFERROR(INDEX(tblUsers[Department],4),"")</f>
        <v/>
      </c>
      <c r="C30" s="2">
        <f>IFERROR(INDEX(tblUsers[Active Tasks],4),"")</f>
        <v/>
      </c>
      <c r="D30" s="2">
        <f>IFERROR(INDEX(tblUsers[Overdue Tasks],4),"")</f>
        <v/>
      </c>
      <c r="E30" s="2">
        <f>IFERROR(INDEX(tblUsers[Logged Hours],4),"")</f>
        <v/>
      </c>
      <c r="F30" s="2">
        <f>IFERROR(INDEX(tblUsers[Utilization %],4),"")</f>
        <v/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>
        <f>IFERROR(INDEX(tblUsers[Full Name],5),"")</f>
        <v/>
      </c>
      <c r="B31" s="2">
        <f>IFERROR(INDEX(tblUsers[Department],5),"")</f>
        <v/>
      </c>
      <c r="C31" s="2">
        <f>IFERROR(INDEX(tblUsers[Active Tasks],5),"")</f>
        <v/>
      </c>
      <c r="D31" s="2">
        <f>IFERROR(INDEX(tblUsers[Overdue Tasks],5),"")</f>
        <v/>
      </c>
      <c r="E31" s="2">
        <f>IFERROR(INDEX(tblUsers[Logged Hours],5),"")</f>
        <v/>
      </c>
      <c r="F31" s="2">
        <f>IFERROR(INDEX(tblUsers[Utilization %],5),"")</f>
        <v/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>
        <f>IFERROR(INDEX(tblUsers[Full Name],6),"")</f>
        <v/>
      </c>
      <c r="B32" s="2">
        <f>IFERROR(INDEX(tblUsers[Department],6),"")</f>
        <v/>
      </c>
      <c r="C32" s="2">
        <f>IFERROR(INDEX(tblUsers[Active Tasks],6),"")</f>
        <v/>
      </c>
      <c r="D32" s="2">
        <f>IFERROR(INDEX(tblUsers[Overdue Tasks],6),"")</f>
        <v/>
      </c>
      <c r="E32" s="2">
        <f>IFERROR(INDEX(tblUsers[Logged Hours],6),"")</f>
        <v/>
      </c>
      <c r="F32" s="2">
        <f>IFERROR(INDEX(tblUsers[Utilization %],6),"")</f>
        <v/>
      </c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>
        <f>IFERROR(INDEX(tblUsers[Full Name],7),"")</f>
        <v/>
      </c>
      <c r="B33" s="2">
        <f>IFERROR(INDEX(tblUsers[Department],7),"")</f>
        <v/>
      </c>
      <c r="C33" s="2">
        <f>IFERROR(INDEX(tblUsers[Active Tasks],7),"")</f>
        <v/>
      </c>
      <c r="D33" s="2">
        <f>IFERROR(INDEX(tblUsers[Overdue Tasks],7),"")</f>
        <v/>
      </c>
      <c r="E33" s="2">
        <f>IFERROR(INDEX(tblUsers[Logged Hours],7),"")</f>
        <v/>
      </c>
      <c r="F33" s="2">
        <f>IFERROR(INDEX(tblUsers[Utilization %],7),"")</f>
        <v/>
      </c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>
        <f>IFERROR(INDEX(tblUsers[Full Name],8),"")</f>
        <v/>
      </c>
      <c r="B34" s="2">
        <f>IFERROR(INDEX(tblUsers[Department],8),"")</f>
        <v/>
      </c>
      <c r="C34" s="2">
        <f>IFERROR(INDEX(tblUsers[Active Tasks],8),"")</f>
        <v/>
      </c>
      <c r="D34" s="2">
        <f>IFERROR(INDEX(tblUsers[Overdue Tasks],8),"")</f>
        <v/>
      </c>
      <c r="E34" s="2">
        <f>IFERROR(INDEX(tblUsers[Logged Hours],8),"")</f>
        <v/>
      </c>
      <c r="F34" s="2">
        <f>IFERROR(INDEX(tblUsers[Utilization %],8),"")</f>
        <v/>
      </c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>
        <f>IFERROR(INDEX(tblUsers[Full Name],9),"")</f>
        <v/>
      </c>
      <c r="B35" s="2">
        <f>IFERROR(INDEX(tblUsers[Department],9),"")</f>
        <v/>
      </c>
      <c r="C35" s="2">
        <f>IFERROR(INDEX(tblUsers[Active Tasks],9),"")</f>
        <v/>
      </c>
      <c r="D35" s="2">
        <f>IFERROR(INDEX(tblUsers[Overdue Tasks],9),"")</f>
        <v/>
      </c>
      <c r="E35" s="2">
        <f>IFERROR(INDEX(tblUsers[Logged Hours],9),"")</f>
        <v/>
      </c>
      <c r="F35" s="2">
        <f>IFERROR(INDEX(tblUsers[Utilization %],9),"")</f>
        <v/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>
        <f>IFERROR(INDEX(tblUsers[Full Name],10),"")</f>
        <v/>
      </c>
      <c r="B36" s="2">
        <f>IFERROR(INDEX(tblUsers[Department],10),"")</f>
        <v/>
      </c>
      <c r="C36" s="2">
        <f>IFERROR(INDEX(tblUsers[Active Tasks],10),"")</f>
        <v/>
      </c>
      <c r="D36" s="2">
        <f>IFERROR(INDEX(tblUsers[Overdue Tasks],10),"")</f>
        <v/>
      </c>
      <c r="E36" s="2">
        <f>IFERROR(INDEX(tblUsers[Logged Hours],10),"")</f>
        <v/>
      </c>
      <c r="F36" s="2">
        <f>IFERROR(INDEX(tblUsers[Utilization %],10),"")</f>
        <v/>
      </c>
      <c r="G36" s="2" t="n"/>
      <c r="H36" s="2" t="n"/>
      <c r="I36" s="2" t="n"/>
      <c r="J36" s="2" t="n"/>
      <c r="K36" s="2" t="n"/>
      <c r="L36" s="2" t="n"/>
      <c r="M36" s="2" t="n"/>
      <c r="N36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66666"/>
    <outlinePr summaryBelow="1" summaryRight="1"/>
    <pageSetUpPr/>
  </sheetPr>
  <dimension ref="A1:N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inlineStr">
        <is>
          <t>Master Management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Central dropdown lists for every module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Project_Status</t>
        </is>
      </c>
      <c r="B5" s="17" t="inlineStr">
        <is>
          <t>Task_Status</t>
        </is>
      </c>
      <c r="C5" s="17" t="inlineStr">
        <is>
          <t>Priority</t>
        </is>
      </c>
      <c r="D5" s="17" t="inlineStr">
        <is>
          <t>Health</t>
        </is>
      </c>
      <c r="E5" s="17" t="inlineStr">
        <is>
          <t>Issue_Status</t>
        </is>
      </c>
      <c r="F5" s="17" t="inlineStr">
        <is>
          <t>Issue_Type</t>
        </is>
      </c>
      <c r="G5" s="17" t="inlineStr">
        <is>
          <t>Risk_Status</t>
        </is>
      </c>
      <c r="H5" s="17" t="inlineStr">
        <is>
          <t>Billable</t>
        </is>
      </c>
      <c r="I5" s="17" t="inlineStr">
        <is>
          <t>Department</t>
        </is>
      </c>
      <c r="J5" s="17" t="inlineStr">
        <is>
          <t>Role</t>
        </is>
      </c>
      <c r="K5" s="17" t="inlineStr">
        <is>
          <t>Activity_Type</t>
        </is>
      </c>
      <c r="L5" s="17" t="inlineStr">
        <is>
          <t>Document_Type</t>
        </is>
      </c>
      <c r="M5" s="2" t="n"/>
      <c r="N5" s="2" t="n"/>
    </row>
    <row r="6">
      <c r="A6" s="26" t="inlineStr">
        <is>
          <t>Not Started</t>
        </is>
      </c>
      <c r="B6" s="26" t="inlineStr">
        <is>
          <t>Not Started</t>
        </is>
      </c>
      <c r="C6" s="26" t="inlineStr">
        <is>
          <t>Critical</t>
        </is>
      </c>
      <c r="D6" s="26" t="inlineStr">
        <is>
          <t>On Track</t>
        </is>
      </c>
      <c r="E6" s="26" t="inlineStr">
        <is>
          <t>Open</t>
        </is>
      </c>
      <c r="F6" s="26" t="inlineStr">
        <is>
          <t>Bug</t>
        </is>
      </c>
      <c r="G6" s="26" t="inlineStr">
        <is>
          <t>Open</t>
        </is>
      </c>
      <c r="H6" s="26" t="inlineStr">
        <is>
          <t>Billable</t>
        </is>
      </c>
      <c r="I6" s="26" t="inlineStr">
        <is>
          <t>PMO</t>
        </is>
      </c>
      <c r="J6" s="26" t="inlineStr">
        <is>
          <t>Project Manager</t>
        </is>
      </c>
      <c r="K6" s="26" t="inlineStr">
        <is>
          <t>Comment</t>
        </is>
      </c>
      <c r="L6" s="26" t="inlineStr">
        <is>
          <t>BRD</t>
        </is>
      </c>
      <c r="M6" s="2" t="n"/>
      <c r="N6" s="2" t="n"/>
    </row>
    <row r="7">
      <c r="A7" s="26" t="inlineStr">
        <is>
          <t>Planning</t>
        </is>
      </c>
      <c r="B7" s="26" t="inlineStr">
        <is>
          <t>In Progress</t>
        </is>
      </c>
      <c r="C7" s="26" t="inlineStr">
        <is>
          <t>High</t>
        </is>
      </c>
      <c r="D7" s="26" t="inlineStr">
        <is>
          <t>At Risk</t>
        </is>
      </c>
      <c r="E7" s="26" t="inlineStr">
        <is>
          <t>In Progress</t>
        </is>
      </c>
      <c r="F7" s="26" t="inlineStr">
        <is>
          <t>Change Request</t>
        </is>
      </c>
      <c r="G7" s="26" t="inlineStr">
        <is>
          <t>Mitigating</t>
        </is>
      </c>
      <c r="H7" s="26" t="inlineStr">
        <is>
          <t>Non-Billable</t>
        </is>
      </c>
      <c r="I7" s="26" t="inlineStr">
        <is>
          <t>Engineering</t>
        </is>
      </c>
      <c r="J7" s="26" t="inlineStr">
        <is>
          <t>Business Analyst</t>
        </is>
      </c>
      <c r="K7" s="26" t="inlineStr">
        <is>
          <t>Status Change</t>
        </is>
      </c>
      <c r="L7" s="26" t="inlineStr">
        <is>
          <t>Design</t>
        </is>
      </c>
      <c r="M7" s="2" t="n"/>
      <c r="N7" s="2" t="n"/>
    </row>
    <row r="8">
      <c r="A8" s="26" t="inlineStr">
        <is>
          <t>In Progress</t>
        </is>
      </c>
      <c r="B8" s="26" t="inlineStr">
        <is>
          <t>Blocked</t>
        </is>
      </c>
      <c r="C8" s="26" t="inlineStr">
        <is>
          <t>Medium</t>
        </is>
      </c>
      <c r="D8" s="26" t="inlineStr">
        <is>
          <t>Overdue</t>
        </is>
      </c>
      <c r="E8" s="26" t="inlineStr">
        <is>
          <t>Waiting</t>
        </is>
      </c>
      <c r="F8" s="26" t="inlineStr">
        <is>
          <t>Support</t>
        </is>
      </c>
      <c r="G8" s="26" t="inlineStr">
        <is>
          <t>Accepted</t>
        </is>
      </c>
      <c r="H8" s="2" t="n"/>
      <c r="I8" s="26" t="inlineStr">
        <is>
          <t>Design</t>
        </is>
      </c>
      <c r="J8" s="26" t="inlineStr">
        <is>
          <t>Developer</t>
        </is>
      </c>
      <c r="K8" s="26" t="inlineStr">
        <is>
          <t>File Uploaded</t>
        </is>
      </c>
      <c r="L8" s="26" t="inlineStr">
        <is>
          <t>Test Evidence</t>
        </is>
      </c>
      <c r="M8" s="2" t="n"/>
      <c r="N8" s="2" t="n"/>
    </row>
    <row r="9">
      <c r="A9" s="26" t="inlineStr">
        <is>
          <t>On Hold</t>
        </is>
      </c>
      <c r="B9" s="26" t="inlineStr">
        <is>
          <t>On Hold</t>
        </is>
      </c>
      <c r="C9" s="26" t="inlineStr">
        <is>
          <t>Low</t>
        </is>
      </c>
      <c r="D9" s="26" t="inlineStr">
        <is>
          <t>Blocked</t>
        </is>
      </c>
      <c r="E9" s="26" t="inlineStr">
        <is>
          <t>Resolved</t>
        </is>
      </c>
      <c r="F9" s="26" t="inlineStr">
        <is>
          <t>Dependency</t>
        </is>
      </c>
      <c r="G9" s="26" t="inlineStr">
        <is>
          <t>Closed</t>
        </is>
      </c>
      <c r="H9" s="2" t="n"/>
      <c r="I9" s="26" t="inlineStr">
        <is>
          <t>QA</t>
        </is>
      </c>
      <c r="J9" s="26" t="inlineStr">
        <is>
          <t>Designer</t>
        </is>
      </c>
      <c r="K9" s="26" t="inlineStr">
        <is>
          <t>Meeting</t>
        </is>
      </c>
      <c r="L9" s="26" t="inlineStr">
        <is>
          <t>SOP</t>
        </is>
      </c>
      <c r="M9" s="2" t="n"/>
      <c r="N9" s="2" t="n"/>
    </row>
    <row r="10">
      <c r="A10" s="26" t="inlineStr">
        <is>
          <t>Completed</t>
        </is>
      </c>
      <c r="B10" s="26" t="inlineStr">
        <is>
          <t>In Review</t>
        </is>
      </c>
      <c r="C10" s="2" t="n"/>
      <c r="D10" s="26" t="inlineStr">
        <is>
          <t>Completed</t>
        </is>
      </c>
      <c r="E10" s="26" t="inlineStr">
        <is>
          <t>Closed</t>
        </is>
      </c>
      <c r="F10" s="26" t="inlineStr">
        <is>
          <t>Decision</t>
        </is>
      </c>
      <c r="G10" s="26" t="inlineStr">
        <is>
          <t>Escalated</t>
        </is>
      </c>
      <c r="H10" s="2" t="n"/>
      <c r="I10" s="26" t="inlineStr">
        <is>
          <t>Operations</t>
        </is>
      </c>
      <c r="J10" s="26" t="inlineStr">
        <is>
          <t>QA Engineer</t>
        </is>
      </c>
      <c r="K10" s="26" t="inlineStr">
        <is>
          <t>Approval</t>
        </is>
      </c>
      <c r="L10" s="26" t="inlineStr">
        <is>
          <t>Minutes</t>
        </is>
      </c>
      <c r="M10" s="2" t="n"/>
      <c r="N10" s="2" t="n"/>
    </row>
    <row r="11">
      <c r="A11" s="26" t="inlineStr">
        <is>
          <t>Cancelled</t>
        </is>
      </c>
      <c r="B11" s="26" t="inlineStr">
        <is>
          <t>Completed</t>
        </is>
      </c>
      <c r="C11" s="2" t="n"/>
      <c r="D11" s="26" t="inlineStr">
        <is>
          <t>Not Started</t>
        </is>
      </c>
      <c r="E11" s="26" t="inlineStr">
        <is>
          <t>Rejected</t>
        </is>
      </c>
      <c r="F11" s="26" t="inlineStr">
        <is>
          <t>Blocker</t>
        </is>
      </c>
      <c r="G11" s="2" t="n"/>
      <c r="H11" s="2" t="n"/>
      <c r="I11" s="26" t="inlineStr">
        <is>
          <t>Finance</t>
        </is>
      </c>
      <c r="J11" s="26" t="inlineStr">
        <is>
          <t>DevOps</t>
        </is>
      </c>
      <c r="K11" s="26" t="inlineStr">
        <is>
          <t>Escalation</t>
        </is>
      </c>
      <c r="L11" s="26" t="inlineStr">
        <is>
          <t>Contract</t>
        </is>
      </c>
      <c r="M11" s="2" t="n"/>
      <c r="N11" s="2" t="n"/>
    </row>
    <row r="12">
      <c r="A12" s="26" t="inlineStr">
        <is>
          <t>Archived</t>
        </is>
      </c>
      <c r="B12" s="26" t="inlineStr">
        <is>
          <t>Cancelled</t>
        </is>
      </c>
      <c r="C12" s="2" t="n"/>
      <c r="D12" s="2" t="n"/>
      <c r="E12" s="2" t="n"/>
      <c r="F12" s="2" t="n"/>
      <c r="G12" s="2" t="n"/>
      <c r="H12" s="2" t="n"/>
      <c r="I12" s="26" t="inlineStr">
        <is>
          <t>Sales</t>
        </is>
      </c>
      <c r="J12" s="26" t="inlineStr">
        <is>
          <t>Stakeholder</t>
        </is>
      </c>
      <c r="K12" s="26" t="inlineStr">
        <is>
          <t>Decision</t>
        </is>
      </c>
      <c r="L12" s="26" t="inlineStr">
        <is>
          <t>Report</t>
        </is>
      </c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6" t="inlineStr">
        <is>
          <t>Support</t>
        </is>
      </c>
      <c r="J13" s="26" t="inlineStr">
        <is>
          <t>Approver</t>
        </is>
      </c>
      <c r="K13" s="2" t="n"/>
      <c r="L13" s="26" t="inlineStr">
        <is>
          <t>Other</t>
        </is>
      </c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6" t="inlineStr">
        <is>
          <t>HR</t>
        </is>
      </c>
      <c r="J14" s="26" t="inlineStr">
        <is>
          <t>Finance Owner</t>
        </is>
      </c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6" t="inlineStr">
        <is>
          <t>Legal</t>
        </is>
      </c>
      <c r="J15" s="2" t="n"/>
      <c r="K15" s="2" t="n"/>
      <c r="L15" s="2" t="n"/>
      <c r="M15" s="2" t="n"/>
      <c r="N15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666666"/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Settings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Workbook configuration and report controls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9" t="inlineStr">
        <is>
          <t>Company Name</t>
        </is>
      </c>
      <c r="B5" s="2" t="inlineStr">
        <is>
          <t>Your Company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9" t="inlineStr">
        <is>
          <t>Default Currency</t>
        </is>
      </c>
      <c r="B6" s="2" t="inlineStr">
        <is>
          <t>INR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9" t="inlineStr">
        <is>
          <t>Reporting Date</t>
        </is>
      </c>
      <c r="B7" s="2">
        <f>TODAY()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9" t="inlineStr">
        <is>
          <t>Portfolio Owner</t>
        </is>
      </c>
      <c r="B8" s="2" t="inlineStr">
        <is>
          <t>PMO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9" t="inlineStr">
        <is>
          <t>Default Working Week</t>
        </is>
      </c>
      <c r="B9" s="2" t="inlineStr">
        <is>
          <t>Mon-Fri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9" t="inlineStr">
        <is>
          <t>Version</t>
        </is>
      </c>
      <c r="B10" s="2" t="inlineStr">
        <is>
          <t>2.0 Zoho-style workspace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21.xml><?xml version="1.0" encoding="utf-8"?>
<worksheet xmlns="http://schemas.openxmlformats.org/spreadsheetml/2006/main">
  <sheetPr>
    <tabColor rgb="00666666"/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0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0" customHeight="1">
      <c r="A1" s="1" t="inlineStr">
        <is>
          <t>How To Use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Operating notes for the Zoho-style workbook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4" t="inlineStr">
        <is>
          <t>Home</t>
        </is>
      </c>
      <c r="B3" s="4" t="inlineStr">
        <is>
          <t>Dashboard</t>
        </is>
      </c>
      <c r="C3" s="4" t="inlineStr">
        <is>
          <t>Workspace</t>
        </is>
      </c>
      <c r="D3" s="4" t="inlineStr">
        <is>
          <t>Projects</t>
        </is>
      </c>
      <c r="E3" s="4" t="inlineStr">
        <is>
          <t>Tasks</t>
        </is>
      </c>
      <c r="F3" s="4" t="inlineStr">
        <is>
          <t>Issues</t>
        </is>
      </c>
      <c r="G3" s="4" t="inlineStr">
        <is>
          <t>Timesheets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>
        <v>1</v>
      </c>
      <c r="B5" s="2" t="inlineStr">
        <is>
          <t>Start from Home or Portfolio Dashboard for overall navigation.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>
        <v>2</v>
      </c>
      <c r="B6" s="2" t="inlineStr">
        <is>
          <t>Use Projects as the portfolio master; every task, issue, risk, milestone, document and timesheet row links back to Project ID.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>
        <v>3</v>
      </c>
      <c r="B7" s="2" t="inlineStr">
        <is>
          <t>Use Project Workspace to pick one Project ID and view its task snapshot and activity stream.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>
        <v>4</v>
      </c>
      <c r="B8" s="2" t="inlineStr">
        <is>
          <t>Use Kanban View for a simple status board.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>
        <v>5</v>
      </c>
      <c r="B9" s="2" t="inlineStr">
        <is>
          <t>Use Timesheets for effort tracking and Reports for overdue/workload outputs.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>
        <v>6</v>
      </c>
      <c r="B10" s="2" t="inlineStr">
        <is>
          <t>Add dropdown values in Master Management before expanding company-specific fields.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23A5A"/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36" t="inlineStr">
        <is>
          <t>Executive Dashboard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Desktop PMO dashboard for portfolio leadership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37" t="inlineStr">
        <is>
          <t>Home</t>
        </is>
      </c>
      <c r="B3" s="37" t="inlineStr">
        <is>
          <t>Exec</t>
        </is>
      </c>
      <c r="C3" s="37" t="inlineStr">
        <is>
          <t>Compact</t>
        </is>
      </c>
      <c r="D3" s="37" t="inlineStr">
        <is>
          <t>Project</t>
        </is>
      </c>
      <c r="E3" s="37" t="inlineStr">
        <is>
          <t>Tasks</t>
        </is>
      </c>
      <c r="F3" s="37" t="inlineStr">
        <is>
          <t>Kanban</t>
        </is>
      </c>
      <c r="G3" s="37" t="inlineStr">
        <is>
          <t>Gantt</t>
        </is>
      </c>
      <c r="H3" s="37" t="inlineStr">
        <is>
          <t>Reports</t>
        </is>
      </c>
      <c r="I3" s="37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7">
        <f>COUNTA(tblProjects[Project ID])</f>
        <v/>
      </c>
      <c r="B5" s="29" t="n"/>
      <c r="C5" s="30" t="n"/>
      <c r="D5" s="8">
        <f>COUNTIFS(tblProjects[Manual Status],"In Progress")</f>
        <v/>
      </c>
      <c r="E5" s="29" t="n"/>
      <c r="F5" s="30" t="n"/>
      <c r="G5" s="9">
        <f>COUNTIFS(tblProjects[Auto Health],"At Risk")+COUNTIFS(tblProjects[Auto Health],"Overdue")</f>
        <v/>
      </c>
      <c r="H5" s="29" t="n"/>
      <c r="I5" s="30" t="n"/>
      <c r="J5" s="10">
        <f>COUNTIFS(tblProjects[Manual Status],"Completed")</f>
        <v/>
      </c>
      <c r="K5" s="29" t="n"/>
      <c r="L5" s="30" t="n"/>
      <c r="M5" s="2" t="n"/>
      <c r="N5" s="2" t="n"/>
    </row>
    <row r="6">
      <c r="A6" s="31" t="n"/>
      <c r="C6" s="32" t="n"/>
      <c r="D6" s="31" t="n"/>
      <c r="F6" s="32" t="n"/>
      <c r="G6" s="31" t="n"/>
      <c r="I6" s="32" t="n"/>
      <c r="J6" s="31" t="n"/>
      <c r="L6" s="32" t="n"/>
      <c r="M6" s="2" t="n"/>
      <c r="N6" s="2" t="n"/>
    </row>
    <row r="7">
      <c r="A7" s="33" t="n"/>
      <c r="B7" s="34" t="n"/>
      <c r="C7" s="35" t="n"/>
      <c r="D7" s="33" t="n"/>
      <c r="E7" s="34" t="n"/>
      <c r="F7" s="35" t="n"/>
      <c r="G7" s="33" t="n"/>
      <c r="H7" s="34" t="n"/>
      <c r="I7" s="35" t="n"/>
      <c r="J7" s="33" t="n"/>
      <c r="K7" s="34" t="n"/>
      <c r="L7" s="35" t="n"/>
      <c r="M7" s="2" t="n"/>
      <c r="N7" s="2" t="n"/>
    </row>
    <row r="8">
      <c r="A8" s="11" t="inlineStr">
        <is>
          <t>Total Projects</t>
        </is>
      </c>
      <c r="B8" s="27" t="n"/>
      <c r="C8" s="28" t="n"/>
      <c r="D8" s="11" t="inlineStr">
        <is>
          <t>Active Projects</t>
        </is>
      </c>
      <c r="E8" s="27" t="n"/>
      <c r="F8" s="28" t="n"/>
      <c r="G8" s="11" t="inlineStr">
        <is>
          <t>At Risk / Overdue</t>
        </is>
      </c>
      <c r="H8" s="27" t="n"/>
      <c r="I8" s="28" t="n"/>
      <c r="J8" s="11" t="inlineStr">
        <is>
          <t>Completed Projects</t>
        </is>
      </c>
      <c r="K8" s="27" t="n"/>
      <c r="L8" s="28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2">
        <f>COUNTIFS(tblIssues[Status],"&lt;&gt;Closed",tblIssues[Status],"&lt;&gt;Resolved")</f>
        <v/>
      </c>
      <c r="B10" s="29" t="n"/>
      <c r="C10" s="30" t="n"/>
      <c r="D10" s="13">
        <f>COUNTIFS(tblRisks[Status],"&lt;&gt;Closed")</f>
        <v/>
      </c>
      <c r="E10" s="29" t="n"/>
      <c r="F10" s="30" t="n"/>
      <c r="G10" s="14">
        <f>SUM(tblTimesheets[Hours])</f>
        <v/>
      </c>
      <c r="H10" s="29" t="n"/>
      <c r="I10" s="30" t="n"/>
      <c r="J10" s="15">
        <f>SUM(tblProjects[Actual Cost])-SUM(tblProjects[Budget])</f>
        <v/>
      </c>
      <c r="K10" s="29" t="n"/>
      <c r="L10" s="30" t="n"/>
      <c r="M10" s="2" t="n"/>
      <c r="N10" s="2" t="n"/>
    </row>
    <row r="11">
      <c r="A11" s="31" t="n"/>
      <c r="C11" s="32" t="n"/>
      <c r="D11" s="31" t="n"/>
      <c r="F11" s="32" t="n"/>
      <c r="G11" s="31" t="n"/>
      <c r="I11" s="32" t="n"/>
      <c r="J11" s="31" t="n"/>
      <c r="L11" s="32" t="n"/>
      <c r="M11" s="2" t="n"/>
      <c r="N11" s="2" t="n"/>
    </row>
    <row r="12">
      <c r="A12" s="33" t="n"/>
      <c r="B12" s="34" t="n"/>
      <c r="C12" s="35" t="n"/>
      <c r="D12" s="33" t="n"/>
      <c r="E12" s="34" t="n"/>
      <c r="F12" s="35" t="n"/>
      <c r="G12" s="33" t="n"/>
      <c r="H12" s="34" t="n"/>
      <c r="I12" s="35" t="n"/>
      <c r="J12" s="33" t="n"/>
      <c r="K12" s="34" t="n"/>
      <c r="L12" s="35" t="n"/>
      <c r="M12" s="2" t="n"/>
      <c r="N12" s="2" t="n"/>
    </row>
    <row r="13">
      <c r="A13" s="11" t="inlineStr">
        <is>
          <t>Open Issues</t>
        </is>
      </c>
      <c r="B13" s="27" t="n"/>
      <c r="C13" s="28" t="n"/>
      <c r="D13" s="11" t="inlineStr">
        <is>
          <t>Open Risks</t>
        </is>
      </c>
      <c r="E13" s="27" t="n"/>
      <c r="F13" s="28" t="n"/>
      <c r="G13" s="11" t="inlineStr">
        <is>
          <t>Logged Hours</t>
        </is>
      </c>
      <c r="H13" s="27" t="n"/>
      <c r="I13" s="28" t="n"/>
      <c r="J13" s="11" t="inlineStr">
        <is>
          <t>Budget Variance</t>
        </is>
      </c>
      <c r="K13" s="27" t="n"/>
      <c r="L13" s="28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6" t="inlineStr">
        <is>
          <t>Project Health</t>
        </is>
      </c>
      <c r="B16" s="2" t="n"/>
      <c r="C16" s="2" t="n"/>
      <c r="D16" s="16" t="inlineStr">
        <is>
          <t>Task Status</t>
        </is>
      </c>
      <c r="E16" s="2" t="n"/>
      <c r="F16" s="2" t="n"/>
      <c r="G16" s="16" t="inlineStr">
        <is>
          <t>Priority Mix</t>
        </is>
      </c>
      <c r="H16" s="2" t="n"/>
      <c r="I16" s="2" t="n"/>
      <c r="J16" s="16" t="inlineStr">
        <is>
          <t>User Workload</t>
        </is>
      </c>
      <c r="K16" s="2" t="n"/>
      <c r="L16" s="2" t="n"/>
      <c r="M16" s="2" t="n"/>
      <c r="N16" s="2" t="n"/>
    </row>
    <row r="17">
      <c r="A17" s="17" t="inlineStr">
        <is>
          <t>Health</t>
        </is>
      </c>
      <c r="B17" s="17" t="inlineStr">
        <is>
          <t>Count</t>
        </is>
      </c>
      <c r="C17" s="2" t="n"/>
      <c r="D17" s="17" t="inlineStr">
        <is>
          <t>Status</t>
        </is>
      </c>
      <c r="E17" s="17" t="inlineStr">
        <is>
          <t>Count</t>
        </is>
      </c>
      <c r="F17" s="2" t="n"/>
      <c r="G17" s="17" t="inlineStr">
        <is>
          <t>Priority</t>
        </is>
      </c>
      <c r="H17" s="17" t="inlineStr">
        <is>
          <t>Count</t>
        </is>
      </c>
      <c r="I17" s="2" t="n"/>
      <c r="J17" s="17" t="inlineStr">
        <is>
          <t>User</t>
        </is>
      </c>
      <c r="K17" s="17" t="inlineStr">
        <is>
          <t>Active Tasks</t>
        </is>
      </c>
      <c r="L17" s="2" t="n"/>
      <c r="M17" s="2" t="n"/>
      <c r="N17" s="2" t="n"/>
    </row>
    <row r="18">
      <c r="A18" s="2" t="inlineStr">
        <is>
          <t>On Track</t>
        </is>
      </c>
      <c r="B18" s="2">
        <f>COUNTIF(tblProjects[Auto Health],A18)</f>
        <v/>
      </c>
      <c r="C18" s="2" t="n"/>
      <c r="D18" s="2" t="inlineStr">
        <is>
          <t>On Track</t>
        </is>
      </c>
      <c r="E18" s="2">
        <f>COUNTIF(tblTasks[Auto Health],D18)</f>
        <v/>
      </c>
      <c r="F18" s="2" t="n"/>
      <c r="G18" s="2" t="inlineStr">
        <is>
          <t>Critical</t>
        </is>
      </c>
      <c r="H18" s="2">
        <f>COUNTIF(tblTasks[Priority],G18)</f>
        <v/>
      </c>
      <c r="I18" s="2" t="n"/>
      <c r="J18" s="2">
        <f>Users!B6</f>
        <v/>
      </c>
      <c r="K18" s="2">
        <f>Users!I6</f>
        <v/>
      </c>
      <c r="L18" s="2" t="n"/>
      <c r="M18" s="2" t="n"/>
      <c r="N18" s="2" t="n"/>
    </row>
    <row r="19">
      <c r="A19" s="2" t="inlineStr">
        <is>
          <t>At Risk</t>
        </is>
      </c>
      <c r="B19" s="2">
        <f>COUNTIF(tblProjects[Auto Health],A19)</f>
        <v/>
      </c>
      <c r="C19" s="2" t="n"/>
      <c r="D19" s="2" t="inlineStr">
        <is>
          <t>At Risk</t>
        </is>
      </c>
      <c r="E19" s="2">
        <f>COUNTIF(tblTasks[Auto Health],D19)</f>
        <v/>
      </c>
      <c r="F19" s="2" t="n"/>
      <c r="G19" s="2" t="inlineStr">
        <is>
          <t>High</t>
        </is>
      </c>
      <c r="H19" s="2">
        <f>COUNTIF(tblTasks[Priority],G19)</f>
        <v/>
      </c>
      <c r="I19" s="2" t="n"/>
      <c r="J19" s="2">
        <f>Users!B7</f>
        <v/>
      </c>
      <c r="K19" s="2">
        <f>Users!I7</f>
        <v/>
      </c>
      <c r="L19" s="2" t="n"/>
      <c r="M19" s="2" t="n"/>
      <c r="N19" s="2" t="n"/>
    </row>
    <row r="20">
      <c r="A20" s="2" t="inlineStr">
        <is>
          <t>Overdue</t>
        </is>
      </c>
      <c r="B20" s="2">
        <f>COUNTIF(tblProjects[Auto Health],A20)</f>
        <v/>
      </c>
      <c r="C20" s="2" t="n"/>
      <c r="D20" s="2" t="inlineStr">
        <is>
          <t>Overdue</t>
        </is>
      </c>
      <c r="E20" s="2">
        <f>COUNTIF(tblTasks[Auto Health],D20)</f>
        <v/>
      </c>
      <c r="F20" s="2" t="n"/>
      <c r="G20" s="2" t="inlineStr">
        <is>
          <t>Medium</t>
        </is>
      </c>
      <c r="H20" s="2">
        <f>COUNTIF(tblTasks[Priority],G20)</f>
        <v/>
      </c>
      <c r="I20" s="2" t="n"/>
      <c r="J20" s="2">
        <f>Users!B8</f>
        <v/>
      </c>
      <c r="K20" s="2">
        <f>Users!I8</f>
        <v/>
      </c>
      <c r="L20" s="2" t="n"/>
      <c r="M20" s="2" t="n"/>
      <c r="N20" s="2" t="n"/>
    </row>
    <row r="21">
      <c r="A21" s="2" t="inlineStr">
        <is>
          <t>Blocked</t>
        </is>
      </c>
      <c r="B21" s="2">
        <f>COUNTIF(tblProjects[Auto Health],A21)</f>
        <v/>
      </c>
      <c r="C21" s="2" t="n"/>
      <c r="D21" s="2" t="inlineStr">
        <is>
          <t>Blocked</t>
        </is>
      </c>
      <c r="E21" s="2">
        <f>COUNTIF(tblTasks[Auto Health],D21)</f>
        <v/>
      </c>
      <c r="F21" s="2" t="n"/>
      <c r="G21" s="2" t="inlineStr">
        <is>
          <t>Low</t>
        </is>
      </c>
      <c r="H21" s="2">
        <f>COUNTIF(tblTasks[Priority],G21)</f>
        <v/>
      </c>
      <c r="I21" s="2" t="n"/>
      <c r="J21" s="2">
        <f>Users!B9</f>
        <v/>
      </c>
      <c r="K21" s="2">
        <f>Users!I9</f>
        <v/>
      </c>
      <c r="L21" s="2" t="n"/>
      <c r="M21" s="2" t="n"/>
      <c r="N21" s="2" t="n"/>
    </row>
    <row r="22">
      <c r="A22" s="2" t="inlineStr">
        <is>
          <t>Completed</t>
        </is>
      </c>
      <c r="B22" s="2">
        <f>COUNTIF(tblProjects[Auto Health],A22)</f>
        <v/>
      </c>
      <c r="C22" s="2" t="n"/>
      <c r="D22" s="2" t="inlineStr">
        <is>
          <t>Completed</t>
        </is>
      </c>
      <c r="E22" s="2">
        <f>COUNTIF(tblTasks[Auto Health],D22)</f>
        <v/>
      </c>
      <c r="F22" s="2" t="n"/>
      <c r="G22" s="2" t="n"/>
      <c r="H22" s="2" t="n"/>
      <c r="I22" s="2" t="n"/>
      <c r="J22" s="2">
        <f>Users!B10</f>
        <v/>
      </c>
      <c r="K22" s="2">
        <f>Users!I10</f>
        <v/>
      </c>
      <c r="L22" s="2" t="n"/>
      <c r="M22" s="2" t="n"/>
      <c r="N22" s="2" t="n"/>
    </row>
    <row r="23">
      <c r="A23" s="2" t="inlineStr">
        <is>
          <t>Not Started</t>
        </is>
      </c>
      <c r="B23" s="2">
        <f>COUNTIF(tblProjects[Auto Health],A23)</f>
        <v/>
      </c>
      <c r="C23" s="2" t="n"/>
      <c r="D23" s="2" t="inlineStr">
        <is>
          <t>Not Started</t>
        </is>
      </c>
      <c r="E23" s="2">
        <f>COUNTIF(tblTasks[Auto Health],D23)</f>
        <v/>
      </c>
      <c r="F23" s="2" t="n"/>
      <c r="G23" s="2" t="n"/>
      <c r="H23" s="2" t="n"/>
      <c r="I23" s="2" t="n"/>
      <c r="J23" s="2">
        <f>Users!B11</f>
        <v/>
      </c>
      <c r="K23" s="2">
        <f>Users!I11</f>
        <v/>
      </c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8" t="inlineStr">
        <is>
          <t>Portfolio List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17" t="inlineStr">
        <is>
          <t>Project ID</t>
        </is>
      </c>
      <c r="B27" s="17" t="inlineStr">
        <is>
          <t>Project</t>
        </is>
      </c>
      <c r="C27" s="17" t="inlineStr">
        <is>
          <t>Status</t>
        </is>
      </c>
      <c r="D27" s="17" t="inlineStr">
        <is>
          <t>Priority</t>
        </is>
      </c>
      <c r="E27" s="17" t="inlineStr">
        <is>
          <t>Progress</t>
        </is>
      </c>
      <c r="F27" s="17" t="inlineStr">
        <is>
          <t>Health</t>
        </is>
      </c>
      <c r="G27" s="17" t="inlineStr">
        <is>
          <t>Open Issues</t>
        </is>
      </c>
      <c r="H27" s="17" t="inlineStr">
        <is>
          <t>Open Risks</t>
        </is>
      </c>
      <c r="I27" s="17" t="inlineStr">
        <is>
          <t>Hours</t>
        </is>
      </c>
      <c r="J27" s="2" t="n"/>
      <c r="K27" s="2" t="n"/>
      <c r="L27" s="2" t="n"/>
      <c r="M27" s="2" t="n"/>
      <c r="N27" s="2" t="n"/>
    </row>
    <row r="28">
      <c r="A28" s="2">
        <f>IFERROR(INDEX(tblProjects[Project ID],1),"")</f>
        <v/>
      </c>
      <c r="B28" s="2">
        <f>IFERROR(INDEX(tblProjects[Project Name],1),"")</f>
        <v/>
      </c>
      <c r="C28" s="2">
        <f>IFERROR(INDEX(tblProjects[Manual Status],1),"")</f>
        <v/>
      </c>
      <c r="D28" s="2">
        <f>IFERROR(INDEX(tblProjects[Priority],1),"")</f>
        <v/>
      </c>
      <c r="E28" s="2">
        <f>IFERROR(INDEX(tblProjects[Progress %],1),"")</f>
        <v/>
      </c>
      <c r="F28" s="2">
        <f>IFERROR(INDEX(tblProjects[Auto Health],1),"")</f>
        <v/>
      </c>
      <c r="G28" s="2">
        <f>IFERROR(INDEX(tblProjects[Open Issues],1),"")</f>
        <v/>
      </c>
      <c r="H28" s="2">
        <f>IFERROR(INDEX(tblProjects[Open Risks],1),"")</f>
        <v/>
      </c>
      <c r="I28" s="2">
        <f>IFERROR(INDEX(tblProjects[Logged Hours],1),"")</f>
        <v/>
      </c>
      <c r="J28" s="2" t="n"/>
      <c r="K28" s="2" t="n"/>
      <c r="L28" s="2" t="n"/>
      <c r="M28" s="2" t="n"/>
      <c r="N28" s="2" t="n"/>
    </row>
    <row r="29">
      <c r="A29" s="2">
        <f>IFERROR(INDEX(tblProjects[Project ID],2),"")</f>
        <v/>
      </c>
      <c r="B29" s="2">
        <f>IFERROR(INDEX(tblProjects[Project Name],2),"")</f>
        <v/>
      </c>
      <c r="C29" s="2">
        <f>IFERROR(INDEX(tblProjects[Manual Status],2),"")</f>
        <v/>
      </c>
      <c r="D29" s="2">
        <f>IFERROR(INDEX(tblProjects[Priority],2),"")</f>
        <v/>
      </c>
      <c r="E29" s="2">
        <f>IFERROR(INDEX(tblProjects[Progress %],2),"")</f>
        <v/>
      </c>
      <c r="F29" s="2">
        <f>IFERROR(INDEX(tblProjects[Auto Health],2),"")</f>
        <v/>
      </c>
      <c r="G29" s="2">
        <f>IFERROR(INDEX(tblProjects[Open Issues],2),"")</f>
        <v/>
      </c>
      <c r="H29" s="2">
        <f>IFERROR(INDEX(tblProjects[Open Risks],2),"")</f>
        <v/>
      </c>
      <c r="I29" s="2">
        <f>IFERROR(INDEX(tblProjects[Logged Hours],2),"")</f>
        <v/>
      </c>
      <c r="J29" s="2" t="n"/>
      <c r="K29" s="2" t="n"/>
      <c r="L29" s="2" t="n"/>
      <c r="M29" s="2" t="n"/>
      <c r="N29" s="2" t="n"/>
    </row>
    <row r="30">
      <c r="A30" s="2">
        <f>IFERROR(INDEX(tblProjects[Project ID],3),"")</f>
        <v/>
      </c>
      <c r="B30" s="2">
        <f>IFERROR(INDEX(tblProjects[Project Name],3),"")</f>
        <v/>
      </c>
      <c r="C30" s="2">
        <f>IFERROR(INDEX(tblProjects[Manual Status],3),"")</f>
        <v/>
      </c>
      <c r="D30" s="2">
        <f>IFERROR(INDEX(tblProjects[Priority],3),"")</f>
        <v/>
      </c>
      <c r="E30" s="2">
        <f>IFERROR(INDEX(tblProjects[Progress %],3),"")</f>
        <v/>
      </c>
      <c r="F30" s="2">
        <f>IFERROR(INDEX(tblProjects[Auto Health],3),"")</f>
        <v/>
      </c>
      <c r="G30" s="2">
        <f>IFERROR(INDEX(tblProjects[Open Issues],3),"")</f>
        <v/>
      </c>
      <c r="H30" s="2">
        <f>IFERROR(INDEX(tblProjects[Open Risks],3),"")</f>
        <v/>
      </c>
      <c r="I30" s="2">
        <f>IFERROR(INDEX(tblProjects[Logged Hours],3),"")</f>
        <v/>
      </c>
      <c r="J30" s="2" t="n"/>
      <c r="K30" s="2" t="n"/>
      <c r="L30" s="2" t="n"/>
      <c r="M30" s="2" t="n"/>
      <c r="N30" s="2" t="n"/>
    </row>
    <row r="31">
      <c r="A31" s="2">
        <f>IFERROR(INDEX(tblProjects[Project ID],4),"")</f>
        <v/>
      </c>
      <c r="B31" s="2">
        <f>IFERROR(INDEX(tblProjects[Project Name],4),"")</f>
        <v/>
      </c>
      <c r="C31" s="2">
        <f>IFERROR(INDEX(tblProjects[Manual Status],4),"")</f>
        <v/>
      </c>
      <c r="D31" s="2">
        <f>IFERROR(INDEX(tblProjects[Priority],4),"")</f>
        <v/>
      </c>
      <c r="E31" s="2">
        <f>IFERROR(INDEX(tblProjects[Progress %],4),"")</f>
        <v/>
      </c>
      <c r="F31" s="2">
        <f>IFERROR(INDEX(tblProjects[Auto Health],4),"")</f>
        <v/>
      </c>
      <c r="G31" s="2">
        <f>IFERROR(INDEX(tblProjects[Open Issues],4),"")</f>
        <v/>
      </c>
      <c r="H31" s="2">
        <f>IFERROR(INDEX(tblProjects[Open Risks],4),"")</f>
        <v/>
      </c>
      <c r="I31" s="2">
        <f>IFERROR(INDEX(tblProjects[Logged Hours],4),"")</f>
        <v/>
      </c>
      <c r="J31" s="2" t="n"/>
      <c r="K31" s="2" t="n"/>
      <c r="L31" s="2" t="n"/>
      <c r="M31" s="2" t="n"/>
      <c r="N31" s="2" t="n"/>
    </row>
    <row r="32">
      <c r="A32" s="2">
        <f>IFERROR(INDEX(tblProjects[Project ID],5),"")</f>
        <v/>
      </c>
      <c r="B32" s="2">
        <f>IFERROR(INDEX(tblProjects[Project Name],5),"")</f>
        <v/>
      </c>
      <c r="C32" s="2">
        <f>IFERROR(INDEX(tblProjects[Manual Status],5),"")</f>
        <v/>
      </c>
      <c r="D32" s="2">
        <f>IFERROR(INDEX(tblProjects[Priority],5),"")</f>
        <v/>
      </c>
      <c r="E32" s="2">
        <f>IFERROR(INDEX(tblProjects[Progress %],5),"")</f>
        <v/>
      </c>
      <c r="F32" s="2">
        <f>IFERROR(INDEX(tblProjects[Auto Health],5),"")</f>
        <v/>
      </c>
      <c r="G32" s="2">
        <f>IFERROR(INDEX(tblProjects[Open Issues],5),"")</f>
        <v/>
      </c>
      <c r="H32" s="2">
        <f>IFERROR(INDEX(tblProjects[Open Risks],5),"")</f>
        <v/>
      </c>
      <c r="I32" s="2">
        <f>IFERROR(INDEX(tblProjects[Logged Hours],5),"")</f>
        <v/>
      </c>
      <c r="J32" s="2" t="n"/>
      <c r="K32" s="2" t="n"/>
      <c r="L32" s="2" t="n"/>
      <c r="M32" s="2" t="n"/>
      <c r="N32" s="2" t="n"/>
    </row>
    <row r="33">
      <c r="A33" s="2">
        <f>IFERROR(INDEX(tblProjects[Project ID],6),"")</f>
        <v/>
      </c>
      <c r="B33" s="2">
        <f>IFERROR(INDEX(tblProjects[Project Name],6),"")</f>
        <v/>
      </c>
      <c r="C33" s="2">
        <f>IFERROR(INDEX(tblProjects[Manual Status],6),"")</f>
        <v/>
      </c>
      <c r="D33" s="2">
        <f>IFERROR(INDEX(tblProjects[Priority],6),"")</f>
        <v/>
      </c>
      <c r="E33" s="2">
        <f>IFERROR(INDEX(tblProjects[Progress %],6),"")</f>
        <v/>
      </c>
      <c r="F33" s="2">
        <f>IFERROR(INDEX(tblProjects[Auto Health],6),"")</f>
        <v/>
      </c>
      <c r="G33" s="2">
        <f>IFERROR(INDEX(tblProjects[Open Issues],6),"")</f>
        <v/>
      </c>
      <c r="H33" s="2">
        <f>IFERROR(INDEX(tblProjects[Open Risks],6),"")</f>
        <v/>
      </c>
      <c r="I33" s="2">
        <f>IFERROR(INDEX(tblProjects[Logged Hours],6),"")</f>
        <v/>
      </c>
      <c r="J33" s="2" t="n"/>
      <c r="K33" s="2" t="n"/>
      <c r="L33" s="2" t="n"/>
      <c r="M33" s="2" t="n"/>
      <c r="N33" s="2" t="n"/>
    </row>
    <row r="34">
      <c r="A34" s="2">
        <f>IFERROR(INDEX(tblProjects[Project ID],7),"")</f>
        <v/>
      </c>
      <c r="B34" s="2">
        <f>IFERROR(INDEX(tblProjects[Project Name],7),"")</f>
        <v/>
      </c>
      <c r="C34" s="2">
        <f>IFERROR(INDEX(tblProjects[Manual Status],7),"")</f>
        <v/>
      </c>
      <c r="D34" s="2">
        <f>IFERROR(INDEX(tblProjects[Priority],7),"")</f>
        <v/>
      </c>
      <c r="E34" s="2">
        <f>IFERROR(INDEX(tblProjects[Progress %],7),"")</f>
        <v/>
      </c>
      <c r="F34" s="2">
        <f>IFERROR(INDEX(tblProjects[Auto Health],7),"")</f>
        <v/>
      </c>
      <c r="G34" s="2">
        <f>IFERROR(INDEX(tblProjects[Open Issues],7),"")</f>
        <v/>
      </c>
      <c r="H34" s="2">
        <f>IFERROR(INDEX(tblProjects[Open Risks],7),"")</f>
        <v/>
      </c>
      <c r="I34" s="2">
        <f>IFERROR(INDEX(tblProjects[Logged Hours],7),"")</f>
        <v/>
      </c>
      <c r="J34" s="2" t="n"/>
      <c r="K34" s="2" t="n"/>
      <c r="L34" s="2" t="n"/>
      <c r="M34" s="2" t="n"/>
      <c r="N34" s="2" t="n"/>
    </row>
    <row r="35">
      <c r="A35" s="2">
        <f>IFERROR(INDEX(tblProjects[Project ID],8),"")</f>
        <v/>
      </c>
      <c r="B35" s="2">
        <f>IFERROR(INDEX(tblProjects[Project Name],8),"")</f>
        <v/>
      </c>
      <c r="C35" s="2">
        <f>IFERROR(INDEX(tblProjects[Manual Status],8),"")</f>
        <v/>
      </c>
      <c r="D35" s="2">
        <f>IFERROR(INDEX(tblProjects[Priority],8),"")</f>
        <v/>
      </c>
      <c r="E35" s="2">
        <f>IFERROR(INDEX(tblProjects[Progress %],8),"")</f>
        <v/>
      </c>
      <c r="F35" s="2">
        <f>IFERROR(INDEX(tblProjects[Auto Health],8),"")</f>
        <v/>
      </c>
      <c r="G35" s="2">
        <f>IFERROR(INDEX(tblProjects[Open Issues],8),"")</f>
        <v/>
      </c>
      <c r="H35" s="2">
        <f>IFERROR(INDEX(tblProjects[Open Risks],8),"")</f>
        <v/>
      </c>
      <c r="I35" s="2">
        <f>IFERROR(INDEX(tblProjects[Logged Hours],8),"")</f>
        <v/>
      </c>
      <c r="J35" s="2" t="n"/>
      <c r="K35" s="2" t="n"/>
      <c r="L35" s="2" t="n"/>
      <c r="M35" s="2" t="n"/>
      <c r="N35" s="2" t="n"/>
    </row>
    <row r="36">
      <c r="A36" s="2">
        <f>IFERROR(INDEX(tblProjects[Project ID],9),"")</f>
        <v/>
      </c>
      <c r="B36" s="2">
        <f>IFERROR(INDEX(tblProjects[Project Name],9),"")</f>
        <v/>
      </c>
      <c r="C36" s="2">
        <f>IFERROR(INDEX(tblProjects[Manual Status],9),"")</f>
        <v/>
      </c>
      <c r="D36" s="2">
        <f>IFERROR(INDEX(tblProjects[Priority],9),"")</f>
        <v/>
      </c>
      <c r="E36" s="2">
        <f>IFERROR(INDEX(tblProjects[Progress %],9),"")</f>
        <v/>
      </c>
      <c r="F36" s="2">
        <f>IFERROR(INDEX(tblProjects[Auto Health],9),"")</f>
        <v/>
      </c>
      <c r="G36" s="2">
        <f>IFERROR(INDEX(tblProjects[Open Issues],9),"")</f>
        <v/>
      </c>
      <c r="H36" s="2">
        <f>IFERROR(INDEX(tblProjects[Open Risks],9),"")</f>
        <v/>
      </c>
      <c r="I36" s="2">
        <f>IFERROR(INDEX(tblProjects[Logged Hours],9),"")</f>
        <v/>
      </c>
      <c r="J36" s="2" t="n"/>
      <c r="K36" s="2" t="n"/>
      <c r="L36" s="2" t="n"/>
      <c r="M36" s="2" t="n"/>
      <c r="N36" s="2" t="n"/>
    </row>
    <row r="37">
      <c r="A37" s="2">
        <f>IFERROR(INDEX(tblProjects[Project ID],10),"")</f>
        <v/>
      </c>
      <c r="B37" s="2">
        <f>IFERROR(INDEX(tblProjects[Project Name],10),"")</f>
        <v/>
      </c>
      <c r="C37" s="2">
        <f>IFERROR(INDEX(tblProjects[Manual Status],10),"")</f>
        <v/>
      </c>
      <c r="D37" s="2">
        <f>IFERROR(INDEX(tblProjects[Priority],10),"")</f>
        <v/>
      </c>
      <c r="E37" s="2">
        <f>IFERROR(INDEX(tblProjects[Progress %],10),"")</f>
        <v/>
      </c>
      <c r="F37" s="2">
        <f>IFERROR(INDEX(tblProjects[Auto Health],10),"")</f>
        <v/>
      </c>
      <c r="G37" s="2">
        <f>IFERROR(INDEX(tblProjects[Open Issues],10),"")</f>
        <v/>
      </c>
      <c r="H37" s="2">
        <f>IFERROR(INDEX(tblProjects[Open Risks],10),"")</f>
        <v/>
      </c>
      <c r="I37" s="2">
        <f>IFERROR(INDEX(tblProjects[Logged Hours],10),"")</f>
        <v/>
      </c>
      <c r="J37" s="2" t="n"/>
      <c r="K37" s="2" t="n"/>
      <c r="L37" s="2" t="n"/>
      <c r="M37" s="2" t="n"/>
      <c r="N37" s="2" t="n"/>
    </row>
  </sheetData>
  <mergeCells count="18">
    <mergeCell ref="G5:I7"/>
    <mergeCell ref="A5:C7"/>
    <mergeCell ref="D13:F13"/>
    <mergeCell ref="A13:C13"/>
    <mergeCell ref="D10:F12"/>
    <mergeCell ref="J5:L7"/>
    <mergeCell ref="G13:I13"/>
    <mergeCell ref="G10:I12"/>
    <mergeCell ref="J13:L13"/>
    <mergeCell ref="A2:N2"/>
    <mergeCell ref="A8:C8"/>
    <mergeCell ref="G8:I8"/>
    <mergeCell ref="J8:L8"/>
    <mergeCell ref="D5:F7"/>
    <mergeCell ref="A10:C12"/>
    <mergeCell ref="D8:F8"/>
    <mergeCell ref="J10:L1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23A5A"/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36" t="inlineStr">
        <is>
          <t>Project Command Center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8" t="n"/>
    </row>
    <row r="2">
      <c r="A2" s="3" t="inlineStr">
        <is>
          <t>Single-project command center with project selector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8" t="n"/>
    </row>
    <row r="3">
      <c r="A3" s="37" t="inlineStr">
        <is>
          <t>Home</t>
        </is>
      </c>
      <c r="B3" s="37" t="inlineStr">
        <is>
          <t>Exec</t>
        </is>
      </c>
      <c r="C3" s="37" t="inlineStr">
        <is>
          <t>Compact</t>
        </is>
      </c>
      <c r="D3" s="37" t="inlineStr">
        <is>
          <t>Project</t>
        </is>
      </c>
      <c r="E3" s="37" t="inlineStr">
        <is>
          <t>Tasks</t>
        </is>
      </c>
      <c r="F3" s="37" t="inlineStr">
        <is>
          <t>Kanban</t>
        </is>
      </c>
      <c r="G3" s="37" t="inlineStr">
        <is>
          <t>Gantt</t>
        </is>
      </c>
      <c r="H3" s="37" t="inlineStr">
        <is>
          <t>Reports</t>
        </is>
      </c>
      <c r="I3" s="37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9" t="inlineStr">
        <is>
          <t>Select Project ID</t>
        </is>
      </c>
      <c r="B5" s="20" t="inlineStr">
        <is>
          <t>PRJ-001</t>
        </is>
      </c>
      <c r="C5" s="2" t="n"/>
      <c r="D5" s="2" t="n"/>
      <c r="E5" s="2" t="n"/>
      <c r="F5" s="20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0" t="n"/>
      <c r="C6" s="2" t="n"/>
      <c r="D6" s="2" t="n"/>
      <c r="E6" s="2" t="n"/>
      <c r="F6" s="20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9" t="inlineStr">
        <is>
          <t>Project Name</t>
        </is>
      </c>
      <c r="B7" s="21">
        <f>XLOOKUP($B$5,tblProjects[Project ID],tblProjects[Project Name],"")</f>
        <v/>
      </c>
      <c r="C7" s="2" t="n"/>
      <c r="D7" s="19" t="inlineStr">
        <is>
          <t>Manager</t>
        </is>
      </c>
      <c r="E7" s="16">
        <f>XLOOKUP($B$5,tblProjects[Project ID],tblProjects[Project Manager],"")</f>
        <v/>
      </c>
      <c r="F7" s="20" t="n"/>
      <c r="G7" s="19" t="inlineStr">
        <is>
          <t>Status</t>
        </is>
      </c>
      <c r="H7" s="16">
        <f>XLOOKUP($B$5,tblProjects[Project ID],tblProjects[Manual Status],"")</f>
        <v/>
      </c>
      <c r="I7" s="2" t="n"/>
      <c r="J7" s="19" t="inlineStr">
        <is>
          <t>Health</t>
        </is>
      </c>
      <c r="K7" s="16">
        <f>XLOOKUP($B$5,tblProjects[Project ID],tblProjects[Auto Health],"")</f>
        <v/>
      </c>
      <c r="L7" s="2" t="n"/>
      <c r="M7" s="2" t="n"/>
      <c r="N7" s="2" t="n"/>
    </row>
    <row r="8">
      <c r="A8" s="2" t="n"/>
      <c r="B8" s="20" t="n"/>
      <c r="C8" s="2" t="n"/>
      <c r="D8" s="2" t="n"/>
      <c r="E8" s="2" t="n"/>
      <c r="F8" s="20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19" t="inlineStr">
        <is>
          <t>Progress</t>
        </is>
      </c>
      <c r="B9" s="21">
        <f>XLOOKUP($B$5,tblProjects[Project ID],tblProjects[Progress %],"")</f>
        <v/>
      </c>
      <c r="C9" s="2" t="n"/>
      <c r="D9" s="19" t="inlineStr">
        <is>
          <t>Open Issues</t>
        </is>
      </c>
      <c r="E9" s="16">
        <f>XLOOKUP($B$5,tblProjects[Project ID],tblProjects[Open Issues],"")</f>
        <v/>
      </c>
      <c r="F9" s="20" t="n"/>
      <c r="G9" s="19" t="inlineStr">
        <is>
          <t>Open Risks</t>
        </is>
      </c>
      <c r="H9" s="16">
        <f>XLOOKUP($B$5,tblProjects[Project ID],tblProjects[Open Risks],"")</f>
        <v/>
      </c>
      <c r="I9" s="2" t="n"/>
      <c r="J9" s="19" t="inlineStr">
        <is>
          <t>Logged Hours</t>
        </is>
      </c>
      <c r="K9" s="16">
        <f>XLOOKUP($B$5,tblProjects[Project ID],tblProjects[Logged Hours],"")</f>
        <v/>
      </c>
      <c r="L9" s="2" t="n"/>
      <c r="M9" s="2" t="n"/>
      <c r="N9" s="2" t="n"/>
    </row>
    <row r="10">
      <c r="A10" s="2" t="n"/>
      <c r="B10" s="20" t="n"/>
      <c r="C10" s="2" t="n"/>
      <c r="D10" s="2" t="n"/>
      <c r="E10" s="2" t="n"/>
      <c r="F10" s="20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0" t="n"/>
      <c r="C11" s="2" t="n"/>
      <c r="D11" s="2" t="n"/>
      <c r="E11" s="2" t="n"/>
      <c r="F11" s="20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8" t="inlineStr">
        <is>
          <t>Project Task Snapshot</t>
        </is>
      </c>
      <c r="B12" s="20" t="n"/>
      <c r="C12" s="2" t="n"/>
      <c r="D12" s="2" t="n"/>
      <c r="E12" s="2" t="n"/>
      <c r="F12" s="20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17" t="inlineStr">
        <is>
          <t>Task ID</t>
        </is>
      </c>
      <c r="B13" s="22" t="inlineStr">
        <is>
          <t>Task Name</t>
        </is>
      </c>
      <c r="C13" s="17" t="inlineStr">
        <is>
          <t>Owner</t>
        </is>
      </c>
      <c r="D13" s="17" t="inlineStr">
        <is>
          <t>Status</t>
        </is>
      </c>
      <c r="E13" s="17" t="inlineStr">
        <is>
          <t>Priority</t>
        </is>
      </c>
      <c r="F13" s="22" t="inlineStr">
        <is>
          <t>Progress</t>
        </is>
      </c>
      <c r="G13" s="17" t="inlineStr">
        <is>
          <t>Health</t>
        </is>
      </c>
      <c r="H13" s="17" t="inlineStr">
        <is>
          <t>Due Date</t>
        </is>
      </c>
      <c r="I13" s="2" t="n"/>
      <c r="J13" s="2" t="n"/>
      <c r="K13" s="2" t="n"/>
      <c r="L13" s="2" t="n"/>
      <c r="M13" s="2" t="n"/>
      <c r="N13" s="2" t="n"/>
    </row>
    <row r="14">
      <c r="A14" s="2">
        <f>IFERROR(INDEX(FILTER(tblTasks[Task ID],tblTasks[Project ID]=$B$5),1),"")</f>
        <v/>
      </c>
      <c r="B14" s="20">
        <f>IFERROR(INDEX(FILTER(tblTasks[Task Name],tblTasks[Project ID]=$B$5),1),"")</f>
        <v/>
      </c>
      <c r="C14" s="2">
        <f>IFERROR(INDEX(FILTER(tblTasks[Assigned User],tblTasks[Project ID]=$B$5),1),"")</f>
        <v/>
      </c>
      <c r="D14" s="2">
        <f>IFERROR(INDEX(FILTER(tblTasks[Manual Status],tblTasks[Project ID]=$B$5),1),"")</f>
        <v/>
      </c>
      <c r="E14" s="2">
        <f>IFERROR(INDEX(FILTER(tblTasks[Priority],tblTasks[Project ID]=$B$5),1),"")</f>
        <v/>
      </c>
      <c r="F14" s="20">
        <f>IFERROR(INDEX(FILTER(tblTasks[Progress %],tblTasks[Project ID]=$B$5),1),"")</f>
        <v/>
      </c>
      <c r="G14" s="2">
        <f>IFERROR(INDEX(FILTER(tblTasks[Auto Health],tblTasks[Project ID]=$B$5),1),"")</f>
        <v/>
      </c>
      <c r="H14" s="2">
        <f>IFERROR(INDEX(FILTER(tblTasks[Due Date],tblTasks[Project ID]=$B$5),1),"")</f>
        <v/>
      </c>
      <c r="I14" s="2" t="n"/>
      <c r="J14" s="2" t="n"/>
      <c r="K14" s="2" t="n"/>
      <c r="L14" s="2" t="n"/>
      <c r="M14" s="2" t="n"/>
      <c r="N14" s="2" t="n"/>
    </row>
    <row r="15">
      <c r="A15" s="2">
        <f>IFERROR(INDEX(FILTER(tblTasks[Task ID],tblTasks[Project ID]=$B$5),2),"")</f>
        <v/>
      </c>
      <c r="B15" s="20">
        <f>IFERROR(INDEX(FILTER(tblTasks[Task Name],tblTasks[Project ID]=$B$5),2),"")</f>
        <v/>
      </c>
      <c r="C15" s="2">
        <f>IFERROR(INDEX(FILTER(tblTasks[Assigned User],tblTasks[Project ID]=$B$5),2),"")</f>
        <v/>
      </c>
      <c r="D15" s="2">
        <f>IFERROR(INDEX(FILTER(tblTasks[Manual Status],tblTasks[Project ID]=$B$5),2),"")</f>
        <v/>
      </c>
      <c r="E15" s="2">
        <f>IFERROR(INDEX(FILTER(tblTasks[Priority],tblTasks[Project ID]=$B$5),2),"")</f>
        <v/>
      </c>
      <c r="F15" s="20">
        <f>IFERROR(INDEX(FILTER(tblTasks[Progress %],tblTasks[Project ID]=$B$5),2),"")</f>
        <v/>
      </c>
      <c r="G15" s="2">
        <f>IFERROR(INDEX(FILTER(tblTasks[Auto Health],tblTasks[Project ID]=$B$5),2),"")</f>
        <v/>
      </c>
      <c r="H15" s="2">
        <f>IFERROR(INDEX(FILTER(tblTasks[Due Date],tblTasks[Project ID]=$B$5),2),"")</f>
        <v/>
      </c>
      <c r="I15" s="2" t="n"/>
      <c r="J15" s="2" t="n"/>
      <c r="K15" s="2" t="n"/>
      <c r="L15" s="2" t="n"/>
      <c r="M15" s="2" t="n"/>
      <c r="N15" s="2" t="n"/>
    </row>
    <row r="16">
      <c r="A16" s="2">
        <f>IFERROR(INDEX(FILTER(tblTasks[Task ID],tblTasks[Project ID]=$B$5),3),"")</f>
        <v/>
      </c>
      <c r="B16" s="20">
        <f>IFERROR(INDEX(FILTER(tblTasks[Task Name],tblTasks[Project ID]=$B$5),3),"")</f>
        <v/>
      </c>
      <c r="C16" s="2">
        <f>IFERROR(INDEX(FILTER(tblTasks[Assigned User],tblTasks[Project ID]=$B$5),3),"")</f>
        <v/>
      </c>
      <c r="D16" s="2">
        <f>IFERROR(INDEX(FILTER(tblTasks[Manual Status],tblTasks[Project ID]=$B$5),3),"")</f>
        <v/>
      </c>
      <c r="E16" s="2">
        <f>IFERROR(INDEX(FILTER(tblTasks[Priority],tblTasks[Project ID]=$B$5),3),"")</f>
        <v/>
      </c>
      <c r="F16" s="20">
        <f>IFERROR(INDEX(FILTER(tblTasks[Progress %],tblTasks[Project ID]=$B$5),3),"")</f>
        <v/>
      </c>
      <c r="G16" s="2">
        <f>IFERROR(INDEX(FILTER(tblTasks[Auto Health],tblTasks[Project ID]=$B$5),3),"")</f>
        <v/>
      </c>
      <c r="H16" s="2">
        <f>IFERROR(INDEX(FILTER(tblTasks[Due Date],tblTasks[Project ID]=$B$5),3),"")</f>
        <v/>
      </c>
      <c r="I16" s="2" t="n"/>
      <c r="J16" s="2" t="n"/>
      <c r="K16" s="2" t="n"/>
      <c r="L16" s="2" t="n"/>
      <c r="M16" s="2" t="n"/>
      <c r="N16" s="2" t="n"/>
    </row>
    <row r="17">
      <c r="A17" s="2">
        <f>IFERROR(INDEX(FILTER(tblTasks[Task ID],tblTasks[Project ID]=$B$5),4),"")</f>
        <v/>
      </c>
      <c r="B17" s="20">
        <f>IFERROR(INDEX(FILTER(tblTasks[Task Name],tblTasks[Project ID]=$B$5),4),"")</f>
        <v/>
      </c>
      <c r="C17" s="2">
        <f>IFERROR(INDEX(FILTER(tblTasks[Assigned User],tblTasks[Project ID]=$B$5),4),"")</f>
        <v/>
      </c>
      <c r="D17" s="2">
        <f>IFERROR(INDEX(FILTER(tblTasks[Manual Status],tblTasks[Project ID]=$B$5),4),"")</f>
        <v/>
      </c>
      <c r="E17" s="2">
        <f>IFERROR(INDEX(FILTER(tblTasks[Priority],tblTasks[Project ID]=$B$5),4),"")</f>
        <v/>
      </c>
      <c r="F17" s="20">
        <f>IFERROR(INDEX(FILTER(tblTasks[Progress %],tblTasks[Project ID]=$B$5),4),"")</f>
        <v/>
      </c>
      <c r="G17" s="2">
        <f>IFERROR(INDEX(FILTER(tblTasks[Auto Health],tblTasks[Project ID]=$B$5),4),"")</f>
        <v/>
      </c>
      <c r="H17" s="2">
        <f>IFERROR(INDEX(FILTER(tblTasks[Due Date],tblTasks[Project ID]=$B$5),4),"")</f>
        <v/>
      </c>
      <c r="I17" s="2" t="n"/>
      <c r="J17" s="2" t="n"/>
      <c r="K17" s="2" t="n"/>
      <c r="L17" s="2" t="n"/>
      <c r="M17" s="2" t="n"/>
      <c r="N17" s="2" t="n"/>
    </row>
    <row r="18">
      <c r="A18" s="2">
        <f>IFERROR(INDEX(FILTER(tblTasks[Task ID],tblTasks[Project ID]=$B$5),5),"")</f>
        <v/>
      </c>
      <c r="B18" s="20">
        <f>IFERROR(INDEX(FILTER(tblTasks[Task Name],tblTasks[Project ID]=$B$5),5),"")</f>
        <v/>
      </c>
      <c r="C18" s="2">
        <f>IFERROR(INDEX(FILTER(tblTasks[Assigned User],tblTasks[Project ID]=$B$5),5),"")</f>
        <v/>
      </c>
      <c r="D18" s="2">
        <f>IFERROR(INDEX(FILTER(tblTasks[Manual Status],tblTasks[Project ID]=$B$5),5),"")</f>
        <v/>
      </c>
      <c r="E18" s="2">
        <f>IFERROR(INDEX(FILTER(tblTasks[Priority],tblTasks[Project ID]=$B$5),5),"")</f>
        <v/>
      </c>
      <c r="F18" s="20">
        <f>IFERROR(INDEX(FILTER(tblTasks[Progress %],tblTasks[Project ID]=$B$5),5),"")</f>
        <v/>
      </c>
      <c r="G18" s="2">
        <f>IFERROR(INDEX(FILTER(tblTasks[Auto Health],tblTasks[Project ID]=$B$5),5),"")</f>
        <v/>
      </c>
      <c r="H18" s="2">
        <f>IFERROR(INDEX(FILTER(tblTasks[Due Date],tblTasks[Project ID]=$B$5),5),"")</f>
        <v/>
      </c>
      <c r="I18" s="2" t="n"/>
      <c r="J18" s="2" t="n"/>
      <c r="K18" s="2" t="n"/>
      <c r="L18" s="2" t="n"/>
      <c r="M18" s="2" t="n"/>
      <c r="N18" s="2" t="n"/>
    </row>
    <row r="19">
      <c r="A19" s="2">
        <f>IFERROR(INDEX(FILTER(tblTasks[Task ID],tblTasks[Project ID]=$B$5),6),"")</f>
        <v/>
      </c>
      <c r="B19" s="20">
        <f>IFERROR(INDEX(FILTER(tblTasks[Task Name],tblTasks[Project ID]=$B$5),6),"")</f>
        <v/>
      </c>
      <c r="C19" s="2">
        <f>IFERROR(INDEX(FILTER(tblTasks[Assigned User],tblTasks[Project ID]=$B$5),6),"")</f>
        <v/>
      </c>
      <c r="D19" s="2">
        <f>IFERROR(INDEX(FILTER(tblTasks[Manual Status],tblTasks[Project ID]=$B$5),6),"")</f>
        <v/>
      </c>
      <c r="E19" s="2">
        <f>IFERROR(INDEX(FILTER(tblTasks[Priority],tblTasks[Project ID]=$B$5),6),"")</f>
        <v/>
      </c>
      <c r="F19" s="20">
        <f>IFERROR(INDEX(FILTER(tblTasks[Progress %],tblTasks[Project ID]=$B$5),6),"")</f>
        <v/>
      </c>
      <c r="G19" s="2">
        <f>IFERROR(INDEX(FILTER(tblTasks[Auto Health],tblTasks[Project ID]=$B$5),6),"")</f>
        <v/>
      </c>
      <c r="H19" s="2">
        <f>IFERROR(INDEX(FILTER(tblTasks[Due Date],tblTasks[Project ID]=$B$5),6),"")</f>
        <v/>
      </c>
      <c r="I19" s="2" t="n"/>
      <c r="J19" s="2" t="n"/>
      <c r="K19" s="2" t="n"/>
      <c r="L19" s="2" t="n"/>
      <c r="M19" s="2" t="n"/>
      <c r="N19" s="2" t="n"/>
    </row>
    <row r="20">
      <c r="A20" s="2">
        <f>IFERROR(INDEX(FILTER(tblTasks[Task ID],tblTasks[Project ID]=$B$5),7),"")</f>
        <v/>
      </c>
      <c r="B20" s="20">
        <f>IFERROR(INDEX(FILTER(tblTasks[Task Name],tblTasks[Project ID]=$B$5),7),"")</f>
        <v/>
      </c>
      <c r="C20" s="2">
        <f>IFERROR(INDEX(FILTER(tblTasks[Assigned User],tblTasks[Project ID]=$B$5),7),"")</f>
        <v/>
      </c>
      <c r="D20" s="2">
        <f>IFERROR(INDEX(FILTER(tblTasks[Manual Status],tblTasks[Project ID]=$B$5),7),"")</f>
        <v/>
      </c>
      <c r="E20" s="2">
        <f>IFERROR(INDEX(FILTER(tblTasks[Priority],tblTasks[Project ID]=$B$5),7),"")</f>
        <v/>
      </c>
      <c r="F20" s="20">
        <f>IFERROR(INDEX(FILTER(tblTasks[Progress %],tblTasks[Project ID]=$B$5),7),"")</f>
        <v/>
      </c>
      <c r="G20" s="2">
        <f>IFERROR(INDEX(FILTER(tblTasks[Auto Health],tblTasks[Project ID]=$B$5),7),"")</f>
        <v/>
      </c>
      <c r="H20" s="2">
        <f>IFERROR(INDEX(FILTER(tblTasks[Due Date],tblTasks[Project ID]=$B$5),7),"")</f>
        <v/>
      </c>
      <c r="I20" s="2" t="n"/>
      <c r="J20" s="2" t="n"/>
      <c r="K20" s="2" t="n"/>
      <c r="L20" s="2" t="n"/>
      <c r="M20" s="2" t="n"/>
      <c r="N20" s="2" t="n"/>
    </row>
    <row r="21">
      <c r="A21" s="2">
        <f>IFERROR(INDEX(FILTER(tblTasks[Task ID],tblTasks[Project ID]=$B$5),8),"")</f>
        <v/>
      </c>
      <c r="B21" s="20">
        <f>IFERROR(INDEX(FILTER(tblTasks[Task Name],tblTasks[Project ID]=$B$5),8),"")</f>
        <v/>
      </c>
      <c r="C21" s="2">
        <f>IFERROR(INDEX(FILTER(tblTasks[Assigned User],tblTasks[Project ID]=$B$5),8),"")</f>
        <v/>
      </c>
      <c r="D21" s="2">
        <f>IFERROR(INDEX(FILTER(tblTasks[Manual Status],tblTasks[Project ID]=$B$5),8),"")</f>
        <v/>
      </c>
      <c r="E21" s="2">
        <f>IFERROR(INDEX(FILTER(tblTasks[Priority],tblTasks[Project ID]=$B$5),8),"")</f>
        <v/>
      </c>
      <c r="F21" s="20">
        <f>IFERROR(INDEX(FILTER(tblTasks[Progress %],tblTasks[Project ID]=$B$5),8),"")</f>
        <v/>
      </c>
      <c r="G21" s="2">
        <f>IFERROR(INDEX(FILTER(tblTasks[Auto Health],tblTasks[Project ID]=$B$5),8),"")</f>
        <v/>
      </c>
      <c r="H21" s="2">
        <f>IFERROR(INDEX(FILTER(tblTasks[Due Date],tblTasks[Project ID]=$B$5),8),"")</f>
        <v/>
      </c>
      <c r="I21" s="2" t="n"/>
      <c r="J21" s="2" t="n"/>
      <c r="K21" s="2" t="n"/>
      <c r="L21" s="2" t="n"/>
      <c r="M21" s="2" t="n"/>
      <c r="N21" s="2" t="n"/>
    </row>
    <row r="22">
      <c r="A22" s="2">
        <f>IFERROR(INDEX(FILTER(tblTasks[Task ID],tblTasks[Project ID]=$B$5),9),"")</f>
        <v/>
      </c>
      <c r="B22" s="20">
        <f>IFERROR(INDEX(FILTER(tblTasks[Task Name],tblTasks[Project ID]=$B$5),9),"")</f>
        <v/>
      </c>
      <c r="C22" s="2">
        <f>IFERROR(INDEX(FILTER(tblTasks[Assigned User],tblTasks[Project ID]=$B$5),9),"")</f>
        <v/>
      </c>
      <c r="D22" s="2">
        <f>IFERROR(INDEX(FILTER(tblTasks[Manual Status],tblTasks[Project ID]=$B$5),9),"")</f>
        <v/>
      </c>
      <c r="E22" s="2">
        <f>IFERROR(INDEX(FILTER(tblTasks[Priority],tblTasks[Project ID]=$B$5),9),"")</f>
        <v/>
      </c>
      <c r="F22" s="20">
        <f>IFERROR(INDEX(FILTER(tblTasks[Progress %],tblTasks[Project ID]=$B$5),9),"")</f>
        <v/>
      </c>
      <c r="G22" s="2">
        <f>IFERROR(INDEX(FILTER(tblTasks[Auto Health],tblTasks[Project ID]=$B$5),9),"")</f>
        <v/>
      </c>
      <c r="H22" s="2">
        <f>IFERROR(INDEX(FILTER(tblTasks[Due Date],tblTasks[Project ID]=$B$5),9),"")</f>
        <v/>
      </c>
      <c r="I22" s="2" t="n"/>
      <c r="J22" s="2" t="n"/>
      <c r="K22" s="2" t="n"/>
      <c r="L22" s="2" t="n"/>
      <c r="M22" s="2" t="n"/>
      <c r="N22" s="2" t="n"/>
    </row>
    <row r="23">
      <c r="A23" s="2">
        <f>IFERROR(INDEX(FILTER(tblTasks[Task ID],tblTasks[Project ID]=$B$5),10),"")</f>
        <v/>
      </c>
      <c r="B23" s="20">
        <f>IFERROR(INDEX(FILTER(tblTasks[Task Name],tblTasks[Project ID]=$B$5),10),"")</f>
        <v/>
      </c>
      <c r="C23" s="2">
        <f>IFERROR(INDEX(FILTER(tblTasks[Assigned User],tblTasks[Project ID]=$B$5),10),"")</f>
        <v/>
      </c>
      <c r="D23" s="2">
        <f>IFERROR(INDEX(FILTER(tblTasks[Manual Status],tblTasks[Project ID]=$B$5),10),"")</f>
        <v/>
      </c>
      <c r="E23" s="2">
        <f>IFERROR(INDEX(FILTER(tblTasks[Priority],tblTasks[Project ID]=$B$5),10),"")</f>
        <v/>
      </c>
      <c r="F23" s="20">
        <f>IFERROR(INDEX(FILTER(tblTasks[Progress %],tblTasks[Project ID]=$B$5),10),"")</f>
        <v/>
      </c>
      <c r="G23" s="2">
        <f>IFERROR(INDEX(FILTER(tblTasks[Auto Health],tblTasks[Project ID]=$B$5),10),"")</f>
        <v/>
      </c>
      <c r="H23" s="2">
        <f>IFERROR(INDEX(FILTER(tblTasks[Due Date],tblTasks[Project ID]=$B$5),10),"")</f>
        <v/>
      </c>
      <c r="I23" s="2" t="n"/>
      <c r="J23" s="2" t="n"/>
      <c r="K23" s="2" t="n"/>
      <c r="L23" s="2" t="n"/>
      <c r="M23" s="2" t="n"/>
      <c r="N23" s="2" t="n"/>
    </row>
    <row r="24">
      <c r="A24" s="2">
        <f>IFERROR(INDEX(FILTER(tblTasks[Task ID],tblTasks[Project ID]=$B$5),11),"")</f>
        <v/>
      </c>
      <c r="B24" s="20">
        <f>IFERROR(INDEX(FILTER(tblTasks[Task Name],tblTasks[Project ID]=$B$5),11),"")</f>
        <v/>
      </c>
      <c r="C24" s="2">
        <f>IFERROR(INDEX(FILTER(tblTasks[Assigned User],tblTasks[Project ID]=$B$5),11),"")</f>
        <v/>
      </c>
      <c r="D24" s="2">
        <f>IFERROR(INDEX(FILTER(tblTasks[Manual Status],tblTasks[Project ID]=$B$5),11),"")</f>
        <v/>
      </c>
      <c r="E24" s="2">
        <f>IFERROR(INDEX(FILTER(tblTasks[Priority],tblTasks[Project ID]=$B$5),11),"")</f>
        <v/>
      </c>
      <c r="F24" s="20">
        <f>IFERROR(INDEX(FILTER(tblTasks[Progress %],tblTasks[Project ID]=$B$5),11),"")</f>
        <v/>
      </c>
      <c r="G24" s="2">
        <f>IFERROR(INDEX(FILTER(tblTasks[Auto Health],tblTasks[Project ID]=$B$5),11),"")</f>
        <v/>
      </c>
      <c r="H24" s="2">
        <f>IFERROR(INDEX(FILTER(tblTasks[Due Date],tblTasks[Project ID]=$B$5),11),"")</f>
        <v/>
      </c>
      <c r="I24" s="2" t="n"/>
      <c r="J24" s="2" t="n"/>
      <c r="K24" s="2" t="n"/>
      <c r="L24" s="2" t="n"/>
      <c r="M24" s="2" t="n"/>
      <c r="N24" s="2" t="n"/>
    </row>
    <row r="25">
      <c r="A25" s="2">
        <f>IFERROR(INDEX(FILTER(tblTasks[Task ID],tblTasks[Project ID]=$B$5),12),"")</f>
        <v/>
      </c>
      <c r="B25" s="20">
        <f>IFERROR(INDEX(FILTER(tblTasks[Task Name],tblTasks[Project ID]=$B$5),12),"")</f>
        <v/>
      </c>
      <c r="C25" s="2">
        <f>IFERROR(INDEX(FILTER(tblTasks[Assigned User],tblTasks[Project ID]=$B$5),12),"")</f>
        <v/>
      </c>
      <c r="D25" s="2">
        <f>IFERROR(INDEX(FILTER(tblTasks[Manual Status],tblTasks[Project ID]=$B$5),12),"")</f>
        <v/>
      </c>
      <c r="E25" s="2">
        <f>IFERROR(INDEX(FILTER(tblTasks[Priority],tblTasks[Project ID]=$B$5),12),"")</f>
        <v/>
      </c>
      <c r="F25" s="20">
        <f>IFERROR(INDEX(FILTER(tblTasks[Progress %],tblTasks[Project ID]=$B$5),12),"")</f>
        <v/>
      </c>
      <c r="G25" s="2">
        <f>IFERROR(INDEX(FILTER(tblTasks[Auto Health],tblTasks[Project ID]=$B$5),12),"")</f>
        <v/>
      </c>
      <c r="H25" s="2">
        <f>IFERROR(INDEX(FILTER(tblTasks[Due Date],tblTasks[Project ID]=$B$5),12),"")</f>
        <v/>
      </c>
      <c r="I25" s="2" t="n"/>
      <c r="J25" s="2" t="n"/>
      <c r="K25" s="2" t="n"/>
      <c r="L25" s="2" t="n"/>
      <c r="M25" s="2" t="n"/>
      <c r="N25" s="2" t="n"/>
    </row>
    <row r="26">
      <c r="A26" s="2">
        <f>IFERROR(INDEX(FILTER(tblTasks[Task ID],tblTasks[Project ID]=$B$5),13),"")</f>
        <v/>
      </c>
      <c r="B26" s="20">
        <f>IFERROR(INDEX(FILTER(tblTasks[Task Name],tblTasks[Project ID]=$B$5),13),"")</f>
        <v/>
      </c>
      <c r="C26" s="2">
        <f>IFERROR(INDEX(FILTER(tblTasks[Assigned User],tblTasks[Project ID]=$B$5),13),"")</f>
        <v/>
      </c>
      <c r="D26" s="2">
        <f>IFERROR(INDEX(FILTER(tblTasks[Manual Status],tblTasks[Project ID]=$B$5),13),"")</f>
        <v/>
      </c>
      <c r="E26" s="2">
        <f>IFERROR(INDEX(FILTER(tblTasks[Priority],tblTasks[Project ID]=$B$5),13),"")</f>
        <v/>
      </c>
      <c r="F26" s="20">
        <f>IFERROR(INDEX(FILTER(tblTasks[Progress %],tblTasks[Project ID]=$B$5),13),"")</f>
        <v/>
      </c>
      <c r="G26" s="2">
        <f>IFERROR(INDEX(FILTER(tblTasks[Auto Health],tblTasks[Project ID]=$B$5),13),"")</f>
        <v/>
      </c>
      <c r="H26" s="2">
        <f>IFERROR(INDEX(FILTER(tblTasks[Due Date],tblTasks[Project ID]=$B$5),13),"")</f>
        <v/>
      </c>
      <c r="I26" s="2" t="n"/>
      <c r="J26" s="2" t="n"/>
      <c r="K26" s="2" t="n"/>
      <c r="L26" s="2" t="n"/>
      <c r="M26" s="2" t="n"/>
      <c r="N26" s="2" t="n"/>
    </row>
    <row r="27">
      <c r="A27" s="2">
        <f>IFERROR(INDEX(FILTER(tblTasks[Task ID],tblTasks[Project ID]=$B$5),14),"")</f>
        <v/>
      </c>
      <c r="B27" s="20">
        <f>IFERROR(INDEX(FILTER(tblTasks[Task Name],tblTasks[Project ID]=$B$5),14),"")</f>
        <v/>
      </c>
      <c r="C27" s="2">
        <f>IFERROR(INDEX(FILTER(tblTasks[Assigned User],tblTasks[Project ID]=$B$5),14),"")</f>
        <v/>
      </c>
      <c r="D27" s="2">
        <f>IFERROR(INDEX(FILTER(tblTasks[Manual Status],tblTasks[Project ID]=$B$5),14),"")</f>
        <v/>
      </c>
      <c r="E27" s="2">
        <f>IFERROR(INDEX(FILTER(tblTasks[Priority],tblTasks[Project ID]=$B$5),14),"")</f>
        <v/>
      </c>
      <c r="F27" s="20">
        <f>IFERROR(INDEX(FILTER(tblTasks[Progress %],tblTasks[Project ID]=$B$5),14),"")</f>
        <v/>
      </c>
      <c r="G27" s="2">
        <f>IFERROR(INDEX(FILTER(tblTasks[Auto Health],tblTasks[Project ID]=$B$5),14),"")</f>
        <v/>
      </c>
      <c r="H27" s="2">
        <f>IFERROR(INDEX(FILTER(tblTasks[Due Date],tblTasks[Project ID]=$B$5),14),"")</f>
        <v/>
      </c>
      <c r="I27" s="2" t="n"/>
      <c r="J27" s="2" t="n"/>
      <c r="K27" s="2" t="n"/>
      <c r="L27" s="2" t="n"/>
      <c r="M27" s="2" t="n"/>
      <c r="N27" s="2" t="n"/>
    </row>
    <row r="28">
      <c r="A28" s="2">
        <f>IFERROR(INDEX(FILTER(tblTasks[Task ID],tblTasks[Project ID]=$B$5),15),"")</f>
        <v/>
      </c>
      <c r="B28" s="20">
        <f>IFERROR(INDEX(FILTER(tblTasks[Task Name],tblTasks[Project ID]=$B$5),15),"")</f>
        <v/>
      </c>
      <c r="C28" s="2">
        <f>IFERROR(INDEX(FILTER(tblTasks[Assigned User],tblTasks[Project ID]=$B$5),15),"")</f>
        <v/>
      </c>
      <c r="D28" s="2">
        <f>IFERROR(INDEX(FILTER(tblTasks[Manual Status],tblTasks[Project ID]=$B$5),15),"")</f>
        <v/>
      </c>
      <c r="E28" s="2">
        <f>IFERROR(INDEX(FILTER(tblTasks[Priority],tblTasks[Project ID]=$B$5),15),"")</f>
        <v/>
      </c>
      <c r="F28" s="20">
        <f>IFERROR(INDEX(FILTER(tblTasks[Progress %],tblTasks[Project ID]=$B$5),15),"")</f>
        <v/>
      </c>
      <c r="G28" s="2">
        <f>IFERROR(INDEX(FILTER(tblTasks[Auto Health],tblTasks[Project ID]=$B$5),15),"")</f>
        <v/>
      </c>
      <c r="H28" s="2">
        <f>IFERROR(INDEX(FILTER(tblTasks[Due Date],tblTasks[Project ID]=$B$5),15),"")</f>
        <v/>
      </c>
      <c r="I28" s="2" t="n"/>
      <c r="J28" s="2" t="n"/>
      <c r="K28" s="2" t="n"/>
      <c r="L28" s="2" t="n"/>
      <c r="M28" s="2" t="n"/>
      <c r="N28" s="2" t="n"/>
    </row>
    <row r="29">
      <c r="A29" s="2" t="n"/>
      <c r="B29" s="20" t="n"/>
      <c r="C29" s="2" t="n"/>
      <c r="D29" s="2" t="n"/>
      <c r="E29" s="2" t="n"/>
      <c r="F29" s="20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0" t="n"/>
      <c r="C30" s="2" t="n"/>
      <c r="D30" s="2" t="n"/>
      <c r="E30" s="2" t="n"/>
      <c r="F30" s="20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8" t="inlineStr">
        <is>
          <t>Recent Activity</t>
        </is>
      </c>
      <c r="B31" s="20" t="n"/>
      <c r="C31" s="2" t="n"/>
      <c r="D31" s="2" t="n"/>
      <c r="E31" s="2" t="n"/>
      <c r="F31" s="20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17" t="inlineStr">
        <is>
          <t>Date</t>
        </is>
      </c>
      <c r="B32" s="22" t="inlineStr">
        <is>
          <t>Type</t>
        </is>
      </c>
      <c r="C32" s="17" t="inlineStr">
        <is>
          <t>User</t>
        </is>
      </c>
      <c r="D32" s="17" t="inlineStr">
        <is>
          <t>Task</t>
        </is>
      </c>
      <c r="E32" s="17" t="inlineStr">
        <is>
          <t>Comment</t>
        </is>
      </c>
      <c r="F32" s="20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>
        <f>IFERROR(INDEX(FILTER(tblActivity[Activity Date],tblActivity[Project ID]=$B$5),1),"")</f>
        <v/>
      </c>
      <c r="B33" s="20">
        <f>IFERROR(INDEX(FILTER(tblActivity[Activity Type],tblActivity[Project ID]=$B$5),1),"")</f>
        <v/>
      </c>
      <c r="C33" s="2">
        <f>IFERROR(INDEX(FILTER(tblActivity[User ID],tblActivity[Project ID]=$B$5),1),"")</f>
        <v/>
      </c>
      <c r="D33" s="2">
        <f>IFERROR(INDEX(FILTER(tblActivity[Task ID],tblActivity[Project ID]=$B$5),1),"")</f>
        <v/>
      </c>
      <c r="E33" s="2">
        <f>IFERROR(INDEX(FILTER(tblActivity[Comment / Update],tblActivity[Project ID]=$B$5),1),"")</f>
        <v/>
      </c>
      <c r="F33" s="20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>
        <f>IFERROR(INDEX(FILTER(tblActivity[Activity Date],tblActivity[Project ID]=$B$5),2),"")</f>
        <v/>
      </c>
      <c r="B34" s="20">
        <f>IFERROR(INDEX(FILTER(tblActivity[Activity Type],tblActivity[Project ID]=$B$5),2),"")</f>
        <v/>
      </c>
      <c r="C34" s="2">
        <f>IFERROR(INDEX(FILTER(tblActivity[User ID],tblActivity[Project ID]=$B$5),2),"")</f>
        <v/>
      </c>
      <c r="D34" s="2">
        <f>IFERROR(INDEX(FILTER(tblActivity[Task ID],tblActivity[Project ID]=$B$5),2),"")</f>
        <v/>
      </c>
      <c r="E34" s="2">
        <f>IFERROR(INDEX(FILTER(tblActivity[Comment / Update],tblActivity[Project ID]=$B$5),2),"")</f>
        <v/>
      </c>
      <c r="F34" s="20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>
        <f>IFERROR(INDEX(FILTER(tblActivity[Activity Date],tblActivity[Project ID]=$B$5),3),"")</f>
        <v/>
      </c>
      <c r="B35" s="20">
        <f>IFERROR(INDEX(FILTER(tblActivity[Activity Type],tblActivity[Project ID]=$B$5),3),"")</f>
        <v/>
      </c>
      <c r="C35" s="2">
        <f>IFERROR(INDEX(FILTER(tblActivity[User ID],tblActivity[Project ID]=$B$5),3),"")</f>
        <v/>
      </c>
      <c r="D35" s="2">
        <f>IFERROR(INDEX(FILTER(tblActivity[Task ID],tblActivity[Project ID]=$B$5),3),"")</f>
        <v/>
      </c>
      <c r="E35" s="2">
        <f>IFERROR(INDEX(FILTER(tblActivity[Comment / Update],tblActivity[Project ID]=$B$5),3),"")</f>
        <v/>
      </c>
      <c r="F35" s="20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>
        <f>IFERROR(INDEX(FILTER(tblActivity[Activity Date],tblActivity[Project ID]=$B$5),4),"")</f>
        <v/>
      </c>
      <c r="B36" s="20">
        <f>IFERROR(INDEX(FILTER(tblActivity[Activity Type],tblActivity[Project ID]=$B$5),4),"")</f>
        <v/>
      </c>
      <c r="C36" s="2">
        <f>IFERROR(INDEX(FILTER(tblActivity[User ID],tblActivity[Project ID]=$B$5),4),"")</f>
        <v/>
      </c>
      <c r="D36" s="2">
        <f>IFERROR(INDEX(FILTER(tblActivity[Task ID],tblActivity[Project ID]=$B$5),4),"")</f>
        <v/>
      </c>
      <c r="E36" s="2">
        <f>IFERROR(INDEX(FILTER(tblActivity[Comment / Update],tblActivity[Project ID]=$B$5),4),"")</f>
        <v/>
      </c>
      <c r="F36" s="20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>
        <f>IFERROR(INDEX(FILTER(tblActivity[Activity Date],tblActivity[Project ID]=$B$5),5),"")</f>
        <v/>
      </c>
      <c r="B37" s="20">
        <f>IFERROR(INDEX(FILTER(tblActivity[Activity Type],tblActivity[Project ID]=$B$5),5),"")</f>
        <v/>
      </c>
      <c r="C37" s="2">
        <f>IFERROR(INDEX(FILTER(tblActivity[User ID],tblActivity[Project ID]=$B$5),5),"")</f>
        <v/>
      </c>
      <c r="D37" s="2">
        <f>IFERROR(INDEX(FILTER(tblActivity[Task ID],tblActivity[Project ID]=$B$5),5),"")</f>
        <v/>
      </c>
      <c r="E37" s="2">
        <f>IFERROR(INDEX(FILTER(tblActivity[Comment / Update],tblActivity[Project ID]=$B$5),5),"")</f>
        <v/>
      </c>
      <c r="F37" s="20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>
        <f>IFERROR(INDEX(FILTER(tblActivity[Activity Date],tblActivity[Project ID]=$B$5),6),"")</f>
        <v/>
      </c>
      <c r="B38" s="20">
        <f>IFERROR(INDEX(FILTER(tblActivity[Activity Type],tblActivity[Project ID]=$B$5),6),"")</f>
        <v/>
      </c>
      <c r="C38" s="2">
        <f>IFERROR(INDEX(FILTER(tblActivity[User ID],tblActivity[Project ID]=$B$5),6),"")</f>
        <v/>
      </c>
      <c r="D38" s="2">
        <f>IFERROR(INDEX(FILTER(tblActivity[Task ID],tblActivity[Project ID]=$B$5),6),"")</f>
        <v/>
      </c>
      <c r="E38" s="2">
        <f>IFERROR(INDEX(FILTER(tblActivity[Comment / Update],tblActivity[Project ID]=$B$5),6),"")</f>
        <v/>
      </c>
      <c r="F38" s="20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>
        <f>IFERROR(INDEX(FILTER(tblActivity[Activity Date],tblActivity[Project ID]=$B$5),7),"")</f>
        <v/>
      </c>
      <c r="B39" s="20">
        <f>IFERROR(INDEX(FILTER(tblActivity[Activity Type],tblActivity[Project ID]=$B$5),7),"")</f>
        <v/>
      </c>
      <c r="C39" s="2">
        <f>IFERROR(INDEX(FILTER(tblActivity[User ID],tblActivity[Project ID]=$B$5),7),"")</f>
        <v/>
      </c>
      <c r="D39" s="2">
        <f>IFERROR(INDEX(FILTER(tblActivity[Task ID],tblActivity[Project ID]=$B$5),7),"")</f>
        <v/>
      </c>
      <c r="E39" s="2">
        <f>IFERROR(INDEX(FILTER(tblActivity[Comment / Update],tblActivity[Project ID]=$B$5),7),"")</f>
        <v/>
      </c>
      <c r="F39" s="20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>
        <f>IFERROR(INDEX(FILTER(tblActivity[Activity Date],tblActivity[Project ID]=$B$5),8),"")</f>
        <v/>
      </c>
      <c r="B40" s="20">
        <f>IFERROR(INDEX(FILTER(tblActivity[Activity Type],tblActivity[Project ID]=$B$5),8),"")</f>
        <v/>
      </c>
      <c r="C40" s="2">
        <f>IFERROR(INDEX(FILTER(tblActivity[User ID],tblActivity[Project ID]=$B$5),8),"")</f>
        <v/>
      </c>
      <c r="D40" s="2">
        <f>IFERROR(INDEX(FILTER(tblActivity[Task ID],tblActivity[Project ID]=$B$5),8),"")</f>
        <v/>
      </c>
      <c r="E40" s="2">
        <f>IFERROR(INDEX(FILTER(tblActivity[Comment / Update],tblActivity[Project ID]=$B$5),8),"")</f>
        <v/>
      </c>
      <c r="F40" s="20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>
        <f>IFERROR(INDEX(FILTER(tblActivity[Activity Date],tblActivity[Project ID]=$B$5),9),"")</f>
        <v/>
      </c>
      <c r="B41" s="20">
        <f>IFERROR(INDEX(FILTER(tblActivity[Activity Type],tblActivity[Project ID]=$B$5),9),"")</f>
        <v/>
      </c>
      <c r="C41" s="2">
        <f>IFERROR(INDEX(FILTER(tblActivity[User ID],tblActivity[Project ID]=$B$5),9),"")</f>
        <v/>
      </c>
      <c r="D41" s="2">
        <f>IFERROR(INDEX(FILTER(tblActivity[Task ID],tblActivity[Project ID]=$B$5),9),"")</f>
        <v/>
      </c>
      <c r="E41" s="2">
        <f>IFERROR(INDEX(FILTER(tblActivity[Comment / Update],tblActivity[Project ID]=$B$5),9),"")</f>
        <v/>
      </c>
      <c r="F41" s="20" t="n"/>
      <c r="G41" s="2" t="n"/>
      <c r="H41" s="2" t="n"/>
      <c r="I41" s="2" t="n"/>
      <c r="J41" s="2" t="n"/>
      <c r="K41" s="2" t="n"/>
      <c r="L41" s="2" t="n"/>
      <c r="M41" s="2" t="n"/>
      <c r="N41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23A5A"/>
    <outlinePr summaryBelow="1" summaryRight="1"/>
    <pageSetUpPr/>
  </sheetPr>
  <dimension ref="A1:N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1" t="inlineStr">
        <is>
          <t>Compact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Responsive-style quick view for smaller screens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8">
        <f>COUNTA(tblProjects[Project ID])</f>
        <v/>
      </c>
      <c r="B5" s="2" t="n"/>
      <c r="C5" s="38">
        <f>COUNTIFS(tblProjects[Manual Status],"In Progress")</f>
        <v/>
      </c>
      <c r="D5" s="2" t="n"/>
      <c r="E5" s="38">
        <f>COUNTIFS(tblTasks[Auto Health],"Overdue")</f>
        <v/>
      </c>
      <c r="F5" s="2" t="n"/>
      <c r="G5" s="38">
        <f>COUNTIFS(tblIssues[Status],"&lt;&gt;Closed",tblIssues[Status],"&lt;&gt;Resolved")</f>
        <v/>
      </c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11" t="inlineStr">
        <is>
          <t>Projects</t>
        </is>
      </c>
      <c r="B7" s="2" t="n"/>
      <c r="C7" s="11" t="inlineStr">
        <is>
          <t>Active</t>
        </is>
      </c>
      <c r="D7" s="2" t="n"/>
      <c r="E7" s="11" t="inlineStr">
        <is>
          <t>Overdue</t>
        </is>
      </c>
      <c r="F7" s="2" t="n"/>
      <c r="G7" s="11" t="inlineStr">
        <is>
          <t>Issues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38">
        <f>COUNTIFS(tblRisks[Status],"&lt;&gt;Closed")</f>
        <v/>
      </c>
      <c r="B10" s="2" t="n"/>
      <c r="C10" s="38">
        <f>SUM(tblTimesheets[Hours])</f>
        <v/>
      </c>
      <c r="D10" s="2" t="n"/>
      <c r="E10" s="38">
        <f>COUNTIFS(tblTasks[Manual Status],"Blocked")</f>
        <v/>
      </c>
      <c r="F10" s="2" t="n"/>
      <c r="G10" s="38">
        <f>SUM(tblProjects[Actual Cost])-SUM(tblProjects[Budget])</f>
        <v/>
      </c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1" t="inlineStr">
        <is>
          <t>Risks</t>
        </is>
      </c>
      <c r="B12" s="2" t="n"/>
      <c r="C12" s="11" t="inlineStr">
        <is>
          <t>Hours</t>
        </is>
      </c>
      <c r="D12" s="2" t="n"/>
      <c r="E12" s="11" t="inlineStr">
        <is>
          <t>Blocked</t>
        </is>
      </c>
      <c r="F12" s="2" t="n"/>
      <c r="G12" s="11" t="inlineStr">
        <is>
          <t>Budget Var</t>
        </is>
      </c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18" t="inlineStr">
        <is>
          <t>Next Actions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7" t="inlineStr">
        <is>
          <t>Type</t>
        </is>
      </c>
      <c r="B16" s="17" t="inlineStr">
        <is>
          <t>Project</t>
        </is>
      </c>
      <c r="C16" s="17" t="inlineStr">
        <is>
          <t>Item</t>
        </is>
      </c>
      <c r="D16" s="17" t="inlineStr">
        <is>
          <t>Owner</t>
        </is>
      </c>
      <c r="E16" s="17" t="inlineStr">
        <is>
          <t>Due</t>
        </is>
      </c>
      <c r="F16" s="17" t="inlineStr">
        <is>
          <t>Health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Task</t>
        </is>
      </c>
      <c r="B17" s="2">
        <f>IFERROR(INDEX(tblTasks[Project ID],1),"")</f>
        <v/>
      </c>
      <c r="C17" s="2">
        <f>IFERROR(INDEX(tblTasks[Task Name],1),"")</f>
        <v/>
      </c>
      <c r="D17" s="2">
        <f>IFERROR(INDEX(tblTasks[Assigned User],1),"")</f>
        <v/>
      </c>
      <c r="E17" s="2">
        <f>IFERROR(INDEX(tblTasks[Due Date],1),"")</f>
        <v/>
      </c>
      <c r="F17" s="2">
        <f>IFERROR(INDEX(tblTasks[Auto Health],1),"")</f>
        <v/>
      </c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Task</t>
        </is>
      </c>
      <c r="B18" s="2">
        <f>IFERROR(INDEX(tblTasks[Project ID],2),"")</f>
        <v/>
      </c>
      <c r="C18" s="2">
        <f>IFERROR(INDEX(tblTasks[Task Name],2),"")</f>
        <v/>
      </c>
      <c r="D18" s="2">
        <f>IFERROR(INDEX(tblTasks[Assigned User],2),"")</f>
        <v/>
      </c>
      <c r="E18" s="2">
        <f>IFERROR(INDEX(tblTasks[Due Date],2),"")</f>
        <v/>
      </c>
      <c r="F18" s="2">
        <f>IFERROR(INDEX(tblTasks[Auto Health],2),"")</f>
        <v/>
      </c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Task</t>
        </is>
      </c>
      <c r="B19" s="2">
        <f>IFERROR(INDEX(tblTasks[Project ID],3),"")</f>
        <v/>
      </c>
      <c r="C19" s="2">
        <f>IFERROR(INDEX(tblTasks[Task Name],3),"")</f>
        <v/>
      </c>
      <c r="D19" s="2">
        <f>IFERROR(INDEX(tblTasks[Assigned User],3),"")</f>
        <v/>
      </c>
      <c r="E19" s="2">
        <f>IFERROR(INDEX(tblTasks[Due Date],3),"")</f>
        <v/>
      </c>
      <c r="F19" s="2">
        <f>IFERROR(INDEX(tblTasks[Auto Health],3),"")</f>
        <v/>
      </c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Task</t>
        </is>
      </c>
      <c r="B20" s="2">
        <f>IFERROR(INDEX(tblTasks[Project ID],4),"")</f>
        <v/>
      </c>
      <c r="C20" s="2">
        <f>IFERROR(INDEX(tblTasks[Task Name],4),"")</f>
        <v/>
      </c>
      <c r="D20" s="2">
        <f>IFERROR(INDEX(tblTasks[Assigned User],4),"")</f>
        <v/>
      </c>
      <c r="E20" s="2">
        <f>IFERROR(INDEX(tblTasks[Due Date],4),"")</f>
        <v/>
      </c>
      <c r="F20" s="2">
        <f>IFERROR(INDEX(tblTasks[Auto Health],4),"")</f>
        <v/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Task</t>
        </is>
      </c>
      <c r="B21" s="2">
        <f>IFERROR(INDEX(tblTasks[Project ID],5),"")</f>
        <v/>
      </c>
      <c r="C21" s="2">
        <f>IFERROR(INDEX(tblTasks[Task Name],5),"")</f>
        <v/>
      </c>
      <c r="D21" s="2">
        <f>IFERROR(INDEX(tblTasks[Assigned User],5),"")</f>
        <v/>
      </c>
      <c r="E21" s="2">
        <f>IFERROR(INDEX(tblTasks[Due Date],5),"")</f>
        <v/>
      </c>
      <c r="F21" s="2">
        <f>IFERROR(INDEX(tblTasks[Auto Health],5),"")</f>
        <v/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Task</t>
        </is>
      </c>
      <c r="B22" s="2">
        <f>IFERROR(INDEX(tblTasks[Project ID],6),"")</f>
        <v/>
      </c>
      <c r="C22" s="2">
        <f>IFERROR(INDEX(tblTasks[Task Name],6),"")</f>
        <v/>
      </c>
      <c r="D22" s="2">
        <f>IFERROR(INDEX(tblTasks[Assigned User],6),"")</f>
        <v/>
      </c>
      <c r="E22" s="2">
        <f>IFERROR(INDEX(tblTasks[Due Date],6),"")</f>
        <v/>
      </c>
      <c r="F22" s="2">
        <f>IFERROR(INDEX(tblTasks[Auto Health],6),"")</f>
        <v/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Task</t>
        </is>
      </c>
      <c r="B23" s="2">
        <f>IFERROR(INDEX(tblTasks[Project ID],7),"")</f>
        <v/>
      </c>
      <c r="C23" s="2">
        <f>IFERROR(INDEX(tblTasks[Task Name],7),"")</f>
        <v/>
      </c>
      <c r="D23" s="2">
        <f>IFERROR(INDEX(tblTasks[Assigned User],7),"")</f>
        <v/>
      </c>
      <c r="E23" s="2">
        <f>IFERROR(INDEX(tblTasks[Due Date],7),"")</f>
        <v/>
      </c>
      <c r="F23" s="2">
        <f>IFERROR(INDEX(tblTasks[Auto Health],7),"")</f>
        <v/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Task</t>
        </is>
      </c>
      <c r="B24" s="2">
        <f>IFERROR(INDEX(tblTasks[Project ID],8),"")</f>
        <v/>
      </c>
      <c r="C24" s="2">
        <f>IFERROR(INDEX(tblTasks[Task Name],8),"")</f>
        <v/>
      </c>
      <c r="D24" s="2">
        <f>IFERROR(INDEX(tblTasks[Assigned User],8),"")</f>
        <v/>
      </c>
      <c r="E24" s="2">
        <f>IFERROR(INDEX(tblTasks[Due Date],8),"")</f>
        <v/>
      </c>
      <c r="F24" s="2">
        <f>IFERROR(INDEX(tblTasks[Auto Health],8),"")</f>
        <v/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Task</t>
        </is>
      </c>
      <c r="B25" s="2">
        <f>IFERROR(INDEX(tblTasks[Project ID],9),"")</f>
        <v/>
      </c>
      <c r="C25" s="2">
        <f>IFERROR(INDEX(tblTasks[Task Name],9),"")</f>
        <v/>
      </c>
      <c r="D25" s="2">
        <f>IFERROR(INDEX(tblTasks[Assigned User],9),"")</f>
        <v/>
      </c>
      <c r="E25" s="2">
        <f>IFERROR(INDEX(tblTasks[Due Date],9),"")</f>
        <v/>
      </c>
      <c r="F25" s="2">
        <f>IFERROR(INDEX(tblTasks[Auto Health],9),"")</f>
        <v/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Task</t>
        </is>
      </c>
      <c r="B26" s="2">
        <f>IFERROR(INDEX(tblTasks[Project ID],10),"")</f>
        <v/>
      </c>
      <c r="C26" s="2">
        <f>IFERROR(INDEX(tblTasks[Task Name],10),"")</f>
        <v/>
      </c>
      <c r="D26" s="2">
        <f>IFERROR(INDEX(tblTasks[Assigned User],10),"")</f>
        <v/>
      </c>
      <c r="E26" s="2">
        <f>IFERROR(INDEX(tblTasks[Due Date],10),"")</f>
        <v/>
      </c>
      <c r="F26" s="2">
        <f>IFERROR(INDEX(tblTasks[Auto Health],10),"")</f>
        <v/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Task</t>
        </is>
      </c>
      <c r="B27" s="2">
        <f>IFERROR(INDEX(tblTasks[Project ID],11),"")</f>
        <v/>
      </c>
      <c r="C27" s="2">
        <f>IFERROR(INDEX(tblTasks[Task Name],11),"")</f>
        <v/>
      </c>
      <c r="D27" s="2">
        <f>IFERROR(INDEX(tblTasks[Assigned User],11),"")</f>
        <v/>
      </c>
      <c r="E27" s="2">
        <f>IFERROR(INDEX(tblTasks[Due Date],11),"")</f>
        <v/>
      </c>
      <c r="F27" s="2">
        <f>IFERROR(INDEX(tblTasks[Auto Health],11),"")</f>
        <v/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Task</t>
        </is>
      </c>
      <c r="B28" s="2">
        <f>IFERROR(INDEX(tblTasks[Project ID],12),"")</f>
        <v/>
      </c>
      <c r="C28" s="2">
        <f>IFERROR(INDEX(tblTasks[Task Name],12),"")</f>
        <v/>
      </c>
      <c r="D28" s="2">
        <f>IFERROR(INDEX(tblTasks[Assigned User],12),"")</f>
        <v/>
      </c>
      <c r="E28" s="2">
        <f>IFERROR(INDEX(tblTasks[Due Date],12),"")</f>
        <v/>
      </c>
      <c r="F28" s="2">
        <f>IFERROR(INDEX(tblTasks[Auto Health],12),"")</f>
        <v/>
      </c>
      <c r="G28" s="2" t="n"/>
      <c r="H28" s="2" t="n"/>
      <c r="I28" s="2" t="n"/>
      <c r="J28" s="2" t="n"/>
      <c r="K28" s="2" t="n"/>
      <c r="L28" s="2" t="n"/>
      <c r="M28" s="2" t="n"/>
      <c r="N28" s="2" t="n"/>
    </row>
  </sheetData>
  <mergeCells count="10">
    <mergeCell ref="C10:D11"/>
    <mergeCell ref="E10:F11"/>
    <mergeCell ref="A2:N2"/>
    <mergeCell ref="G10:H11"/>
    <mergeCell ref="C5:D6"/>
    <mergeCell ref="A5:B6"/>
    <mergeCell ref="G5:H6"/>
    <mergeCell ref="E5:F6"/>
    <mergeCell ref="A10:B11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666666"/>
    <outlinePr summaryBelow="1" summaryRight="1"/>
    <pageSetUpPr/>
  </sheetPr>
  <dimension ref="A1:N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 ht="30" customHeight="1">
      <c r="A1" s="1" t="inlineStr">
        <is>
          <t>Project Charter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Charter ID</t>
        </is>
      </c>
      <c r="B5" s="17" t="inlineStr">
        <is>
          <t>Project ID</t>
        </is>
      </c>
      <c r="C5" s="17" t="inlineStr">
        <is>
          <t>Business Objective</t>
        </is>
      </c>
      <c r="D5" s="17" t="inlineStr">
        <is>
          <t>Scope Summary</t>
        </is>
      </c>
      <c r="E5" s="17" t="inlineStr">
        <is>
          <t>Success Criteria</t>
        </is>
      </c>
      <c r="F5" s="17" t="inlineStr">
        <is>
          <t>Sponsor</t>
        </is>
      </c>
      <c r="G5" s="17" t="inlineStr">
        <is>
          <t>Approval Status</t>
        </is>
      </c>
      <c r="H5" s="17" t="inlineStr">
        <is>
          <t>Approved Date</t>
        </is>
      </c>
      <c r="I5" s="17" t="n"/>
      <c r="J5" s="17" t="n"/>
      <c r="K5" s="17" t="n"/>
      <c r="L5" s="17" t="n"/>
      <c r="M5" s="17" t="n"/>
      <c r="N5" s="17" t="n"/>
    </row>
    <row r="6">
      <c r="A6" s="2" t="inlineStr">
        <is>
          <t>CHR-001</t>
        </is>
      </c>
      <c r="B6" s="2" t="inlineStr">
        <is>
          <t>PRJ-001</t>
        </is>
      </c>
      <c r="C6" s="2" t="inlineStr">
        <is>
          <t>Modernize ERP operations</t>
        </is>
      </c>
      <c r="D6" s="2" t="inlineStr">
        <is>
          <t>Replace legacy integration and automate reporting</t>
        </is>
      </c>
      <c r="E6" s="2" t="inlineStr">
        <is>
          <t>Stable go-live with &lt;2% defects</t>
        </is>
      </c>
      <c r="F6" s="2" t="inlineStr">
        <is>
          <t>USR-001</t>
        </is>
      </c>
      <c r="G6" s="2" t="inlineStr">
        <is>
          <t>Approved</t>
        </is>
      </c>
      <c r="H6" s="24" t="n">
        <v>46147</v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CHR-002</t>
        </is>
      </c>
      <c r="B7" s="2" t="inlineStr">
        <is>
          <t>PRJ-006</t>
        </is>
      </c>
      <c r="C7" s="2" t="inlineStr">
        <is>
          <t>Regulatory reporting automation</t>
        </is>
      </c>
      <c r="D7" s="2" t="inlineStr">
        <is>
          <t>Automate compliance pack generation</t>
        </is>
      </c>
      <c r="E7" s="2" t="inlineStr">
        <is>
          <t>On-time monthly regulatory reports</t>
        </is>
      </c>
      <c r="F7" s="2" t="inlineStr">
        <is>
          <t>USR-006</t>
        </is>
      </c>
      <c r="G7" s="2" t="inlineStr">
        <is>
          <t>Draft</t>
        </is>
      </c>
      <c r="H7" s="2" t="inlineStr"/>
      <c r="I7" s="2" t="n"/>
      <c r="J7" s="2" t="n"/>
      <c r="K7" s="2" t="n"/>
      <c r="L7" s="2" t="n"/>
      <c r="M7" s="2" t="n"/>
      <c r="N7" s="2" t="n"/>
    </row>
  </sheetData>
  <mergeCells count="2">
    <mergeCell ref="A2:N2"/>
    <mergeCell ref="A1:N1"/>
  </mergeCells>
  <dataValidations count="1">
    <dataValidation sqref="B6:B500" showDropDown="0" showInputMessage="0" showErrorMessage="0" allowBlank="1" error="Select a valid value from dropdown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26.xml><?xml version="1.0" encoding="utf-8"?>
<worksheet xmlns="http://schemas.openxmlformats.org/spreadsheetml/2006/main">
  <sheetPr>
    <tabColor rgb="0066666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 ht="30" customHeight="1">
      <c r="A1" s="1" t="inlineStr">
        <is>
          <t>Deliverables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Deliverable ID</t>
        </is>
      </c>
      <c r="B5" s="17" t="inlineStr">
        <is>
          <t>Project ID</t>
        </is>
      </c>
      <c r="C5" s="17" t="inlineStr">
        <is>
          <t>Deliverable</t>
        </is>
      </c>
      <c r="D5" s="17" t="inlineStr">
        <is>
          <t>Owner</t>
        </is>
      </c>
      <c r="E5" s="17" t="inlineStr">
        <is>
          <t>Due Date</t>
        </is>
      </c>
      <c r="F5" s="17" t="inlineStr">
        <is>
          <t>Status</t>
        </is>
      </c>
      <c r="G5" s="17" t="inlineStr">
        <is>
          <t>Acceptance Criteria</t>
        </is>
      </c>
      <c r="H5" s="17" t="inlineStr">
        <is>
          <t>Approval Status</t>
        </is>
      </c>
      <c r="I5" s="17" t="n"/>
      <c r="J5" s="17" t="n"/>
      <c r="K5" s="17" t="n"/>
      <c r="L5" s="17" t="n"/>
      <c r="M5" s="17" t="n"/>
      <c r="N5" s="17" t="n"/>
    </row>
    <row r="6">
      <c r="A6" s="2" t="inlineStr">
        <is>
          <t>DEL-001</t>
        </is>
      </c>
      <c r="B6" s="2" t="inlineStr">
        <is>
          <t>PRJ-001</t>
        </is>
      </c>
      <c r="C6" s="2" t="inlineStr">
        <is>
          <t>Integration design pack</t>
        </is>
      </c>
      <c r="D6" s="2" t="inlineStr">
        <is>
          <t>USR-003</t>
        </is>
      </c>
      <c r="E6" s="24" t="n">
        <v>46190</v>
      </c>
      <c r="F6" s="2" t="inlineStr">
        <is>
          <t>In Progress</t>
        </is>
      </c>
      <c r="G6" s="2" t="inlineStr">
        <is>
          <t>Signed architecture document</t>
        </is>
      </c>
      <c r="H6" s="2" t="inlineStr">
        <is>
          <t>Submitted</t>
        </is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DEL-002</t>
        </is>
      </c>
      <c r="B7" s="2" t="inlineStr">
        <is>
          <t>PRJ-002</t>
        </is>
      </c>
      <c r="C7" s="2" t="inlineStr">
        <is>
          <t>Portal beta build</t>
        </is>
      </c>
      <c r="D7" s="2" t="inlineStr">
        <is>
          <t>USR-002</t>
        </is>
      </c>
      <c r="E7" s="24" t="n">
        <v>46207</v>
      </c>
      <c r="F7" s="2" t="inlineStr">
        <is>
          <t>Not Started</t>
        </is>
      </c>
      <c r="G7" s="2" t="inlineStr">
        <is>
          <t>Beta available to pilot users</t>
        </is>
      </c>
      <c r="H7" s="2" t="inlineStr">
        <is>
          <t>Draft</t>
        </is>
      </c>
      <c r="I7" s="2" t="n"/>
      <c r="J7" s="2" t="n"/>
      <c r="K7" s="2" t="n"/>
      <c r="L7" s="2" t="n"/>
      <c r="M7" s="2" t="n"/>
      <c r="N7" s="2" t="n"/>
    </row>
    <row r="8">
      <c r="A8" s="2" t="inlineStr">
        <is>
          <t>DEL-003</t>
        </is>
      </c>
      <c r="B8" s="2" t="inlineStr">
        <is>
          <t>PRJ-006</t>
        </is>
      </c>
      <c r="C8" s="2" t="inlineStr">
        <is>
          <t>Compliance report template</t>
        </is>
      </c>
      <c r="D8" s="2" t="inlineStr">
        <is>
          <t>USR-006</t>
        </is>
      </c>
      <c r="E8" s="24" t="n">
        <v>46202</v>
      </c>
      <c r="F8" s="2" t="inlineStr">
        <is>
          <t>Not Started</t>
        </is>
      </c>
      <c r="G8" s="2" t="inlineStr">
        <is>
          <t>Approved by compliance officer</t>
        </is>
      </c>
      <c r="H8" s="2" t="inlineStr">
        <is>
          <t>Draft</t>
        </is>
      </c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dataValidations count="1">
    <dataValidation sqref="B6:B500" showDropDown="0" showInputMessage="0" showErrorMessage="0" allowBlank="1" error="Select a valid value from dropdown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27.xml><?xml version="1.0" encoding="utf-8"?>
<worksheet xmlns="http://schemas.openxmlformats.org/spreadsheetml/2006/main">
  <sheetPr>
    <tabColor rgb="00D97706"/>
    <outlinePr summaryBelow="1" summaryRight="1"/>
    <pageSetUpPr/>
  </sheetPr>
  <dimension ref="A1:N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Change Requests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Change ID</t>
        </is>
      </c>
      <c r="B5" s="17" t="inlineStr">
        <is>
          <t>Project ID</t>
        </is>
      </c>
      <c r="C5" s="17" t="inlineStr">
        <is>
          <t>Title</t>
        </is>
      </c>
      <c r="D5" s="17" t="inlineStr">
        <is>
          <t>Requester</t>
        </is>
      </c>
      <c r="E5" s="17" t="inlineStr">
        <is>
          <t>Request Date</t>
        </is>
      </c>
      <c r="F5" s="17" t="inlineStr">
        <is>
          <t>Status</t>
        </is>
      </c>
      <c r="G5" s="17" t="inlineStr">
        <is>
          <t>Priority</t>
        </is>
      </c>
      <c r="H5" s="17" t="inlineStr">
        <is>
          <t>Estimated Cost</t>
        </is>
      </c>
      <c r="I5" s="17" t="inlineStr">
        <is>
          <t>Reason</t>
        </is>
      </c>
      <c r="J5" s="17" t="n"/>
      <c r="K5" s="17" t="n"/>
      <c r="L5" s="17" t="n"/>
      <c r="M5" s="17" t="n"/>
      <c r="N5" s="17" t="n"/>
    </row>
    <row r="6">
      <c r="A6" s="2" t="inlineStr">
        <is>
          <t>CR-001</t>
        </is>
      </c>
      <c r="B6" s="2" t="inlineStr">
        <is>
          <t>PRJ-002</t>
        </is>
      </c>
      <c r="C6" s="2" t="inlineStr">
        <is>
          <t>Add biometric login</t>
        </is>
      </c>
      <c r="D6" s="2" t="inlineStr">
        <is>
          <t>USR-001</t>
        </is>
      </c>
      <c r="E6" s="24" t="n">
        <v>46178</v>
      </c>
      <c r="F6" s="2" t="inlineStr">
        <is>
          <t>Under Review</t>
        </is>
      </c>
      <c r="G6" s="2" t="inlineStr">
        <is>
          <t>High</t>
        </is>
      </c>
      <c r="H6" s="2" t="n">
        <v>65000</v>
      </c>
      <c r="I6" s="2" t="inlineStr">
        <is>
          <t>Security requirement</t>
        </is>
      </c>
      <c r="J6" s="2" t="n"/>
      <c r="K6" s="2" t="n"/>
      <c r="L6" s="2" t="n"/>
      <c r="M6" s="2" t="n"/>
      <c r="N6" s="2" t="n"/>
    </row>
    <row r="7">
      <c r="A7" s="2" t="inlineStr">
        <is>
          <t>CR-002</t>
        </is>
      </c>
      <c r="B7" s="2" t="inlineStr">
        <is>
          <t>PRJ-004</t>
        </is>
      </c>
      <c r="C7" s="2" t="inlineStr">
        <is>
          <t>Add regional approval route</t>
        </is>
      </c>
      <c r="D7" s="2" t="inlineStr">
        <is>
          <t>USR-006</t>
        </is>
      </c>
      <c r="E7" s="24" t="n">
        <v>46180</v>
      </c>
      <c r="F7" s="2" t="inlineStr">
        <is>
          <t>Draft</t>
        </is>
      </c>
      <c r="G7" s="2" t="inlineStr">
        <is>
          <t>Medium</t>
        </is>
      </c>
      <c r="H7" s="2" t="n">
        <v>25000</v>
      </c>
      <c r="I7" s="2" t="inlineStr">
        <is>
          <t>Ops request</t>
        </is>
      </c>
      <c r="J7" s="2" t="n"/>
      <c r="K7" s="2" t="n"/>
      <c r="L7" s="2" t="n"/>
      <c r="M7" s="2" t="n"/>
      <c r="N7" s="2" t="n"/>
    </row>
  </sheetData>
  <mergeCells count="2">
    <mergeCell ref="A2:N2"/>
    <mergeCell ref="A1:N1"/>
  </mergeCells>
  <dataValidations count="2">
    <dataValidation sqref="B6:B500" showDropDown="0" showInputMessage="0" showErrorMessage="0" allowBlank="1" error="Select a valid value from dropdown." type="list">
      <formula1>=ProjectIDs</formula1>
    </dataValidation>
    <dataValidation sqref="F6:F500" showDropDown="0" showInputMessage="0" showErrorMessage="0" allowBlank="1" error="Select a valid value from dropdown." type="list">
      <formula1>=Change_Status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28.xml><?xml version="1.0" encoding="utf-8"?>
<worksheet xmlns="http://schemas.openxmlformats.org/spreadsheetml/2006/main">
  <sheetPr>
    <tabColor rgb="00D9770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 ht="30" customHeight="1">
      <c r="A1" s="1" t="inlineStr">
        <is>
          <t>Approvals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Approval ID</t>
        </is>
      </c>
      <c r="B5" s="17" t="inlineStr">
        <is>
          <t>Project ID</t>
        </is>
      </c>
      <c r="C5" s="17" t="inlineStr">
        <is>
          <t>Approval Item</t>
        </is>
      </c>
      <c r="D5" s="17" t="inlineStr">
        <is>
          <t>Requester</t>
        </is>
      </c>
      <c r="E5" s="17" t="inlineStr">
        <is>
          <t>Approver</t>
        </is>
      </c>
      <c r="F5" s="17" t="inlineStr">
        <is>
          <t>Submitted Date</t>
        </is>
      </c>
      <c r="G5" s="17" t="inlineStr">
        <is>
          <t>Status</t>
        </is>
      </c>
      <c r="H5" s="17" t="inlineStr">
        <is>
          <t>Notes</t>
        </is>
      </c>
      <c r="I5" s="17" t="n"/>
      <c r="J5" s="17" t="n"/>
      <c r="K5" s="17" t="n"/>
      <c r="L5" s="17" t="n"/>
      <c r="M5" s="17" t="n"/>
      <c r="N5" s="17" t="n"/>
    </row>
    <row r="6">
      <c r="A6" s="2" t="inlineStr">
        <is>
          <t>APR-001</t>
        </is>
      </c>
      <c r="B6" s="2" t="inlineStr">
        <is>
          <t>PRJ-001</t>
        </is>
      </c>
      <c r="C6" s="2" t="inlineStr">
        <is>
          <t>Architecture sign-off</t>
        </is>
      </c>
      <c r="D6" s="2" t="inlineStr">
        <is>
          <t>USR-001</t>
        </is>
      </c>
      <c r="E6" s="2" t="inlineStr">
        <is>
          <t>USR-007</t>
        </is>
      </c>
      <c r="F6" s="24" t="n">
        <v>46181</v>
      </c>
      <c r="G6" s="2" t="inlineStr">
        <is>
          <t>Submitted</t>
        </is>
      </c>
      <c r="H6" s="2" t="inlineStr">
        <is>
          <t>Pending finance review</t>
        </is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APR-002</t>
        </is>
      </c>
      <c r="B7" s="2" t="inlineStr">
        <is>
          <t>PRJ-002</t>
        </is>
      </c>
      <c r="C7" s="2" t="inlineStr">
        <is>
          <t>Security design</t>
        </is>
      </c>
      <c r="D7" s="2" t="inlineStr">
        <is>
          <t>USR-001</t>
        </is>
      </c>
      <c r="E7" s="2" t="inlineStr">
        <is>
          <t>USR-005</t>
        </is>
      </c>
      <c r="F7" s="24" t="n">
        <v>46179</v>
      </c>
      <c r="G7" s="2" t="inlineStr">
        <is>
          <t>Rework Required</t>
        </is>
      </c>
      <c r="H7" s="2" t="inlineStr">
        <is>
          <t>Need auth details</t>
        </is>
      </c>
      <c r="I7" s="2" t="n"/>
      <c r="J7" s="2" t="n"/>
      <c r="K7" s="2" t="n"/>
      <c r="L7" s="2" t="n"/>
      <c r="M7" s="2" t="n"/>
      <c r="N7" s="2" t="n"/>
    </row>
    <row r="8">
      <c r="A8" s="2" t="inlineStr">
        <is>
          <t>APR-003</t>
        </is>
      </c>
      <c r="B8" s="2" t="inlineStr">
        <is>
          <t>PRJ-005</t>
        </is>
      </c>
      <c r="C8" s="2" t="inlineStr">
        <is>
          <t>Closure approval</t>
        </is>
      </c>
      <c r="D8" s="2" t="inlineStr">
        <is>
          <t>USR-001</t>
        </is>
      </c>
      <c r="E8" s="2" t="inlineStr">
        <is>
          <t>USR-007</t>
        </is>
      </c>
      <c r="F8" s="24" t="n">
        <v>46175</v>
      </c>
      <c r="G8" s="2" t="inlineStr">
        <is>
          <t>Approved</t>
        </is>
      </c>
      <c r="H8" s="2" t="inlineStr">
        <is>
          <t>Closed</t>
        </is>
      </c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dataValidations count="2">
    <dataValidation sqref="B6:B500" showDropDown="0" showInputMessage="0" showErrorMessage="0" allowBlank="1" error="Select a valid value from dropdown." type="list">
      <formula1>=ProjectIDs</formula1>
    </dataValidation>
    <dataValidation sqref="G6:G500" showDropDown="0" showInputMessage="0" showErrorMessage="0" allowBlank="1" error="Select a valid value from dropdown." type="list">
      <formula1>=Approval_Status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29.xml><?xml version="1.0" encoding="utf-8"?>
<worksheet xmlns="http://schemas.openxmlformats.org/spreadsheetml/2006/main">
  <sheetPr>
    <tabColor rgb="00D9770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 ht="30" customHeight="1">
      <c r="A1" s="1" t="inlineStr">
        <is>
          <t>RACI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RACI ID</t>
        </is>
      </c>
      <c r="B5" s="17" t="inlineStr">
        <is>
          <t>Project ID</t>
        </is>
      </c>
      <c r="C5" s="17" t="inlineStr">
        <is>
          <t>Workstream</t>
        </is>
      </c>
      <c r="D5" s="17" t="inlineStr">
        <is>
          <t>Activity</t>
        </is>
      </c>
      <c r="E5" s="17" t="inlineStr">
        <is>
          <t>Responsible</t>
        </is>
      </c>
      <c r="F5" s="17" t="inlineStr">
        <is>
          <t>Accountable</t>
        </is>
      </c>
      <c r="G5" s="17" t="inlineStr">
        <is>
          <t>Consulted</t>
        </is>
      </c>
      <c r="H5" s="17" t="inlineStr">
        <is>
          <t>Informed</t>
        </is>
      </c>
      <c r="I5" s="17" t="n"/>
      <c r="J5" s="17" t="n"/>
      <c r="K5" s="17" t="n"/>
      <c r="L5" s="17" t="n"/>
      <c r="M5" s="17" t="n"/>
      <c r="N5" s="17" t="n"/>
    </row>
    <row r="6">
      <c r="A6" s="2" t="inlineStr">
        <is>
          <t>RACI-001</t>
        </is>
      </c>
      <c r="B6" s="2" t="inlineStr">
        <is>
          <t>PRJ-001</t>
        </is>
      </c>
      <c r="C6" s="2" t="inlineStr">
        <is>
          <t>Integration</t>
        </is>
      </c>
      <c r="D6" s="2" t="inlineStr">
        <is>
          <t>Oracle connector</t>
        </is>
      </c>
      <c r="E6" s="2" t="inlineStr">
        <is>
          <t>USR-002</t>
        </is>
      </c>
      <c r="F6" s="2" t="inlineStr">
        <is>
          <t>USR-001</t>
        </is>
      </c>
      <c r="G6" s="2" t="inlineStr">
        <is>
          <t>USR-005</t>
        </is>
      </c>
      <c r="H6" s="2" t="inlineStr">
        <is>
          <t>USR-007</t>
        </is>
      </c>
      <c r="I6" s="2" t="n"/>
      <c r="J6" s="2" t="n"/>
      <c r="K6" s="2" t="n"/>
      <c r="L6" s="2" t="n"/>
      <c r="M6" s="2" t="n"/>
      <c r="N6" s="2" t="n"/>
    </row>
    <row r="7">
      <c r="A7" s="2" t="inlineStr">
        <is>
          <t>RACI-002</t>
        </is>
      </c>
      <c r="B7" s="2" t="inlineStr">
        <is>
          <t>PRJ-002</t>
        </is>
      </c>
      <c r="C7" s="2" t="inlineStr">
        <is>
          <t>Security</t>
        </is>
      </c>
      <c r="D7" s="2" t="inlineStr">
        <is>
          <t>Authentication</t>
        </is>
      </c>
      <c r="E7" s="2" t="inlineStr">
        <is>
          <t>USR-002</t>
        </is>
      </c>
      <c r="F7" s="2" t="inlineStr">
        <is>
          <t>USR-001</t>
        </is>
      </c>
      <c r="G7" s="2" t="inlineStr">
        <is>
          <t>USR-005</t>
        </is>
      </c>
      <c r="H7" s="2" t="inlineStr">
        <is>
          <t>USR-006</t>
        </is>
      </c>
      <c r="I7" s="2" t="n"/>
      <c r="J7" s="2" t="n"/>
      <c r="K7" s="2" t="n"/>
      <c r="L7" s="2" t="n"/>
      <c r="M7" s="2" t="n"/>
      <c r="N7" s="2" t="n"/>
    </row>
    <row r="8">
      <c r="A8" s="2" t="inlineStr">
        <is>
          <t>RACI-003</t>
        </is>
      </c>
      <c r="B8" s="2" t="inlineStr">
        <is>
          <t>PRJ-006</t>
        </is>
      </c>
      <c r="C8" s="2" t="inlineStr">
        <is>
          <t>Compliance</t>
        </is>
      </c>
      <c r="D8" s="2" t="inlineStr">
        <is>
          <t>Report matrix</t>
        </is>
      </c>
      <c r="E8" s="2" t="inlineStr">
        <is>
          <t>USR-006</t>
        </is>
      </c>
      <c r="F8" s="2" t="inlineStr">
        <is>
          <t>USR-001</t>
        </is>
      </c>
      <c r="G8" s="2" t="inlineStr">
        <is>
          <t>USR-007</t>
        </is>
      </c>
      <c r="H8" s="2" t="inlineStr">
        <is>
          <t>USR-004</t>
        </is>
      </c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dataValidations count="1">
    <dataValidation sqref="B6:B500" showDropDown="0" showInputMessage="0" showErrorMessage="0" allowBlank="1" error="Select a valid value from dropdown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30.xml><?xml version="1.0" encoding="utf-8"?>
<worksheet xmlns="http://schemas.openxmlformats.org/spreadsheetml/2006/main">
  <sheetPr>
    <tabColor rgb="0066666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 ht="30" customHeight="1">
      <c r="A1" s="1" t="inlineStr">
        <is>
          <t>Stakeholders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Stakeholder ID</t>
        </is>
      </c>
      <c r="B5" s="17" t="inlineStr">
        <is>
          <t>Project ID</t>
        </is>
      </c>
      <c r="C5" s="17" t="inlineStr">
        <is>
          <t>Name</t>
        </is>
      </c>
      <c r="D5" s="17" t="inlineStr">
        <is>
          <t>Role</t>
        </is>
      </c>
      <c r="E5" s="17" t="inlineStr">
        <is>
          <t>Influence</t>
        </is>
      </c>
      <c r="F5" s="17" t="inlineStr">
        <is>
          <t>Cadence</t>
        </is>
      </c>
      <c r="G5" s="17" t="inlineStr">
        <is>
          <t>Owner</t>
        </is>
      </c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STK-001</t>
        </is>
      </c>
      <c r="B6" s="2" t="inlineStr">
        <is>
          <t>PRJ-001</t>
        </is>
      </c>
      <c r="C6" s="2" t="inlineStr">
        <is>
          <t>Finance Sponsor</t>
        </is>
      </c>
      <c r="D6" s="2" t="inlineStr">
        <is>
          <t>Sponsor</t>
        </is>
      </c>
      <c r="E6" s="2" t="inlineStr">
        <is>
          <t>High</t>
        </is>
      </c>
      <c r="F6" s="2" t="inlineStr">
        <is>
          <t>Weekly</t>
        </is>
      </c>
      <c r="G6" s="2" t="inlineStr">
        <is>
          <t>USR-001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STK-002</t>
        </is>
      </c>
      <c r="B7" s="2" t="inlineStr">
        <is>
          <t>PRJ-002</t>
        </is>
      </c>
      <c r="C7" s="2" t="inlineStr">
        <is>
          <t>Sales Head</t>
        </is>
      </c>
      <c r="D7" s="2" t="inlineStr">
        <is>
          <t>Sponsor</t>
        </is>
      </c>
      <c r="E7" s="2" t="inlineStr">
        <is>
          <t>High</t>
        </is>
      </c>
      <c r="F7" s="2" t="inlineStr">
        <is>
          <t>Weekly</t>
        </is>
      </c>
      <c r="G7" s="2" t="inlineStr">
        <is>
          <t>USR-001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STK-003</t>
        </is>
      </c>
      <c r="B8" s="2" t="inlineStr">
        <is>
          <t>PRJ-006</t>
        </is>
      </c>
      <c r="C8" s="2" t="inlineStr">
        <is>
          <t>Compliance Officer</t>
        </is>
      </c>
      <c r="D8" s="2" t="inlineStr">
        <is>
          <t>Approver</t>
        </is>
      </c>
      <c r="E8" s="2" t="inlineStr">
        <is>
          <t>Critical</t>
        </is>
      </c>
      <c r="F8" s="2" t="inlineStr">
        <is>
          <t>Twice Weekly</t>
        </is>
      </c>
      <c r="G8" s="2" t="inlineStr">
        <is>
          <t>USR-006</t>
        </is>
      </c>
      <c r="H8" s="2" t="n"/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dataValidations count="1">
    <dataValidation sqref="B6:B500" showDropDown="0" showInputMessage="0" showErrorMessage="0" allowBlank="1" error="Select a valid value from dropdown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31.xml><?xml version="1.0" encoding="utf-8"?>
<worksheet xmlns="http://schemas.openxmlformats.org/spreadsheetml/2006/main">
  <sheetPr>
    <tabColor rgb="0066666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 ht="30" customHeight="1">
      <c r="A1" s="1" t="inlineStr">
        <is>
          <t>Communication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Comm ID</t>
        </is>
      </c>
      <c r="B5" s="17" t="inlineStr">
        <is>
          <t>Project ID</t>
        </is>
      </c>
      <c r="C5" s="17" t="inlineStr">
        <is>
          <t>Communication</t>
        </is>
      </c>
      <c r="D5" s="17" t="inlineStr">
        <is>
          <t>Channel</t>
        </is>
      </c>
      <c r="E5" s="17" t="inlineStr">
        <is>
          <t>Frequency</t>
        </is>
      </c>
      <c r="F5" s="17" t="inlineStr">
        <is>
          <t>Owner</t>
        </is>
      </c>
      <c r="G5" s="17" t="inlineStr">
        <is>
          <t>Audience</t>
        </is>
      </c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COM-001</t>
        </is>
      </c>
      <c r="B6" s="2" t="inlineStr">
        <is>
          <t>PRJ-001</t>
        </is>
      </c>
      <c r="C6" s="2" t="inlineStr">
        <is>
          <t>Steering update</t>
        </is>
      </c>
      <c r="D6" s="2" t="inlineStr">
        <is>
          <t>Meeting</t>
        </is>
      </c>
      <c r="E6" s="2" t="inlineStr">
        <is>
          <t>Weekly</t>
        </is>
      </c>
      <c r="F6" s="2" t="inlineStr">
        <is>
          <t>USR-001</t>
        </is>
      </c>
      <c r="G6" s="2" t="inlineStr">
        <is>
          <t>Sponsor group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COM-002</t>
        </is>
      </c>
      <c r="B7" s="2" t="inlineStr">
        <is>
          <t>PRJ-002</t>
        </is>
      </c>
      <c r="C7" s="2" t="inlineStr">
        <is>
          <t>Build status</t>
        </is>
      </c>
      <c r="D7" s="2" t="inlineStr">
        <is>
          <t>Email</t>
        </is>
      </c>
      <c r="E7" s="2" t="inlineStr">
        <is>
          <t>Twice Weekly</t>
        </is>
      </c>
      <c r="F7" s="2" t="inlineStr">
        <is>
          <t>USR-002</t>
        </is>
      </c>
      <c r="G7" s="2" t="inlineStr">
        <is>
          <t>Project team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COM-003</t>
        </is>
      </c>
      <c r="B8" s="2" t="inlineStr">
        <is>
          <t>PRJ-006</t>
        </is>
      </c>
      <c r="C8" s="2" t="inlineStr">
        <is>
          <t>Regulatory review</t>
        </is>
      </c>
      <c r="D8" s="2" t="inlineStr">
        <is>
          <t>Meeting</t>
        </is>
      </c>
      <c r="E8" s="2" t="inlineStr">
        <is>
          <t>Weekly</t>
        </is>
      </c>
      <c r="F8" s="2" t="inlineStr">
        <is>
          <t>USR-006</t>
        </is>
      </c>
      <c r="G8" s="2" t="inlineStr">
        <is>
          <t>Compliance team</t>
        </is>
      </c>
      <c r="H8" s="2" t="n"/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dataValidations count="1">
    <dataValidation sqref="B6:B500" showDropDown="0" showInputMessage="0" showErrorMessage="0" allowBlank="1" error="Select a valid value from dropdown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32.xml><?xml version="1.0" encoding="utf-8"?>
<worksheet xmlns="http://schemas.openxmlformats.org/spreadsheetml/2006/main">
  <sheetPr>
    <tabColor rgb="0066666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 ht="30" customHeight="1">
      <c r="A1" s="1" t="inlineStr">
        <is>
          <t>Meeting 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Action ID</t>
        </is>
      </c>
      <c r="B5" s="17" t="inlineStr">
        <is>
          <t>Project ID</t>
        </is>
      </c>
      <c r="C5" s="17" t="inlineStr">
        <is>
          <t>Action Item</t>
        </is>
      </c>
      <c r="D5" s="17" t="inlineStr">
        <is>
          <t>Owner</t>
        </is>
      </c>
      <c r="E5" s="17" t="inlineStr">
        <is>
          <t>Due Date</t>
        </is>
      </c>
      <c r="F5" s="17" t="inlineStr">
        <is>
          <t>Status</t>
        </is>
      </c>
      <c r="G5" s="17" t="inlineStr">
        <is>
          <t>Notes</t>
        </is>
      </c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ACT-001</t>
        </is>
      </c>
      <c r="B6" s="2" t="inlineStr">
        <is>
          <t>PRJ-001</t>
        </is>
      </c>
      <c r="C6" s="2" t="inlineStr">
        <is>
          <t>Confirm Oracle grants</t>
        </is>
      </c>
      <c r="D6" s="2" t="inlineStr">
        <is>
          <t>USR-002</t>
        </is>
      </c>
      <c r="E6" s="24" t="n">
        <v>46184</v>
      </c>
      <c r="F6" s="2" t="inlineStr">
        <is>
          <t>Open</t>
        </is>
      </c>
      <c r="G6" s="2" t="inlineStr">
        <is>
          <t>DBA dependency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ACT-002</t>
        </is>
      </c>
      <c r="B7" s="2" t="inlineStr">
        <is>
          <t>PRJ-002</t>
        </is>
      </c>
      <c r="C7" s="2" t="inlineStr">
        <is>
          <t>Resolve security comments</t>
        </is>
      </c>
      <c r="D7" s="2" t="inlineStr">
        <is>
          <t>USR-001</t>
        </is>
      </c>
      <c r="E7" s="24" t="n">
        <v>46183</v>
      </c>
      <c r="F7" s="2" t="inlineStr">
        <is>
          <t>Open</t>
        </is>
      </c>
      <c r="G7" s="2" t="inlineStr">
        <is>
          <t>Auth review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ACT-003</t>
        </is>
      </c>
      <c r="B8" s="2" t="inlineStr">
        <is>
          <t>PRJ-003</t>
        </is>
      </c>
      <c r="C8" s="2" t="inlineStr">
        <is>
          <t>Assign data owners</t>
        </is>
      </c>
      <c r="D8" s="2" t="inlineStr">
        <is>
          <t>USR-004</t>
        </is>
      </c>
      <c r="E8" s="24" t="n">
        <v>46187</v>
      </c>
      <c r="F8" s="2" t="inlineStr">
        <is>
          <t>Open</t>
        </is>
      </c>
      <c r="G8" s="2" t="inlineStr">
        <is>
          <t>Governance</t>
        </is>
      </c>
      <c r="H8" s="2" t="n"/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dataValidations count="1">
    <dataValidation sqref="B6:B500" showDropDown="0" showInputMessage="0" showErrorMessage="0" allowBlank="1" error="Select a valid value from dropdown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33.xml><?xml version="1.0" encoding="utf-8"?>
<worksheet xmlns="http://schemas.openxmlformats.org/spreadsheetml/2006/main">
  <sheetPr>
    <tabColor rgb="00666666"/>
    <outlinePr summaryBelow="1" summaryRight="1"/>
    <pageSetUpPr/>
  </sheetPr>
  <dimension ref="A1:N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 ht="30" customHeight="1">
      <c r="A1" s="1" t="inlineStr">
        <is>
          <t>Decision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Decision ID</t>
        </is>
      </c>
      <c r="B5" s="17" t="inlineStr">
        <is>
          <t>Project ID</t>
        </is>
      </c>
      <c r="C5" s="17" t="inlineStr">
        <is>
          <t>Decision</t>
        </is>
      </c>
      <c r="D5" s="17" t="inlineStr">
        <is>
          <t>Owner</t>
        </is>
      </c>
      <c r="E5" s="17" t="inlineStr">
        <is>
          <t>Decision Date</t>
        </is>
      </c>
      <c r="F5" s="17" t="inlineStr">
        <is>
          <t>Status</t>
        </is>
      </c>
      <c r="G5" s="17" t="inlineStr">
        <is>
          <t>Category</t>
        </is>
      </c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DEC-001</t>
        </is>
      </c>
      <c r="B6" s="2" t="inlineStr">
        <is>
          <t>PRJ-001</t>
        </is>
      </c>
      <c r="C6" s="2" t="inlineStr">
        <is>
          <t>Use CDB/PDB Oracle architecture</t>
        </is>
      </c>
      <c r="D6" s="2" t="inlineStr">
        <is>
          <t>USR-001</t>
        </is>
      </c>
      <c r="E6" s="24" t="n">
        <v>46172</v>
      </c>
      <c r="F6" s="2" t="inlineStr">
        <is>
          <t>Approved</t>
        </is>
      </c>
      <c r="G6" s="2" t="inlineStr">
        <is>
          <t>Architecture</t>
        </is>
      </c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DEC-002</t>
        </is>
      </c>
      <c r="B7" s="2" t="inlineStr">
        <is>
          <t>PRJ-002</t>
        </is>
      </c>
      <c r="C7" s="2" t="inlineStr">
        <is>
          <t>Use SSO provider</t>
        </is>
      </c>
      <c r="D7" s="2" t="inlineStr">
        <is>
          <t>USR-001</t>
        </is>
      </c>
      <c r="E7" s="24" t="n">
        <v>46180</v>
      </c>
      <c r="F7" s="2" t="inlineStr">
        <is>
          <t>Pending</t>
        </is>
      </c>
      <c r="G7" s="2" t="inlineStr">
        <is>
          <t>Security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DEC-003</t>
        </is>
      </c>
      <c r="B8" s="2" t="inlineStr">
        <is>
          <t>PRJ-006</t>
        </is>
      </c>
      <c r="C8" s="2" t="inlineStr">
        <is>
          <t>Monthly compliance pack format</t>
        </is>
      </c>
      <c r="D8" s="2" t="inlineStr">
        <is>
          <t>USR-006</t>
        </is>
      </c>
      <c r="E8" s="24" t="n">
        <v>46182</v>
      </c>
      <c r="F8" s="2" t="inlineStr">
        <is>
          <t>Draft</t>
        </is>
      </c>
      <c r="G8" s="2" t="inlineStr">
        <is>
          <t>Reporting</t>
        </is>
      </c>
      <c r="H8" s="2" t="n"/>
      <c r="I8" s="2" t="n"/>
      <c r="J8" s="2" t="n"/>
      <c r="K8" s="2" t="n"/>
      <c r="L8" s="2" t="n"/>
      <c r="M8" s="2" t="n"/>
      <c r="N8" s="2" t="n"/>
    </row>
  </sheetData>
  <mergeCells count="2">
    <mergeCell ref="A2:N2"/>
    <mergeCell ref="A1:N1"/>
  </mergeCells>
  <dataValidations count="1">
    <dataValidation sqref="B6:B500" showDropDown="0" showInputMessage="0" showErrorMessage="0" allowBlank="1" error="Select a valid value from dropdown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34.xml><?xml version="1.0" encoding="utf-8"?>
<worksheet xmlns="http://schemas.openxmlformats.org/spreadsheetml/2006/main">
  <sheetPr>
    <tabColor rgb="00666666"/>
    <outlinePr summaryBelow="1" summaryRight="1"/>
    <pageSetUpPr/>
  </sheetPr>
  <dimension ref="A1:N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Lessons Learned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PMO governance module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Lesson ID</t>
        </is>
      </c>
      <c r="B5" s="17" t="inlineStr">
        <is>
          <t>Project ID</t>
        </is>
      </c>
      <c r="C5" s="17" t="inlineStr">
        <is>
          <t>Lesson</t>
        </is>
      </c>
      <c r="D5" s="17" t="inlineStr">
        <is>
          <t>Owner</t>
        </is>
      </c>
      <c r="E5" s="17" t="inlineStr">
        <is>
          <t>Date</t>
        </is>
      </c>
      <c r="F5" s="17" t="inlineStr">
        <is>
          <t>Category</t>
        </is>
      </c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2" t="inlineStr">
        <is>
          <t>LL-001</t>
        </is>
      </c>
      <c r="B6" s="2" t="inlineStr">
        <is>
          <t>PRJ-005</t>
        </is>
      </c>
      <c r="C6" s="2" t="inlineStr">
        <is>
          <t>Design approval earlier reduces rework</t>
        </is>
      </c>
      <c r="D6" s="2" t="inlineStr">
        <is>
          <t>USR-003</t>
        </is>
      </c>
      <c r="E6" s="24" t="n">
        <v>46177</v>
      </c>
      <c r="F6" s="2" t="inlineStr">
        <is>
          <t>Process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LL-002</t>
        </is>
      </c>
      <c r="B7" s="2" t="inlineStr">
        <is>
          <t>PRJ-001</t>
        </is>
      </c>
      <c r="C7" s="2" t="inlineStr">
        <is>
          <t>DBA access must be requested before sprint start</t>
        </is>
      </c>
      <c r="D7" s="2" t="inlineStr">
        <is>
          <t>USR-002</t>
        </is>
      </c>
      <c r="E7" s="24" t="n">
        <v>46181</v>
      </c>
      <c r="F7" s="2" t="inlineStr">
        <is>
          <t>Dependency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</sheetData>
  <mergeCells count="2">
    <mergeCell ref="A2:N2"/>
    <mergeCell ref="A1:N1"/>
  </mergeCells>
  <dataValidations count="1">
    <dataValidation sqref="B6:B500" showDropDown="0" showInputMessage="0" showErrorMessage="0" allowBlank="1" error="Select a valid value from dropdown." type="list">
      <formula1>=ProjectIDs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35.xml><?xml version="1.0" encoding="utf-8"?>
<worksheet xmlns="http://schemas.openxmlformats.org/spreadsheetml/2006/main">
  <sheetPr>
    <tabColor rgb="00666666"/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Data Dictionary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Purpose of each worksheet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Home</t>
        </is>
      </c>
      <c r="B3" s="4" t="inlineStr">
        <is>
          <t>Exec</t>
        </is>
      </c>
      <c r="C3" s="4" t="inlineStr">
        <is>
          <t>Compact</t>
        </is>
      </c>
      <c r="D3" s="4" t="inlineStr">
        <is>
          <t>Project</t>
        </is>
      </c>
      <c r="E3" s="4" t="inlineStr">
        <is>
          <t>Tasks</t>
        </is>
      </c>
      <c r="F3" s="4" t="inlineStr">
        <is>
          <t>Kanban</t>
        </is>
      </c>
      <c r="G3" s="4" t="inlineStr">
        <is>
          <t>Gantt</t>
        </is>
      </c>
      <c r="H3" s="4" t="inlineStr">
        <is>
          <t>Reports</t>
        </is>
      </c>
      <c r="I3" s="4" t="inlineStr">
        <is>
          <t>Master</t>
        </is>
      </c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7" t="inlineStr">
        <is>
          <t>Sheet</t>
        </is>
      </c>
      <c r="B5" s="17" t="inlineStr">
        <is>
          <t>Purpose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Home</t>
        </is>
      </c>
      <c r="B6" s="2" t="inlineStr">
        <is>
          <t>Project management environment module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Portfolio_Dashboard</t>
        </is>
      </c>
      <c r="B7" s="2" t="inlineStr">
        <is>
          <t>Project management environment module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Project_Workspace</t>
        </is>
      </c>
      <c r="B8" s="2" t="inlineStr">
        <is>
          <t>Project management environment module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Projects</t>
        </is>
      </c>
      <c r="B9" s="2" t="inlineStr">
        <is>
          <t>Project management environment module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Tasks</t>
        </is>
      </c>
      <c r="B10" s="2" t="inlineStr">
        <is>
          <t>Project management environment module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Subtasks</t>
        </is>
      </c>
      <c r="B11" s="2" t="inlineStr">
        <is>
          <t>Project management environment module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Milestones</t>
        </is>
      </c>
      <c r="B12" s="2" t="inlineStr">
        <is>
          <t>Project management environment module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Issues</t>
        </is>
      </c>
      <c r="B13" s="2" t="inlineStr">
        <is>
          <t>Project management environment module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Risks</t>
        </is>
      </c>
      <c r="B14" s="2" t="inlineStr">
        <is>
          <t>Project management environment module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Timesheets</t>
        </is>
      </c>
      <c r="B15" s="2" t="inlineStr">
        <is>
          <t>Project management environment module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Calendar</t>
        </is>
      </c>
      <c r="B16" s="2" t="inlineStr">
        <is>
          <t>Project management environment module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Kanban_View</t>
        </is>
      </c>
      <c r="B17" s="2" t="inlineStr">
        <is>
          <t>Project management environment module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Activity_Log</t>
        </is>
      </c>
      <c r="B18" s="2" t="inlineStr">
        <is>
          <t>Project management environment module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Documents</t>
        </is>
      </c>
      <c r="B19" s="2" t="inlineStr">
        <is>
          <t>Project management environment module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Users</t>
        </is>
      </c>
      <c r="B20" s="2" t="inlineStr">
        <is>
          <t>Project management environment module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Teams</t>
        </is>
      </c>
      <c r="B21" s="2" t="inlineStr">
        <is>
          <t>Project management environment module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Clients</t>
        </is>
      </c>
      <c r="B22" s="2" t="inlineStr">
        <is>
          <t>Project management environment module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Reports</t>
        </is>
      </c>
      <c r="B23" s="2" t="inlineStr">
        <is>
          <t>Project management environment module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Master_Management</t>
        </is>
      </c>
      <c r="B24" s="2" t="inlineStr">
        <is>
          <t>Project management environment module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Settings</t>
        </is>
      </c>
      <c r="B25" s="2" t="inlineStr">
        <is>
          <t>Project management environment module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How_To_Use</t>
        </is>
      </c>
      <c r="B26" s="2" t="inlineStr">
        <is>
          <t>Project management environment module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Executive_Dashboard</t>
        </is>
      </c>
      <c r="B27" s="2" t="inlineStr">
        <is>
          <t>Project management environment module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Project_Command_Center</t>
        </is>
      </c>
      <c r="B28" s="2" t="inlineStr">
        <is>
          <t>Project management environment module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Compact_Dashboard</t>
        </is>
      </c>
      <c r="B29" s="2" t="inlineStr">
        <is>
          <t>Project management environment module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Project_Charter</t>
        </is>
      </c>
      <c r="B30" s="2" t="inlineStr">
        <is>
          <t>Project management environment module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Deliverables</t>
        </is>
      </c>
      <c r="B31" s="2" t="inlineStr">
        <is>
          <t>Project management environment module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Change_Requests</t>
        </is>
      </c>
      <c r="B32" s="2" t="inlineStr">
        <is>
          <t>Project management environment module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Approvals</t>
        </is>
      </c>
      <c r="B33" s="2" t="inlineStr">
        <is>
          <t>Project management environment module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RACI_Matrix</t>
        </is>
      </c>
      <c r="B34" s="2" t="inlineStr">
        <is>
          <t>Project management environment module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Stakeholders</t>
        </is>
      </c>
      <c r="B35" s="2" t="inlineStr">
        <is>
          <t>Project management environment module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Communication_Plan</t>
        </is>
      </c>
      <c r="B36" s="2" t="inlineStr">
        <is>
          <t>Project management environment module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Meeting_Actions</t>
        </is>
      </c>
      <c r="B37" s="2" t="inlineStr">
        <is>
          <t>Project management environment module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inlineStr">
        <is>
          <t>Decision_Log</t>
        </is>
      </c>
      <c r="B38" s="2" t="inlineStr">
        <is>
          <t>Project management environment module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Lessons_Learned</t>
        </is>
      </c>
      <c r="B39" s="2" t="inlineStr">
        <is>
          <t>Project management environment module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inlineStr">
        <is>
          <t>Data_Dictionary</t>
        </is>
      </c>
      <c r="B40" s="2" t="inlineStr">
        <is>
          <t>Project management environment module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</sheetData>
  <mergeCells count="2">
    <mergeCell ref="A2:N2"/>
    <mergeCell ref="A1:N1"/>
  </mergeCells>
  <hyperlinks>
    <hyperlink xmlns:r="http://schemas.openxmlformats.org/officeDocument/2006/relationships" ref="A3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I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2026-06-09T08:53:24Z</dcterms:created>
  <dcterms:modified xmlns:dcterms="http://purl.org/dc/terms/" xmlns:xsi="http://www.w3.org/2001/XMLSchema-instance" xsi:type="dcterms:W3CDTF">2026-06-09T09:12:06Z</dcterms:modified>
</cp:coreProperties>
</file>