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_Management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Tasks" sheetId="6" state="visible" r:id="rId6"/>
    <sheet xmlns:r="http://schemas.openxmlformats.org/officeDocument/2006/relationships" name="Subtasks" sheetId="7" state="visible" r:id="rId7"/>
    <sheet xmlns:r="http://schemas.openxmlformats.org/officeDocument/2006/relationships" name="Milestones" sheetId="8" state="visible" r:id="rId8"/>
    <sheet xmlns:r="http://schemas.openxmlformats.org/officeDocument/2006/relationships" name="Risks_Issues" sheetId="9" state="visible" r:id="rId9"/>
    <sheet xmlns:r="http://schemas.openxmlformats.org/officeDocument/2006/relationships" name="Budget_Effort" sheetId="10" state="visible" r:id="rId10"/>
    <sheet xmlns:r="http://schemas.openxmlformats.org/officeDocument/2006/relationships" name="Reports" sheetId="11" state="visible" r:id="rId11"/>
    <sheet xmlns:r="http://schemas.openxmlformats.org/officeDocument/2006/relationships" name="Timeline_Gantt" sheetId="12" state="visible" r:id="rId12"/>
    <sheet xmlns:r="http://schemas.openxmlformats.org/officeDocument/2006/relationships" name="How_To_Use" sheetId="13" state="visible" r:id="rId13"/>
  </sheets>
  <definedNames>
    <definedName name="Project_Status">'Master_Management'!$A$4:$A$9</definedName>
    <definedName name="Task_Status">'Master_Management'!$B$4:$B$9</definedName>
    <definedName name="Priority">'Master_Management'!$C$4:$C$7</definedName>
    <definedName name="Department">'Master_Management'!$D$4:$D$13</definedName>
    <definedName name="Role">'Master_Management'!$E$4:$E$12</definedName>
    <definedName name="Availability">'Master_Management'!$F$4:$F$7</definedName>
    <definedName name="Task_Category">'Master_Management'!$G$4:$G$13</definedName>
    <definedName name="Health">'Master_Management'!$H$4:$H$9</definedName>
    <definedName name="Risk_Type">'Master_Management'!$I$4:$I$8</definedName>
    <definedName name="Severity">'Master_Management'!$J$4:$J$7</definedName>
    <definedName name="Probability">'Master_Management'!$K$4:$K$8</definedName>
    <definedName name="Currency">'Master_Management'!$L$4:$L$9</definedName>
    <definedName name="UserIDs">'Users'!$A$4:$A$200</definedName>
    <definedName name="ProjectIDs">'Projects'!$A$4:$A$200</definedName>
    <definedName name="TaskIDs">'Tasks'!$A$4:$A$300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  <font>
      <b val="1"/>
      <color rgb="00FFFFFF"/>
      <sz val="22"/>
    </font>
    <font>
      <b val="1"/>
      <color rgb="005B9BD5"/>
      <sz val="20"/>
    </font>
    <font>
      <b val="1"/>
      <color rgb="001F4E79"/>
    </font>
    <font>
      <b val="1"/>
      <color rgb="0000A6A6"/>
      <sz val="20"/>
    </font>
    <font>
      <b val="1"/>
      <color rgb="0070AD47"/>
      <sz val="20"/>
    </font>
    <font>
      <b val="1"/>
      <color rgb="00C00000"/>
      <sz val="20"/>
    </font>
    <font>
      <b val="1"/>
      <color rgb="008064A2"/>
      <sz val="20"/>
    </font>
    <font>
      <b val="1"/>
      <color rgb="00ED7D31"/>
      <sz val="20"/>
    </font>
    <font>
      <b val="1"/>
      <color rgb="00FFC000"/>
      <sz val="20"/>
    </font>
    <font>
      <b val="1"/>
      <color rgb="001F4E79"/>
      <sz val="14"/>
    </font>
    <font>
      <color rgb="005B9BD5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BFD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9" fontId="3" fillId="2" borderId="1" applyAlignment="1" pivotButton="0" quotePrefix="0" xfId="0">
      <alignment vertical="center" wrapText="1"/>
    </xf>
    <xf numFmtId="3" fontId="3" fillId="2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6">
    <dxf>
      <font>
        <b val="1"/>
        <color rgb="00C00000"/>
      </font>
      <fill>
        <patternFill patternType="solid">
          <fgColor rgb="00F4CCCC"/>
        </patternFill>
      </fill>
    </dxf>
    <dxf>
      <font>
        <b val="1"/>
        <color rgb="00ED7D31"/>
      </font>
      <fill>
        <patternFill patternType="solid">
          <fgColor rgb="00FCE4D6"/>
        </patternFill>
      </fill>
    </dxf>
    <dxf>
      <font>
        <b val="1"/>
        <color rgb="0070AD47"/>
      </font>
      <fill>
        <patternFill patternType="solid">
          <fgColor rgb="00E2F0D9"/>
        </patternFill>
      </fill>
    </dxf>
    <dxf>
      <font>
        <b val="1"/>
        <color rgb="0070AD47"/>
      </font>
      <fill>
        <patternFill patternType="solid">
          <fgColor rgb="00D9EAD3"/>
        </patternFill>
      </fill>
    </dxf>
    <dxf>
      <font>
        <b val="1"/>
        <color rgb="00FFFFFF"/>
      </font>
      <fill>
        <patternFill patternType="solid">
          <fgColor rgb="00CC0000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Status Mix</a:t>
            </a:r>
          </a:p>
        </rich>
      </tx>
    </title>
    <plotArea>
      <pieChart>
        <varyColors val="1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'Dashboard'!$A$14:$A$19</f>
            </numRef>
          </cat>
          <val>
            <numRef>
              <f>'Dashboard'!$B$14:$B$19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 Active Workload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'Dashboard'!$J$14:$J$19</f>
            </numRef>
          </cat>
          <val>
            <numRef>
              <f>'Dashboard'!$K$14:$K$19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Health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'Dashboard'!$D$14:$D$19</f>
            </numRef>
          </cat>
          <val>
            <numRef>
              <f>'Dashboard'!$E$14:$E$19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'Dashboard'!$G$14:$G$17</f>
            </numRef>
          </cat>
          <val>
            <numRef>
              <f>'Dashboard'!$H$14:$H$17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H3" authorId="0" shapeId="0">
      <text>
        <t>Formula-driven column. Keep formula when adding new rows.</t>
      </text>
    </comment>
    <comment ref="I3" authorId="0" shapeId="0">
      <text>
        <t>Formula-driven column. Keep formula when adding new rows.</t>
      </text>
    </comment>
    <comment ref="J3" authorId="0" shapeId="0">
      <text>
        <t>Formula-driven column. Keep formula when adding new rows.</t>
      </text>
    </comment>
    <comment ref="K3" authorId="0" shapeId="0">
      <text>
        <t>Formula-driven column. Keep formula when adding new rows.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M3" authorId="0" shapeId="0">
      <text>
        <t>Formula-driven column. Keep formula when adding new rows.</t>
      </text>
    </comment>
    <comment ref="N3" authorId="0" shapeId="0">
      <text>
        <t>Formula-driven column. Keep formula when adding new rows.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P3" authorId="0" shapeId="0">
      <text>
        <t>Formula-driven column. Keep formula when adding new rows.</t>
      </text>
    </comment>
    <comment ref="Q3" authorId="0" shapeId="0">
      <text>
        <t>Formula-driven column. Keep formula when adding new rows.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J3" authorId="0" shapeId="0">
      <text>
        <t>Formula-driven column. Keep formula when adding new rows.</t>
      </text>
    </comment>
    <comment ref="K3" authorId="0" shapeId="0">
      <text>
        <t>Formula-driven column. Keep formula when adding new rows.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32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49</row>
      <rowOff>0</rowOff>
    </from>
    <ext cx="28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ettings" displayName="tblSettings" ref="A4:B9" headerRowCount="1">
  <autoFilter ref="A4:B9"/>
  <tableColumns count="2">
    <tableColumn id="1" name="Company Name"/>
    <tableColumn id="2" name="Your Company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Users" displayName="tblUsers" ref="A3:L8" headerRowCount="1">
  <autoFilter ref="A3:L8"/>
  <tableColumns count="12">
    <tableColumn id="1" name="User ID"/>
    <tableColumn id="2" name="Full Name"/>
    <tableColumn id="3" name="Email"/>
    <tableColumn id="4" name="Department"/>
    <tableColumn id="5" name="Role"/>
    <tableColumn id="6" name="Availability"/>
    <tableColumn id="7" name="Capacity Hours/Week"/>
    <tableColumn id="8" name="Assigned Tasks"/>
    <tableColumn id="9" name="Active Tasks"/>
    <tableColumn id="10" name="Overdue Tasks"/>
    <tableColumn id="11" name="Utilization %"/>
    <tableColumn id="12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Projects" displayName="tblProjects" ref="A3:P6" headerRowCount="1">
  <autoFilter ref="A3:P6"/>
  <tableColumns count="16">
    <tableColumn id="1" name="Project ID"/>
    <tableColumn id="2" name="Project Name"/>
    <tableColumn id="3" name="Project Manager"/>
    <tableColumn id="4" name="Client / Department"/>
    <tableColumn id="5" name="Start Date"/>
    <tableColumn id="6" name="End Date"/>
    <tableColumn id="7" name="Manual Status"/>
    <tableColumn id="8" name="Priority"/>
    <tableColumn id="9" name="Budget"/>
    <tableColumn id="10" name="Actual Cost"/>
    <tableColumn id="11" name="Task Count"/>
    <tableColumn id="12" name="Completed Tasks"/>
    <tableColumn id="13" name="Progress %"/>
    <tableColumn id="14" name="Auto Health"/>
    <tableColumn id="15" name="Days Remaining"/>
    <tableColumn id="1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Tasks" displayName="tblTasks" ref="A3:R10" headerRowCount="1">
  <autoFilter ref="A3:R10"/>
  <tableColumns count="18">
    <tableColumn id="1" name="Task ID"/>
    <tableColumn id="2" name="Project ID"/>
    <tableColumn id="3" name="Task Name"/>
    <tableColumn id="4" name="Category"/>
    <tableColumn id="5" name="Assigned User"/>
    <tableColumn id="6" name="Start Date"/>
    <tableColumn id="7" name="Due Date"/>
    <tableColumn id="8" name="Manual Status"/>
    <tableColumn id="9" name="Priority"/>
    <tableColumn id="10" name="Progress %"/>
    <tableColumn id="11" name="Depends On Task ID"/>
    <tableColumn id="12" name="Blocked?"/>
    <tableColumn id="13" name="Blocking Reason"/>
    <tableColumn id="14" name="Subtask Count"/>
    <tableColumn id="15" name="Completed Subtasks"/>
    <tableColumn id="16" name="Auto Health"/>
    <tableColumn id="17" name="Days Late"/>
    <tableColumn id="18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Subtasks" displayName="tblSubtasks" ref="A3:L8" headerRowCount="1">
  <autoFilter ref="A3:L8"/>
  <tableColumns count="12">
    <tableColumn id="1" name="Subtask ID"/>
    <tableColumn id="2" name="Parent Task ID"/>
    <tableColumn id="3" name="Project ID"/>
    <tableColumn id="4" name="Subtask Name"/>
    <tableColumn id="5" name="Assigned User"/>
    <tableColumn id="6" name="Due Date"/>
    <tableColumn id="7" name="Manual Status"/>
    <tableColumn id="8" name="Priority"/>
    <tableColumn id="9" name="Completion %"/>
    <tableColumn id="10" name="Auto Health"/>
    <tableColumn id="11" name="Days Late"/>
    <tableColumn id="12" name="Notes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id="6" name="tblMilestones" displayName="tblMilestones" ref="A3:J6" headerRowCount="1">
  <autoFilter ref="A3:J6"/>
  <tableColumns count="10">
    <tableColumn id="1" name="Milestone ID"/>
    <tableColumn id="2" name="Project ID"/>
    <tableColumn id="3" name="Milestone Name"/>
    <tableColumn id="4" name="Owner"/>
    <tableColumn id="5" name="Target Date"/>
    <tableColumn id="6" name="Actual Date"/>
    <tableColumn id="7" name="Manual Status"/>
    <tableColumn id="8" name="Priority"/>
    <tableColumn id="9" name="Auto Health"/>
    <tableColumn id="10" name="Note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Risks" displayName="tblRisks" ref="A3:M6" headerRowCount="1">
  <autoFilter ref="A3:M6"/>
  <tableColumns count="13">
    <tableColumn id="1" name="Item ID"/>
    <tableColumn id="2" name="Project ID"/>
    <tableColumn id="3" name="Type"/>
    <tableColumn id="4" name="Title"/>
    <tableColumn id="5" name="Owner"/>
    <tableColumn id="6" name="Severity"/>
    <tableColumn id="7" name="Probability"/>
    <tableColumn id="8" name="Impact"/>
    <tableColumn id="9" name="Mitigation / Action"/>
    <tableColumn id="10" name="Due Date"/>
    <tableColumn id="11" name="Manual Status"/>
    <tableColumn id="12" name="Auto Health"/>
    <tableColumn id="13" name="Note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8" name="tblBudget" displayName="tblBudget" ref="A3:L6" headerRowCount="1">
  <autoFilter ref="A3:L6"/>
  <tableColumns count="12">
    <tableColumn id="1" name="Budget ID"/>
    <tableColumn id="2" name="Project ID"/>
    <tableColumn id="3" name="Cost Category"/>
    <tableColumn id="4" name="Planned Hours"/>
    <tableColumn id="5" name="Actual Hours"/>
    <tableColumn id="6" name="Hours Variance"/>
    <tableColumn id="7" name="Planned Cost"/>
    <tableColumn id="8" name="Actual Cost"/>
    <tableColumn id="9" name="Cost Variance"/>
    <tableColumn id="10" name="Variance %"/>
    <tableColumn id="11" name="Owner"/>
    <tableColumn id="12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3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Project Management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Live summary powered by Projects, Tasks, Subtasks, Milestones, Risks, and Budget sheets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>
        <f>COUNTA(tblProjects[Project ID])</f>
        <v/>
      </c>
      <c r="B4" s="2" t="n"/>
      <c r="C4" s="2" t="n"/>
      <c r="D4" s="5">
        <f>COUNTIFS(tblProjects[Manual Status],"In Progress")</f>
        <v/>
      </c>
      <c r="E4" s="2" t="n"/>
      <c r="F4" s="2" t="n"/>
      <c r="G4" s="6">
        <f>COUNTIFS(tblProjects[Manual Status],"Completed")</f>
        <v/>
      </c>
      <c r="H4" s="2" t="n"/>
      <c r="I4" s="2" t="n"/>
      <c r="J4" s="7">
        <f>COUNTIFS(tblProjects[Auto Health],"Overdue")</f>
        <v/>
      </c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8" t="inlineStr">
        <is>
          <t>Total Projects</t>
        </is>
      </c>
      <c r="B7" s="2" t="n"/>
      <c r="C7" s="2" t="n"/>
      <c r="D7" s="8" t="inlineStr">
        <is>
          <t>Active Projects</t>
        </is>
      </c>
      <c r="E7" s="2" t="n"/>
      <c r="F7" s="2" t="n"/>
      <c r="G7" s="8" t="inlineStr">
        <is>
          <t>Completed Projects</t>
        </is>
      </c>
      <c r="H7" s="2" t="n"/>
      <c r="I7" s="2" t="n"/>
      <c r="J7" s="8" t="inlineStr">
        <is>
          <t>Overdue Projects</t>
        </is>
      </c>
      <c r="K7" s="2" t="n"/>
      <c r="L7" s="2" t="n"/>
      <c r="M7" s="2" t="n"/>
      <c r="N7" s="2" t="n"/>
    </row>
    <row r="8">
      <c r="A8" s="9">
        <f>COUNTA(tblTasks[Task ID])</f>
        <v/>
      </c>
      <c r="B8" s="2" t="n"/>
      <c r="C8" s="2" t="n"/>
      <c r="D8" s="7">
        <f>COUNTIFS(tblTasks[Auto Health],"Overdue")</f>
        <v/>
      </c>
      <c r="E8" s="2" t="n"/>
      <c r="F8" s="2" t="n"/>
      <c r="G8" s="10">
        <f>COUNTIFS(tblRisks[Manual Status],"&lt;&gt;Closed")</f>
        <v/>
      </c>
      <c r="H8" s="2" t="n"/>
      <c r="I8" s="2" t="n"/>
      <c r="J8" s="11">
        <f>SUM(tblBudget[Cost Variance])</f>
        <v/>
      </c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8" t="inlineStr">
        <is>
          <t>Total Tasks</t>
        </is>
      </c>
      <c r="B11" s="2" t="n"/>
      <c r="C11" s="2" t="n"/>
      <c r="D11" s="8" t="inlineStr">
        <is>
          <t>Overdue Tasks</t>
        </is>
      </c>
      <c r="E11" s="2" t="n"/>
      <c r="F11" s="2" t="n"/>
      <c r="G11" s="8" t="inlineStr">
        <is>
          <t>Open Risks / Issues</t>
        </is>
      </c>
      <c r="H11" s="2" t="n"/>
      <c r="I11" s="2" t="n"/>
      <c r="J11" s="8" t="inlineStr">
        <is>
          <t>Budget Variance</t>
        </is>
      </c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2" t="inlineStr">
        <is>
          <t>Task Status</t>
        </is>
      </c>
      <c r="B13" s="12" t="inlineStr">
        <is>
          <t>Count</t>
        </is>
      </c>
      <c r="C13" s="2" t="n"/>
      <c r="D13" s="12" t="inlineStr">
        <is>
          <t>Project Health</t>
        </is>
      </c>
      <c r="E13" s="12" t="inlineStr">
        <is>
          <t>Count</t>
        </is>
      </c>
      <c r="F13" s="2" t="n"/>
      <c r="G13" s="12" t="inlineStr">
        <is>
          <t>Priority</t>
        </is>
      </c>
      <c r="H13" s="12" t="inlineStr">
        <is>
          <t>Count</t>
        </is>
      </c>
      <c r="I13" s="2" t="n"/>
      <c r="J13" s="12" t="inlineStr">
        <is>
          <t>User</t>
        </is>
      </c>
      <c r="K13" s="12" t="inlineStr">
        <is>
          <t>Active Tasks</t>
        </is>
      </c>
      <c r="L13" s="2" t="n"/>
      <c r="M13" s="2" t="n"/>
      <c r="N13" s="2" t="n"/>
    </row>
    <row r="14">
      <c r="A14" s="2" t="inlineStr">
        <is>
          <t>Not Started</t>
        </is>
      </c>
      <c r="B14" s="2">
        <f>COUNTIF(tblTasks[Manual Status],A14)</f>
        <v/>
      </c>
      <c r="C14" s="2" t="n"/>
      <c r="D14" s="2" t="inlineStr">
        <is>
          <t>On Track</t>
        </is>
      </c>
      <c r="E14" s="2">
        <f>COUNTIF(tblProjects[Auto Health],D14)</f>
        <v/>
      </c>
      <c r="F14" s="2" t="n"/>
      <c r="G14" s="2" t="inlineStr">
        <is>
          <t>Critical</t>
        </is>
      </c>
      <c r="H14" s="2">
        <f>COUNTIF(tblTasks[Priority],G14)</f>
        <v/>
      </c>
      <c r="I14" s="2" t="n"/>
      <c r="J14" s="2">
        <f>Users!B4</f>
        <v/>
      </c>
      <c r="K14" s="2">
        <f>Users!I4</f>
        <v/>
      </c>
      <c r="L14" s="2" t="n"/>
      <c r="M14" s="2" t="n"/>
      <c r="N14" s="2" t="n"/>
    </row>
    <row r="15">
      <c r="A15" s="2" t="inlineStr">
        <is>
          <t>In Progress</t>
        </is>
      </c>
      <c r="B15" s="2">
        <f>COUNTIF(tblTasks[Manual Status],A15)</f>
        <v/>
      </c>
      <c r="C15" s="2" t="n"/>
      <c r="D15" s="2" t="inlineStr">
        <is>
          <t>At Risk</t>
        </is>
      </c>
      <c r="E15" s="2">
        <f>COUNTIF(tblProjects[Auto Health],D15)</f>
        <v/>
      </c>
      <c r="F15" s="2" t="n"/>
      <c r="G15" s="2" t="inlineStr">
        <is>
          <t>High</t>
        </is>
      </c>
      <c r="H15" s="2">
        <f>COUNTIF(tblTasks[Priority],G15)</f>
        <v/>
      </c>
      <c r="I15" s="2" t="n"/>
      <c r="J15" s="2">
        <f>Users!B5</f>
        <v/>
      </c>
      <c r="K15" s="2">
        <f>Users!I5</f>
        <v/>
      </c>
      <c r="L15" s="2" t="n"/>
      <c r="M15" s="2" t="n"/>
      <c r="N15" s="2" t="n"/>
    </row>
    <row r="16">
      <c r="A16" s="2" t="inlineStr">
        <is>
          <t>Blocked</t>
        </is>
      </c>
      <c r="B16" s="2">
        <f>COUNTIF(tblTasks[Manual Status],A16)</f>
        <v/>
      </c>
      <c r="C16" s="2" t="n"/>
      <c r="D16" s="2" t="inlineStr">
        <is>
          <t>Overdue</t>
        </is>
      </c>
      <c r="E16" s="2">
        <f>COUNTIF(tblProjects[Auto Health],D16)</f>
        <v/>
      </c>
      <c r="F16" s="2" t="n"/>
      <c r="G16" s="2" t="inlineStr">
        <is>
          <t>Medium</t>
        </is>
      </c>
      <c r="H16" s="2">
        <f>COUNTIF(tblTasks[Priority],G16)</f>
        <v/>
      </c>
      <c r="I16" s="2" t="n"/>
      <c r="J16" s="2">
        <f>Users!B6</f>
        <v/>
      </c>
      <c r="K16" s="2">
        <f>Users!I6</f>
        <v/>
      </c>
      <c r="L16" s="2" t="n"/>
      <c r="M16" s="2" t="n"/>
      <c r="N16" s="2" t="n"/>
    </row>
    <row r="17">
      <c r="A17" s="2" t="inlineStr">
        <is>
          <t>On Hold</t>
        </is>
      </c>
      <c r="B17" s="2">
        <f>COUNTIF(tblTasks[Manual Status],A17)</f>
        <v/>
      </c>
      <c r="C17" s="2" t="n"/>
      <c r="D17" s="2" t="inlineStr">
        <is>
          <t>Completed</t>
        </is>
      </c>
      <c r="E17" s="2">
        <f>COUNTIF(tblProjects[Auto Health],D17)</f>
        <v/>
      </c>
      <c r="F17" s="2" t="n"/>
      <c r="G17" s="2" t="inlineStr">
        <is>
          <t>Low</t>
        </is>
      </c>
      <c r="H17" s="2">
        <f>COUNTIF(tblTasks[Priority],G17)</f>
        <v/>
      </c>
      <c r="I17" s="2" t="n"/>
      <c r="J17" s="2">
        <f>Users!B7</f>
        <v/>
      </c>
      <c r="K17" s="2">
        <f>Users!I7</f>
        <v/>
      </c>
      <c r="L17" s="2" t="n"/>
      <c r="M17" s="2" t="n"/>
      <c r="N17" s="2" t="n"/>
    </row>
    <row r="18">
      <c r="A18" s="2" t="inlineStr">
        <is>
          <t>Completed</t>
        </is>
      </c>
      <c r="B18" s="2">
        <f>COUNTIF(tblTasks[Manual Status],A18)</f>
        <v/>
      </c>
      <c r="C18" s="2" t="n"/>
      <c r="D18" s="2" t="inlineStr">
        <is>
          <t>Not Started</t>
        </is>
      </c>
      <c r="E18" s="2">
        <f>COUNTIF(tblProjects[Auto Health],D18)</f>
        <v/>
      </c>
      <c r="F18" s="2" t="n"/>
      <c r="G18" s="2" t="n"/>
      <c r="H18" s="2" t="n"/>
      <c r="I18" s="2" t="n"/>
      <c r="J18" s="2">
        <f>Users!B8</f>
        <v/>
      </c>
      <c r="K18" s="2">
        <f>Users!I8</f>
        <v/>
      </c>
      <c r="L18" s="2" t="n"/>
      <c r="M18" s="2" t="n"/>
      <c r="N18" s="2" t="n"/>
    </row>
    <row r="19">
      <c r="A19" s="2" t="inlineStr">
        <is>
          <t>Cancelled</t>
        </is>
      </c>
      <c r="B19" s="2">
        <f>COUNTIF(tblTasks[Manual Status],A19)</f>
        <v/>
      </c>
      <c r="C19" s="2" t="n"/>
      <c r="D19" s="2" t="inlineStr">
        <is>
          <t>Blocked</t>
        </is>
      </c>
      <c r="E19" s="2">
        <f>COUNTIF(tblProjects[Auto Health],D19)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2" t="inlineStr">
        <is>
          <t>Upcoming Deadlines</t>
        </is>
      </c>
      <c r="B23" s="2" t="n"/>
      <c r="C23" s="2" t="n"/>
      <c r="D23" s="2" t="n"/>
      <c r="E23" s="2" t="n"/>
      <c r="F23" s="2" t="n"/>
      <c r="G23" s="12" t="inlineStr">
        <is>
          <t>Overdue Work</t>
        </is>
      </c>
      <c r="H23" s="2" t="n"/>
      <c r="I23" s="2" t="n"/>
      <c r="J23" s="2" t="n"/>
      <c r="K23" s="2" t="n"/>
      <c r="L23" s="2" t="n"/>
      <c r="M23" s="2" t="n"/>
      <c r="N23" s="2" t="n"/>
    </row>
    <row r="24">
      <c r="A24" s="12" t="inlineStr">
        <is>
          <t>Task ID</t>
        </is>
      </c>
      <c r="B24" s="12" t="inlineStr">
        <is>
          <t>Project</t>
        </is>
      </c>
      <c r="C24" s="12" t="inlineStr">
        <is>
          <t>Task</t>
        </is>
      </c>
      <c r="D24" s="12" t="inlineStr">
        <is>
          <t>Owner</t>
        </is>
      </c>
      <c r="E24" s="12" t="inlineStr">
        <is>
          <t>Due Date</t>
        </is>
      </c>
      <c r="F24" s="2" t="n"/>
      <c r="G24" s="12" t="inlineStr">
        <is>
          <t>Task ID</t>
        </is>
      </c>
      <c r="H24" s="12" t="inlineStr">
        <is>
          <t>Project</t>
        </is>
      </c>
      <c r="I24" s="12" t="inlineStr">
        <is>
          <t>Task</t>
        </is>
      </c>
      <c r="J24" s="12" t="inlineStr">
        <is>
          <t>Owner</t>
        </is>
      </c>
      <c r="K24" s="12" t="inlineStr">
        <is>
          <t>Days Late</t>
        </is>
      </c>
      <c r="L24" s="2" t="n"/>
      <c r="M24" s="2" t="n"/>
      <c r="N24" s="2" t="n"/>
    </row>
    <row r="25">
      <c r="A25" s="2">
        <f>IFERROR(INDEX(tblTasks[Task ID],1),"")</f>
        <v/>
      </c>
      <c r="B25" s="2">
        <f>IFERROR(INDEX(tblTasks[Project ID],1),"")</f>
        <v/>
      </c>
      <c r="C25" s="2">
        <f>IFERROR(INDEX(tblTasks[Task Name],1),"")</f>
        <v/>
      </c>
      <c r="D25" s="2">
        <f>IFERROR(INDEX(tblTasks[Assigned User],1),"")</f>
        <v/>
      </c>
      <c r="E25" s="2">
        <f>IFERROR(INDEX(tblTasks[Due Date],1),"")</f>
        <v/>
      </c>
      <c r="F25" s="2" t="n"/>
      <c r="G25" s="2">
        <f>IFERROR(INDEX(FILTER(tblTasks[Task ID],tblTasks[Auto Health]="Overdue"),1),"")</f>
        <v/>
      </c>
      <c r="H25" s="2">
        <f>IFERROR(INDEX(FILTER(tblTasks[Project ID],tblTasks[Auto Health]="Overdue"),1),"")</f>
        <v/>
      </c>
      <c r="I25" s="2">
        <f>IFERROR(INDEX(FILTER(tblTasks[Task Name],tblTasks[Auto Health]="Overdue"),1),"")</f>
        <v/>
      </c>
      <c r="J25" s="2">
        <f>IFERROR(INDEX(FILTER(tblTasks[Assigned User],tblTasks[Auto Health]="Overdue"),1),"")</f>
        <v/>
      </c>
      <c r="K25" s="2">
        <f>IFERROR(INDEX(FILTER(tblTasks[Days Late],tblTasks[Auto Health]="Overdue"),1),"")</f>
        <v/>
      </c>
      <c r="L25" s="2" t="n"/>
      <c r="M25" s="2" t="n"/>
      <c r="N25" s="2" t="n"/>
    </row>
    <row r="26">
      <c r="A26" s="2">
        <f>IFERROR(INDEX(tblTasks[Task ID],2),"")</f>
        <v/>
      </c>
      <c r="B26" s="2">
        <f>IFERROR(INDEX(tblTasks[Project ID],2),"")</f>
        <v/>
      </c>
      <c r="C26" s="2">
        <f>IFERROR(INDEX(tblTasks[Task Name],2),"")</f>
        <v/>
      </c>
      <c r="D26" s="2">
        <f>IFERROR(INDEX(tblTasks[Assigned User],2),"")</f>
        <v/>
      </c>
      <c r="E26" s="2">
        <f>IFERROR(INDEX(tblTasks[Due Date],2),"")</f>
        <v/>
      </c>
      <c r="F26" s="2" t="n"/>
      <c r="G26" s="2">
        <f>IFERROR(INDEX(FILTER(tblTasks[Task ID],tblTasks[Auto Health]="Overdue"),2),"")</f>
        <v/>
      </c>
      <c r="H26" s="2">
        <f>IFERROR(INDEX(FILTER(tblTasks[Project ID],tblTasks[Auto Health]="Overdue"),2),"")</f>
        <v/>
      </c>
      <c r="I26" s="2">
        <f>IFERROR(INDEX(FILTER(tblTasks[Task Name],tblTasks[Auto Health]="Overdue"),2),"")</f>
        <v/>
      </c>
      <c r="J26" s="2">
        <f>IFERROR(INDEX(FILTER(tblTasks[Assigned User],tblTasks[Auto Health]="Overdue"),2),"")</f>
        <v/>
      </c>
      <c r="K26" s="2">
        <f>IFERROR(INDEX(FILTER(tblTasks[Days Late],tblTasks[Auto Health]="Overdue"),2),"")</f>
        <v/>
      </c>
      <c r="L26" s="2" t="n"/>
      <c r="M26" s="2" t="n"/>
      <c r="N26" s="2" t="n"/>
    </row>
    <row r="27">
      <c r="A27" s="2">
        <f>IFERROR(INDEX(tblTasks[Task ID],3),"")</f>
        <v/>
      </c>
      <c r="B27" s="2">
        <f>IFERROR(INDEX(tblTasks[Project ID],3),"")</f>
        <v/>
      </c>
      <c r="C27" s="2">
        <f>IFERROR(INDEX(tblTasks[Task Name],3),"")</f>
        <v/>
      </c>
      <c r="D27" s="2">
        <f>IFERROR(INDEX(tblTasks[Assigned User],3),"")</f>
        <v/>
      </c>
      <c r="E27" s="2">
        <f>IFERROR(INDEX(tblTasks[Due Date],3),"")</f>
        <v/>
      </c>
      <c r="F27" s="2" t="n"/>
      <c r="G27" s="2">
        <f>IFERROR(INDEX(FILTER(tblTasks[Task ID],tblTasks[Auto Health]="Overdue"),3),"")</f>
        <v/>
      </c>
      <c r="H27" s="2">
        <f>IFERROR(INDEX(FILTER(tblTasks[Project ID],tblTasks[Auto Health]="Overdue"),3),"")</f>
        <v/>
      </c>
      <c r="I27" s="2">
        <f>IFERROR(INDEX(FILTER(tblTasks[Task Name],tblTasks[Auto Health]="Overdue"),3),"")</f>
        <v/>
      </c>
      <c r="J27" s="2">
        <f>IFERROR(INDEX(FILTER(tblTasks[Assigned User],tblTasks[Auto Health]="Overdue"),3),"")</f>
        <v/>
      </c>
      <c r="K27" s="2">
        <f>IFERROR(INDEX(FILTER(tblTasks[Days Late],tblTasks[Auto Health]="Overdue"),3),"")</f>
        <v/>
      </c>
      <c r="L27" s="2" t="n"/>
      <c r="M27" s="2" t="n"/>
      <c r="N27" s="2" t="n"/>
    </row>
    <row r="28">
      <c r="A28" s="2">
        <f>IFERROR(INDEX(tblTasks[Task ID],4),"")</f>
        <v/>
      </c>
      <c r="B28" s="2">
        <f>IFERROR(INDEX(tblTasks[Project ID],4),"")</f>
        <v/>
      </c>
      <c r="C28" s="2">
        <f>IFERROR(INDEX(tblTasks[Task Name],4),"")</f>
        <v/>
      </c>
      <c r="D28" s="2">
        <f>IFERROR(INDEX(tblTasks[Assigned User],4),"")</f>
        <v/>
      </c>
      <c r="E28" s="2">
        <f>IFERROR(INDEX(tblTasks[Due Date],4),"")</f>
        <v/>
      </c>
      <c r="F28" s="2" t="n"/>
      <c r="G28" s="2">
        <f>IFERROR(INDEX(FILTER(tblTasks[Task ID],tblTasks[Auto Health]="Overdue"),4),"")</f>
        <v/>
      </c>
      <c r="H28" s="2">
        <f>IFERROR(INDEX(FILTER(tblTasks[Project ID],tblTasks[Auto Health]="Overdue"),4),"")</f>
        <v/>
      </c>
      <c r="I28" s="2">
        <f>IFERROR(INDEX(FILTER(tblTasks[Task Name],tblTasks[Auto Health]="Overdue"),4),"")</f>
        <v/>
      </c>
      <c r="J28" s="2">
        <f>IFERROR(INDEX(FILTER(tblTasks[Assigned User],tblTasks[Auto Health]="Overdue"),4),"")</f>
        <v/>
      </c>
      <c r="K28" s="2">
        <f>IFERROR(INDEX(FILTER(tblTasks[Days Late],tblTasks[Auto Health]="Overdue"),4),"")</f>
        <v/>
      </c>
      <c r="L28" s="2" t="n"/>
      <c r="M28" s="2" t="n"/>
      <c r="N28" s="2" t="n"/>
    </row>
    <row r="29">
      <c r="A29" s="2">
        <f>IFERROR(INDEX(tblTasks[Task ID],5),"")</f>
        <v/>
      </c>
      <c r="B29" s="2">
        <f>IFERROR(INDEX(tblTasks[Project ID],5),"")</f>
        <v/>
      </c>
      <c r="C29" s="2">
        <f>IFERROR(INDEX(tblTasks[Task Name],5),"")</f>
        <v/>
      </c>
      <c r="D29" s="2">
        <f>IFERROR(INDEX(tblTasks[Assigned User],5),"")</f>
        <v/>
      </c>
      <c r="E29" s="2">
        <f>IFERROR(INDEX(tblTasks[Due Date],5),"")</f>
        <v/>
      </c>
      <c r="F29" s="2" t="n"/>
      <c r="G29" s="2">
        <f>IFERROR(INDEX(FILTER(tblTasks[Task ID],tblTasks[Auto Health]="Overdue"),5),"")</f>
        <v/>
      </c>
      <c r="H29" s="2">
        <f>IFERROR(INDEX(FILTER(tblTasks[Project ID],tblTasks[Auto Health]="Overdue"),5),"")</f>
        <v/>
      </c>
      <c r="I29" s="2">
        <f>IFERROR(INDEX(FILTER(tblTasks[Task Name],tblTasks[Auto Health]="Overdue"),5),"")</f>
        <v/>
      </c>
      <c r="J29" s="2">
        <f>IFERROR(INDEX(FILTER(tblTasks[Assigned User],tblTasks[Auto Health]="Overdue"),5),"")</f>
        <v/>
      </c>
      <c r="K29" s="2">
        <f>IFERROR(INDEX(FILTER(tblTasks[Days Late],tblTasks[Auto Health]="Overdue"),5),"")</f>
        <v/>
      </c>
      <c r="L29" s="2" t="n"/>
      <c r="M29" s="2" t="n"/>
      <c r="N29" s="2" t="n"/>
    </row>
    <row r="30">
      <c r="A30" s="2">
        <f>IFERROR(INDEX(tblTasks[Task ID],6),"")</f>
        <v/>
      </c>
      <c r="B30" s="2">
        <f>IFERROR(INDEX(tblTasks[Project ID],6),"")</f>
        <v/>
      </c>
      <c r="C30" s="2">
        <f>IFERROR(INDEX(tblTasks[Task Name],6),"")</f>
        <v/>
      </c>
      <c r="D30" s="2">
        <f>IFERROR(INDEX(tblTasks[Assigned User],6),"")</f>
        <v/>
      </c>
      <c r="E30" s="2">
        <f>IFERROR(INDEX(tblTasks[Due Date],6),"")</f>
        <v/>
      </c>
      <c r="F30" s="2" t="n"/>
      <c r="G30" s="2">
        <f>IFERROR(INDEX(FILTER(tblTasks[Task ID],tblTasks[Auto Health]="Overdue"),6),"")</f>
        <v/>
      </c>
      <c r="H30" s="2">
        <f>IFERROR(INDEX(FILTER(tblTasks[Project ID],tblTasks[Auto Health]="Overdue"),6),"")</f>
        <v/>
      </c>
      <c r="I30" s="2">
        <f>IFERROR(INDEX(FILTER(tblTasks[Task Name],tblTasks[Auto Health]="Overdue"),6),"")</f>
        <v/>
      </c>
      <c r="J30" s="2">
        <f>IFERROR(INDEX(FILTER(tblTasks[Assigned User],tblTasks[Auto Health]="Overdue"),6),"")</f>
        <v/>
      </c>
      <c r="K30" s="2">
        <f>IFERROR(INDEX(FILTER(tblTasks[Days Late],tblTasks[Auto Health]="Overdue"),6),"")</f>
        <v/>
      </c>
      <c r="L30" s="2" t="n"/>
      <c r="M30" s="2" t="n"/>
      <c r="N30" s="2" t="n"/>
    </row>
    <row r="31">
      <c r="A31" s="2">
        <f>IFERROR(INDEX(tblTasks[Task ID],7),"")</f>
        <v/>
      </c>
      <c r="B31" s="2">
        <f>IFERROR(INDEX(tblTasks[Project ID],7),"")</f>
        <v/>
      </c>
      <c r="C31" s="2">
        <f>IFERROR(INDEX(tblTasks[Task Name],7),"")</f>
        <v/>
      </c>
      <c r="D31" s="2">
        <f>IFERROR(INDEX(tblTasks[Assigned User],7),"")</f>
        <v/>
      </c>
      <c r="E31" s="2">
        <f>IFERROR(INDEX(tblTasks[Due Date],7),"")</f>
        <v/>
      </c>
      <c r="F31" s="2" t="n"/>
      <c r="G31" s="2">
        <f>IFERROR(INDEX(FILTER(tblTasks[Task ID],tblTasks[Auto Health]="Overdue"),7),"")</f>
        <v/>
      </c>
      <c r="H31" s="2">
        <f>IFERROR(INDEX(FILTER(tblTasks[Project ID],tblTasks[Auto Health]="Overdue"),7),"")</f>
        <v/>
      </c>
      <c r="I31" s="2">
        <f>IFERROR(INDEX(FILTER(tblTasks[Task Name],tblTasks[Auto Health]="Overdue"),7),"")</f>
        <v/>
      </c>
      <c r="J31" s="2">
        <f>IFERROR(INDEX(FILTER(tblTasks[Assigned User],tblTasks[Auto Health]="Overdue"),7),"")</f>
        <v/>
      </c>
      <c r="K31" s="2">
        <f>IFERROR(INDEX(FILTER(tblTasks[Days Late],tblTasks[Auto Health]="Overdue"),7),"")</f>
        <v/>
      </c>
      <c r="L31" s="2" t="n"/>
      <c r="M31" s="2" t="n"/>
      <c r="N31" s="2" t="n"/>
    </row>
  </sheetData>
  <mergeCells count="20">
    <mergeCell ref="D11:F11"/>
    <mergeCell ref="D7:F7"/>
    <mergeCell ref="G23:K23"/>
    <mergeCell ref="J11:L11"/>
    <mergeCell ref="A1:N1"/>
    <mergeCell ref="J7:L7"/>
    <mergeCell ref="J4:L6"/>
    <mergeCell ref="A8:C10"/>
    <mergeCell ref="D4:F6"/>
    <mergeCell ref="D8:F10"/>
    <mergeCell ref="G4:I6"/>
    <mergeCell ref="A2:N2"/>
    <mergeCell ref="A4:C6"/>
    <mergeCell ref="A23:E23"/>
    <mergeCell ref="G11:I11"/>
    <mergeCell ref="A11:C11"/>
    <mergeCell ref="G8:I10"/>
    <mergeCell ref="J8:L10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064A2"/>
    <outlinePr summaryBelow="1" summaryRight="1"/>
    <pageSetUpPr/>
  </sheetPr>
  <dimension ref="A1:N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3" t="inlineStr">
        <is>
          <t>Master Management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Central dropdown values used throughout the workbook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2" t="inlineStr">
        <is>
          <t>Project_Status</t>
        </is>
      </c>
      <c r="B3" s="12" t="inlineStr">
        <is>
          <t>Task_Status</t>
        </is>
      </c>
      <c r="C3" s="12" t="inlineStr">
        <is>
          <t>Priority</t>
        </is>
      </c>
      <c r="D3" s="12" t="inlineStr">
        <is>
          <t>Department</t>
        </is>
      </c>
      <c r="E3" s="12" t="inlineStr">
        <is>
          <t>Role</t>
        </is>
      </c>
      <c r="F3" s="12" t="inlineStr">
        <is>
          <t>Availability</t>
        </is>
      </c>
      <c r="G3" s="12" t="inlineStr">
        <is>
          <t>Task_Category</t>
        </is>
      </c>
      <c r="H3" s="12" t="inlineStr">
        <is>
          <t>Health</t>
        </is>
      </c>
      <c r="I3" s="12" t="inlineStr">
        <is>
          <t>Risk_Type</t>
        </is>
      </c>
      <c r="J3" s="12" t="inlineStr">
        <is>
          <t>Severity</t>
        </is>
      </c>
      <c r="K3" s="12" t="inlineStr">
        <is>
          <t>Probability</t>
        </is>
      </c>
      <c r="L3" s="12" t="inlineStr">
        <is>
          <t>Currency</t>
        </is>
      </c>
      <c r="M3" s="2" t="n"/>
      <c r="N3" s="2" t="n"/>
    </row>
    <row r="4">
      <c r="A4" s="14" t="inlineStr">
        <is>
          <t>Not Started</t>
        </is>
      </c>
      <c r="B4" s="14" t="inlineStr">
        <is>
          <t>Not Started</t>
        </is>
      </c>
      <c r="C4" s="14" t="inlineStr">
        <is>
          <t>Critical</t>
        </is>
      </c>
      <c r="D4" s="14" t="inlineStr">
        <is>
          <t>PMO</t>
        </is>
      </c>
      <c r="E4" s="14" t="inlineStr">
        <is>
          <t>Project Manager</t>
        </is>
      </c>
      <c r="F4" s="14" t="inlineStr">
        <is>
          <t>Available</t>
        </is>
      </c>
      <c r="G4" s="14" t="inlineStr">
        <is>
          <t>Requirement</t>
        </is>
      </c>
      <c r="H4" s="14" t="inlineStr">
        <is>
          <t>On Track</t>
        </is>
      </c>
      <c r="I4" s="14" t="inlineStr">
        <is>
          <t>Risk</t>
        </is>
      </c>
      <c r="J4" s="14" t="inlineStr">
        <is>
          <t>Critical</t>
        </is>
      </c>
      <c r="K4" s="14" t="inlineStr">
        <is>
          <t>Very High</t>
        </is>
      </c>
      <c r="L4" s="14" t="inlineStr">
        <is>
          <t>INR</t>
        </is>
      </c>
      <c r="M4" s="2" t="n"/>
      <c r="N4" s="2" t="n"/>
    </row>
    <row r="5">
      <c r="A5" s="14" t="inlineStr">
        <is>
          <t>Planning</t>
        </is>
      </c>
      <c r="B5" s="14" t="inlineStr">
        <is>
          <t>In Progress</t>
        </is>
      </c>
      <c r="C5" s="14" t="inlineStr">
        <is>
          <t>High</t>
        </is>
      </c>
      <c r="D5" s="14" t="inlineStr">
        <is>
          <t>Engineering</t>
        </is>
      </c>
      <c r="E5" s="14" t="inlineStr">
        <is>
          <t>Business Analyst</t>
        </is>
      </c>
      <c r="F5" s="14" t="inlineStr">
        <is>
          <t>Busy</t>
        </is>
      </c>
      <c r="G5" s="14" t="inlineStr">
        <is>
          <t>Design</t>
        </is>
      </c>
      <c r="H5" s="14" t="inlineStr">
        <is>
          <t>At Risk</t>
        </is>
      </c>
      <c r="I5" s="14" t="inlineStr">
        <is>
          <t>Issue</t>
        </is>
      </c>
      <c r="J5" s="14" t="inlineStr">
        <is>
          <t>High</t>
        </is>
      </c>
      <c r="K5" s="14" t="inlineStr">
        <is>
          <t>High</t>
        </is>
      </c>
      <c r="L5" s="14" t="inlineStr">
        <is>
          <t>USD</t>
        </is>
      </c>
      <c r="M5" s="2" t="n"/>
      <c r="N5" s="2" t="n"/>
    </row>
    <row r="6">
      <c r="A6" s="14" t="inlineStr">
        <is>
          <t>In Progress</t>
        </is>
      </c>
      <c r="B6" s="14" t="inlineStr">
        <is>
          <t>Blocked</t>
        </is>
      </c>
      <c r="C6" s="14" t="inlineStr">
        <is>
          <t>Medium</t>
        </is>
      </c>
      <c r="D6" s="14" t="inlineStr">
        <is>
          <t>Design</t>
        </is>
      </c>
      <c r="E6" s="14" t="inlineStr">
        <is>
          <t>Developer</t>
        </is>
      </c>
      <c r="F6" s="14" t="inlineStr">
        <is>
          <t>On Leave</t>
        </is>
      </c>
      <c r="G6" s="14" t="inlineStr">
        <is>
          <t>Development</t>
        </is>
      </c>
      <c r="H6" s="14" t="inlineStr">
        <is>
          <t>Overdue</t>
        </is>
      </c>
      <c r="I6" s="14" t="inlineStr">
        <is>
          <t>Decision</t>
        </is>
      </c>
      <c r="J6" s="14" t="inlineStr">
        <is>
          <t>Medium</t>
        </is>
      </c>
      <c r="K6" s="14" t="inlineStr">
        <is>
          <t>Medium</t>
        </is>
      </c>
      <c r="L6" s="14" t="inlineStr">
        <is>
          <t>EUR</t>
        </is>
      </c>
      <c r="M6" s="2" t="n"/>
      <c r="N6" s="2" t="n"/>
    </row>
    <row r="7">
      <c r="A7" s="14" t="inlineStr">
        <is>
          <t>On Hold</t>
        </is>
      </c>
      <c r="B7" s="14" t="inlineStr">
        <is>
          <t>On Hold</t>
        </is>
      </c>
      <c r="C7" s="14" t="inlineStr">
        <is>
          <t>Low</t>
        </is>
      </c>
      <c r="D7" s="14" t="inlineStr">
        <is>
          <t>QA</t>
        </is>
      </c>
      <c r="E7" s="14" t="inlineStr">
        <is>
          <t>Designer</t>
        </is>
      </c>
      <c r="F7" s="14" t="inlineStr">
        <is>
          <t>Inactive</t>
        </is>
      </c>
      <c r="G7" s="14" t="inlineStr">
        <is>
          <t>Testing</t>
        </is>
      </c>
      <c r="H7" s="14" t="inlineStr">
        <is>
          <t>Completed</t>
        </is>
      </c>
      <c r="I7" s="14" t="inlineStr">
        <is>
          <t>Dependency</t>
        </is>
      </c>
      <c r="J7" s="14" t="inlineStr">
        <is>
          <t>Low</t>
        </is>
      </c>
      <c r="K7" s="14" t="inlineStr">
        <is>
          <t>Low</t>
        </is>
      </c>
      <c r="L7" s="14" t="inlineStr">
        <is>
          <t>GBP</t>
        </is>
      </c>
      <c r="M7" s="2" t="n"/>
      <c r="N7" s="2" t="n"/>
    </row>
    <row r="8">
      <c r="A8" s="14" t="inlineStr">
        <is>
          <t>Completed</t>
        </is>
      </c>
      <c r="B8" s="14" t="inlineStr">
        <is>
          <t>Completed</t>
        </is>
      </c>
      <c r="C8" s="2" t="n"/>
      <c r="D8" s="14" t="inlineStr">
        <is>
          <t>Operations</t>
        </is>
      </c>
      <c r="E8" s="14" t="inlineStr">
        <is>
          <t>QA Engineer</t>
        </is>
      </c>
      <c r="F8" s="2" t="n"/>
      <c r="G8" s="14" t="inlineStr">
        <is>
          <t>Deployment</t>
        </is>
      </c>
      <c r="H8" s="14" t="inlineStr">
        <is>
          <t>Not Started</t>
        </is>
      </c>
      <c r="I8" s="14" t="inlineStr">
        <is>
          <t>Assumption</t>
        </is>
      </c>
      <c r="J8" s="2" t="n"/>
      <c r="K8" s="14" t="inlineStr">
        <is>
          <t>Very Low</t>
        </is>
      </c>
      <c r="L8" s="14" t="inlineStr">
        <is>
          <t>AED</t>
        </is>
      </c>
      <c r="M8" s="2" t="n"/>
      <c r="N8" s="2" t="n"/>
    </row>
    <row r="9">
      <c r="A9" s="14" t="inlineStr">
        <is>
          <t>Cancelled</t>
        </is>
      </c>
      <c r="B9" s="14" t="inlineStr">
        <is>
          <t>Cancelled</t>
        </is>
      </c>
      <c r="C9" s="2" t="n"/>
      <c r="D9" s="14" t="inlineStr">
        <is>
          <t>Finance</t>
        </is>
      </c>
      <c r="E9" s="14" t="inlineStr">
        <is>
          <t>DevOps</t>
        </is>
      </c>
      <c r="F9" s="2" t="n"/>
      <c r="G9" s="14" t="inlineStr">
        <is>
          <t>Documentation</t>
        </is>
      </c>
      <c r="H9" s="14" t="inlineStr">
        <is>
          <t>Blocked</t>
        </is>
      </c>
      <c r="I9" s="2" t="n"/>
      <c r="J9" s="2" t="n"/>
      <c r="K9" s="2" t="n"/>
      <c r="L9" s="14" t="inlineStr">
        <is>
          <t>SGD</t>
        </is>
      </c>
      <c r="M9" s="2" t="n"/>
      <c r="N9" s="2" t="n"/>
    </row>
    <row r="10">
      <c r="A10" s="2" t="n"/>
      <c r="B10" s="2" t="n"/>
      <c r="C10" s="2" t="n"/>
      <c r="D10" s="14" t="inlineStr">
        <is>
          <t>Sales</t>
        </is>
      </c>
      <c r="E10" s="14" t="inlineStr">
        <is>
          <t>Stakeholder</t>
        </is>
      </c>
      <c r="F10" s="2" t="n"/>
      <c r="G10" s="14" t="inlineStr">
        <is>
          <t>Meeting</t>
        </is>
      </c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14" t="inlineStr">
        <is>
          <t>Support</t>
        </is>
      </c>
      <c r="E11" s="14" t="inlineStr">
        <is>
          <t>Approver</t>
        </is>
      </c>
      <c r="F11" s="2" t="n"/>
      <c r="G11" s="14" t="inlineStr">
        <is>
          <t>Review</t>
        </is>
      </c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14" t="inlineStr">
        <is>
          <t>HR</t>
        </is>
      </c>
      <c r="E12" s="14" t="inlineStr">
        <is>
          <t>Finance Owner</t>
        </is>
      </c>
      <c r="F12" s="2" t="n"/>
      <c r="G12" s="14" t="inlineStr">
        <is>
          <t>Support</t>
        </is>
      </c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14" t="inlineStr">
        <is>
          <t>Legal</t>
        </is>
      </c>
      <c r="E13" s="2" t="n"/>
      <c r="F13" s="2" t="n"/>
      <c r="G13" s="14" t="inlineStr">
        <is>
          <t>Research</t>
        </is>
      </c>
      <c r="H13" s="2" t="n"/>
      <c r="I13" s="2" t="n"/>
      <c r="J13" s="2" t="n"/>
      <c r="K13" s="2" t="n"/>
      <c r="L13" s="2" t="n"/>
      <c r="M13" s="2" t="n"/>
      <c r="N13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 ht="30" customHeight="1">
      <c r="A1" s="13" t="inlineStr">
        <is>
          <t>Settings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Workbook-level configuration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5" t="inlineStr">
        <is>
          <t>Company Name</t>
        </is>
      </c>
      <c r="B4" s="2" t="inlineStr">
        <is>
          <t>Your Company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5" t="inlineStr">
        <is>
          <t>Reporting Date</t>
        </is>
      </c>
      <c r="B5" s="2">
        <f>TODAY()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5" t="inlineStr">
        <is>
          <t>Default Currency</t>
        </is>
      </c>
      <c r="B6" s="2" t="inlineStr">
        <is>
          <t>INR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5" t="inlineStr">
        <is>
          <t>Default Working Days</t>
        </is>
      </c>
      <c r="B7" s="2" t="inlineStr">
        <is>
          <t>Mon-Fri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5" t="inlineStr">
        <is>
          <t>Dashboard Version</t>
        </is>
      </c>
      <c r="B8" s="2" t="inlineStr">
        <is>
          <t>1.0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5" t="inlineStr">
        <is>
          <t>Prepared By</t>
        </is>
      </c>
      <c r="B9" s="2" t="inlineStr">
        <is>
          <t>PMO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A6A6"/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6" customWidth="1" min="4" max="4"/>
    <col width="20" customWidth="1" min="5" max="5"/>
    <col width="14" customWidth="1" min="6" max="6"/>
    <col width="18" customWidth="1" min="7" max="7"/>
    <col width="14" customWidth="1" min="8" max="8"/>
    <col width="12" customWidth="1" min="9" max="9"/>
    <col width="12" customWidth="1" min="10" max="10"/>
    <col width="14" customWidth="1" min="11" max="11"/>
    <col width="24" customWidth="1" min="12" max="12"/>
  </cols>
  <sheetData>
    <row r="1" ht="30" customHeight="1">
      <c r="A1" s="13" t="inlineStr">
        <is>
          <t>Users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Team members, capacity, and calculated workload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2" t="inlineStr">
        <is>
          <t>User ID</t>
        </is>
      </c>
      <c r="B3" s="12" t="inlineStr">
        <is>
          <t>Full Name</t>
        </is>
      </c>
      <c r="C3" s="12" t="inlineStr">
        <is>
          <t>Email</t>
        </is>
      </c>
      <c r="D3" s="12" t="inlineStr">
        <is>
          <t>Department</t>
        </is>
      </c>
      <c r="E3" s="12" t="inlineStr">
        <is>
          <t>Role</t>
        </is>
      </c>
      <c r="F3" s="12" t="inlineStr">
        <is>
          <t>Availability</t>
        </is>
      </c>
      <c r="G3" s="12" t="inlineStr">
        <is>
          <t>Capacity Hours/Week</t>
        </is>
      </c>
      <c r="H3" s="12" t="inlineStr">
        <is>
          <t>Assigned Tasks</t>
        </is>
      </c>
      <c r="I3" s="12" t="inlineStr">
        <is>
          <t>Active Tasks</t>
        </is>
      </c>
      <c r="J3" s="12" t="inlineStr">
        <is>
          <t>Overdue Tasks</t>
        </is>
      </c>
      <c r="K3" s="12" t="inlineStr">
        <is>
          <t>Utilization %</t>
        </is>
      </c>
      <c r="L3" s="12" t="inlineStr">
        <is>
          <t>Notes</t>
        </is>
      </c>
      <c r="M3" s="12" t="n"/>
      <c r="N3" s="12" t="n"/>
    </row>
    <row r="4">
      <c r="A4" s="2" t="inlineStr">
        <is>
          <t>USR-001</t>
        </is>
      </c>
      <c r="B4" s="2" t="inlineStr">
        <is>
          <t>Aarav Sharma</t>
        </is>
      </c>
      <c r="C4" s="2" t="inlineStr">
        <is>
          <t>aarav@example.com</t>
        </is>
      </c>
      <c r="D4" s="2" t="inlineStr">
        <is>
          <t>PMO</t>
        </is>
      </c>
      <c r="E4" s="2" t="inlineStr">
        <is>
          <t>Project Manager</t>
        </is>
      </c>
      <c r="F4" s="2" t="inlineStr">
        <is>
          <t>Available</t>
        </is>
      </c>
      <c r="G4" s="2" t="n">
        <v>40</v>
      </c>
      <c r="H4" s="2">
        <f>COUNTIF(tblTasks[Assigned User],[@[User ID]])</f>
        <v/>
      </c>
      <c r="I4" s="2">
        <f>COUNTIFS(tblTasks[Assigned User],[@[User ID]],tblTasks[Manual Status],"&lt;&gt;Completed",tblTasks[Manual Status],"&lt;&gt;Cancelled")</f>
        <v/>
      </c>
      <c r="J4" s="2">
        <f>COUNTIFS(tblTasks[Assigned User],[@[User ID]],tblTasks[Auto Health],"Overdue")</f>
        <v/>
      </c>
      <c r="K4" s="16">
        <f>IFERROR([@[Active Tasks]]*8/[@[Capacity Hours/Week]],0)</f>
        <v/>
      </c>
      <c r="L4" s="2" t="inlineStr">
        <is>
          <t>Program lead</t>
        </is>
      </c>
      <c r="M4" s="2" t="n"/>
      <c r="N4" s="2" t="n"/>
    </row>
    <row r="5">
      <c r="A5" s="2" t="inlineStr">
        <is>
          <t>USR-002</t>
        </is>
      </c>
      <c r="B5" s="2" t="inlineStr">
        <is>
          <t>Meera Iyer</t>
        </is>
      </c>
      <c r="C5" s="2" t="inlineStr">
        <is>
          <t>meera@example.com</t>
        </is>
      </c>
      <c r="D5" s="2" t="inlineStr">
        <is>
          <t>Engineering</t>
        </is>
      </c>
      <c r="E5" s="2" t="inlineStr">
        <is>
          <t>Developer</t>
        </is>
      </c>
      <c r="F5" s="2" t="inlineStr">
        <is>
          <t>Busy</t>
        </is>
      </c>
      <c r="G5" s="2" t="n">
        <v>40</v>
      </c>
      <c r="H5" s="2">
        <f>COUNTIF(tblTasks[Assigned User],[@[User ID]])</f>
        <v/>
      </c>
      <c r="I5" s="2">
        <f>COUNTIFS(tblTasks[Assigned User],[@[User ID]],tblTasks[Manual Status],"&lt;&gt;Completed",tblTasks[Manual Status],"&lt;&gt;Cancelled")</f>
        <v/>
      </c>
      <c r="J5" s="2">
        <f>COUNTIFS(tblTasks[Assigned User],[@[User ID]],tblTasks[Auto Health],"Overdue")</f>
        <v/>
      </c>
      <c r="K5" s="16">
        <f>IFERROR([@[Active Tasks]]*8/[@[Capacity Hours/Week]],0)</f>
        <v/>
      </c>
      <c r="L5" s="2" t="inlineStr">
        <is>
          <t>Backend</t>
        </is>
      </c>
      <c r="M5" s="2" t="n"/>
      <c r="N5" s="2" t="n"/>
    </row>
    <row r="6">
      <c r="A6" s="2" t="inlineStr">
        <is>
          <t>USR-003</t>
        </is>
      </c>
      <c r="B6" s="2" t="inlineStr">
        <is>
          <t>Rohan Gupta</t>
        </is>
      </c>
      <c r="C6" s="2" t="inlineStr">
        <is>
          <t>rohan@example.com</t>
        </is>
      </c>
      <c r="D6" s="2" t="inlineStr">
        <is>
          <t>Design</t>
        </is>
      </c>
      <c r="E6" s="2" t="inlineStr">
        <is>
          <t>Designer</t>
        </is>
      </c>
      <c r="F6" s="2" t="inlineStr">
        <is>
          <t>Available</t>
        </is>
      </c>
      <c r="G6" s="2" t="n">
        <v>35</v>
      </c>
      <c r="H6" s="2">
        <f>COUNTIF(tblTasks[Assigned User],[@[User ID]])</f>
        <v/>
      </c>
      <c r="I6" s="2">
        <f>COUNTIFS(tblTasks[Assigned User],[@[User ID]],tblTasks[Manual Status],"&lt;&gt;Completed",tblTasks[Manual Status],"&lt;&gt;Cancelled")</f>
        <v/>
      </c>
      <c r="J6" s="2">
        <f>COUNTIFS(tblTasks[Assigned User],[@[User ID]],tblTasks[Auto Health],"Overdue")</f>
        <v/>
      </c>
      <c r="K6" s="16">
        <f>IFERROR([@[Active Tasks]]*8/[@[Capacity Hours/Week]],0)</f>
        <v/>
      </c>
      <c r="L6" s="2" t="inlineStr">
        <is>
          <t>UX/UI</t>
        </is>
      </c>
      <c r="M6" s="2" t="n"/>
      <c r="N6" s="2" t="n"/>
    </row>
    <row r="7">
      <c r="A7" s="2" t="inlineStr">
        <is>
          <t>USR-004</t>
        </is>
      </c>
      <c r="B7" s="2" t="inlineStr">
        <is>
          <t>Nisha Rao</t>
        </is>
      </c>
      <c r="C7" s="2" t="inlineStr">
        <is>
          <t>nisha@example.com</t>
        </is>
      </c>
      <c r="D7" s="2" t="inlineStr">
        <is>
          <t>QA</t>
        </is>
      </c>
      <c r="E7" s="2" t="inlineStr">
        <is>
          <t>QA Engineer</t>
        </is>
      </c>
      <c r="F7" s="2" t="inlineStr">
        <is>
          <t>Available</t>
        </is>
      </c>
      <c r="G7" s="2" t="n">
        <v>40</v>
      </c>
      <c r="H7" s="2">
        <f>COUNTIF(tblTasks[Assigned User],[@[User ID]])</f>
        <v/>
      </c>
      <c r="I7" s="2">
        <f>COUNTIFS(tblTasks[Assigned User],[@[User ID]],tblTasks[Manual Status],"&lt;&gt;Completed",tblTasks[Manual Status],"&lt;&gt;Cancelled")</f>
        <v/>
      </c>
      <c r="J7" s="2">
        <f>COUNTIFS(tblTasks[Assigned User],[@[User ID]],tblTasks[Auto Health],"Overdue")</f>
        <v/>
      </c>
      <c r="K7" s="16">
        <f>IFERROR([@[Active Tasks]]*8/[@[Capacity Hours/Week]],0)</f>
        <v/>
      </c>
      <c r="L7" s="2" t="inlineStr">
        <is>
          <t>Testing</t>
        </is>
      </c>
      <c r="M7" s="2" t="n"/>
      <c r="N7" s="2" t="n"/>
    </row>
    <row r="8">
      <c r="A8" s="2" t="inlineStr">
        <is>
          <t>USR-005</t>
        </is>
      </c>
      <c r="B8" s="2" t="inlineStr">
        <is>
          <t>Vikram Menon</t>
        </is>
      </c>
      <c r="C8" s="2" t="inlineStr">
        <is>
          <t>vikram@example.com</t>
        </is>
      </c>
      <c r="D8" s="2" t="inlineStr">
        <is>
          <t>Operations</t>
        </is>
      </c>
      <c r="E8" s="2" t="inlineStr">
        <is>
          <t>DevOps</t>
        </is>
      </c>
      <c r="F8" s="2" t="inlineStr">
        <is>
          <t>Busy</t>
        </is>
      </c>
      <c r="G8" s="2" t="n">
        <v>40</v>
      </c>
      <c r="H8" s="2">
        <f>COUNTIF(tblTasks[Assigned User],[@[User ID]])</f>
        <v/>
      </c>
      <c r="I8" s="2">
        <f>COUNTIFS(tblTasks[Assigned User],[@[User ID]],tblTasks[Manual Status],"&lt;&gt;Completed",tblTasks[Manual Status],"&lt;&gt;Cancelled")</f>
        <v/>
      </c>
      <c r="J8" s="2">
        <f>COUNTIFS(tblTasks[Assigned User],[@[User ID]],tblTasks[Auto Health],"Overdue")</f>
        <v/>
      </c>
      <c r="K8" s="16">
        <f>IFERROR([@[Active Tasks]]*8/[@[Capacity Hours/Week]],0)</f>
        <v/>
      </c>
      <c r="L8" s="2" t="inlineStr">
        <is>
          <t>Release</t>
        </is>
      </c>
      <c r="M8" s="2" t="n"/>
      <c r="N8" s="2" t="n"/>
    </row>
  </sheetData>
  <mergeCells count="2">
    <mergeCell ref="A2:N2"/>
    <mergeCell ref="A1:N1"/>
  </mergeCells>
  <dataValidations count="3">
    <dataValidation sqref="D4:D200" showDropDown="0" showInputMessage="0" showErrorMessage="0" allowBlank="1" errorTitle="Invalid selection" error="Select a valid value from the dropdown list." type="list">
      <formula1>=Department</formula1>
    </dataValidation>
    <dataValidation sqref="E4:E200" showDropDown="0" showInputMessage="0" showErrorMessage="0" allowBlank="1" errorTitle="Invalid selection" error="Select a valid value from the dropdown list." type="list">
      <formula1>=Role</formula1>
    </dataValidation>
    <dataValidation sqref="F4:F200" showDropDown="0" showInputMessage="0" showErrorMessage="0" allowBlank="1" errorTitle="Invalid selection" error="Select a valid value from the dropdown list." type="list">
      <formula1>=Availability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P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0" customWidth="1" min="4" max="4"/>
    <col width="13" customWidth="1" min="5" max="5"/>
    <col width="13" customWidth="1" min="6" max="6"/>
    <col width="15" customWidth="1" min="7" max="7"/>
    <col width="12" customWidth="1" min="8" max="8"/>
    <col width="14" customWidth="1" min="9" max="9"/>
    <col width="14" customWidth="1" min="10" max="10"/>
    <col width="11" customWidth="1" min="11" max="11"/>
    <col width="14" customWidth="1" min="12" max="12"/>
    <col width="12" customWidth="1" min="13" max="13"/>
    <col width="14" customWidth="1" min="14" max="14"/>
    <col width="14" customWidth="1" min="15" max="15"/>
    <col width="24" customWidth="1" min="16" max="16"/>
  </cols>
  <sheetData>
    <row r="1" ht="30" customHeight="1">
      <c r="A1" s="13" t="inlineStr">
        <is>
          <t>Projects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Portfolio-level project control and calculated health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2" t="inlineStr">
        <is>
          <t>Project ID</t>
        </is>
      </c>
      <c r="B3" s="12" t="inlineStr">
        <is>
          <t>Project Name</t>
        </is>
      </c>
      <c r="C3" s="12" t="inlineStr">
        <is>
          <t>Project Manager</t>
        </is>
      </c>
      <c r="D3" s="12" t="inlineStr">
        <is>
          <t>Client / Department</t>
        </is>
      </c>
      <c r="E3" s="12" t="inlineStr">
        <is>
          <t>Start Date</t>
        </is>
      </c>
      <c r="F3" s="12" t="inlineStr">
        <is>
          <t>End Date</t>
        </is>
      </c>
      <c r="G3" s="12" t="inlineStr">
        <is>
          <t>Manual Status</t>
        </is>
      </c>
      <c r="H3" s="12" t="inlineStr">
        <is>
          <t>Priority</t>
        </is>
      </c>
      <c r="I3" s="12" t="inlineStr">
        <is>
          <t>Budget</t>
        </is>
      </c>
      <c r="J3" s="12" t="inlineStr">
        <is>
          <t>Actual Cost</t>
        </is>
      </c>
      <c r="K3" s="12" t="inlineStr">
        <is>
          <t>Task Count</t>
        </is>
      </c>
      <c r="L3" s="12" t="inlineStr">
        <is>
          <t>Completed Tasks</t>
        </is>
      </c>
      <c r="M3" s="12" t="inlineStr">
        <is>
          <t>Progress %</t>
        </is>
      </c>
      <c r="N3" s="12" t="inlineStr">
        <is>
          <t>Auto Health</t>
        </is>
      </c>
      <c r="O3" s="12" t="inlineStr">
        <is>
          <t>Days Remaining</t>
        </is>
      </c>
      <c r="P3" s="12" t="inlineStr">
        <is>
          <t>Notes</t>
        </is>
      </c>
    </row>
    <row r="4">
      <c r="A4" s="2" t="inlineStr">
        <is>
          <t>PRJ-001</t>
        </is>
      </c>
      <c r="B4" s="2" t="inlineStr">
        <is>
          <t>ERP Modernization</t>
        </is>
      </c>
      <c r="C4" s="2" t="inlineStr">
        <is>
          <t>USR-001</t>
        </is>
      </c>
      <c r="D4" s="2" t="inlineStr">
        <is>
          <t>Finance</t>
        </is>
      </c>
      <c r="E4" s="17" t="n">
        <v>46162</v>
      </c>
      <c r="F4" s="17" t="n">
        <v>46227</v>
      </c>
      <c r="G4" s="2" t="inlineStr">
        <is>
          <t>In Progress</t>
        </is>
      </c>
      <c r="H4" s="2" t="inlineStr">
        <is>
          <t>Critical</t>
        </is>
      </c>
      <c r="I4" s="18" t="n">
        <v>500000</v>
      </c>
      <c r="J4" s="18" t="n">
        <v>180000</v>
      </c>
      <c r="K4" s="2">
        <f>COUNTIF(tblTasks[Project ID],[@[Project ID]])</f>
        <v/>
      </c>
      <c r="L4" s="2">
        <f>COUNTIFS(tblTasks[Project ID],[@[Project ID]],tblTasks[Manual Status],"Completed")</f>
        <v/>
      </c>
      <c r="M4" s="16">
        <f>IFERROR([@[Completed Tasks]]/[@[Task Count]],0)</f>
        <v/>
      </c>
      <c r="N4" s="2">
        <f>IF([@[Manual Status]]="Completed","Completed",IF(COUNTIFS(tblTasks[Project ID],[@[Project ID]],tblTasks[Auto Health],"Overdue")&gt;0,"Overdue",IF(COUNTIFS(tblTasks[Project ID],[@[Project ID]],tblTasks[Auto Health],"At Risk")&gt;0,"At Risk",IF([@[Task Count]]=0,"Not Started","On Track"))))</f>
        <v/>
      </c>
      <c r="O4" s="2">
        <f>MAX(0,[@[End Date]]-TODAY())</f>
        <v/>
      </c>
      <c r="P4" s="2" t="inlineStr">
        <is>
          <t>Core transformation</t>
        </is>
      </c>
    </row>
    <row r="5">
      <c r="A5" s="2" t="inlineStr">
        <is>
          <t>PRJ-002</t>
        </is>
      </c>
      <c r="B5" s="2" t="inlineStr">
        <is>
          <t>Customer Portal</t>
        </is>
      </c>
      <c r="C5" s="2" t="inlineStr">
        <is>
          <t>USR-001</t>
        </is>
      </c>
      <c r="D5" s="2" t="inlineStr">
        <is>
          <t>Sales</t>
        </is>
      </c>
      <c r="E5" s="17" t="n">
        <v>46172</v>
      </c>
      <c r="F5" s="17" t="n">
        <v>46212</v>
      </c>
      <c r="G5" s="2" t="inlineStr">
        <is>
          <t>In Progress</t>
        </is>
      </c>
      <c r="H5" s="2" t="inlineStr">
        <is>
          <t>High</t>
        </is>
      </c>
      <c r="I5" s="18" t="n">
        <v>220000</v>
      </c>
      <c r="J5" s="18" t="n">
        <v>65000</v>
      </c>
      <c r="K5" s="2">
        <f>COUNTIF(tblTasks[Project ID],[@[Project ID]])</f>
        <v/>
      </c>
      <c r="L5" s="2">
        <f>COUNTIFS(tblTasks[Project ID],[@[Project ID]],tblTasks[Manual Status],"Completed")</f>
        <v/>
      </c>
      <c r="M5" s="16">
        <f>IFERROR([@[Completed Tasks]]/[@[Task Count]],0)</f>
        <v/>
      </c>
      <c r="N5" s="2">
        <f>IF([@[Manual Status]]="Completed","Completed",IF(COUNTIFS(tblTasks[Project ID],[@[Project ID]],tblTasks[Auto Health],"Overdue")&gt;0,"Overdue",IF(COUNTIFS(tblTasks[Project ID],[@[Project ID]],tblTasks[Auto Health],"At Risk")&gt;0,"At Risk",IF([@[Task Count]]=0,"Not Started","On Track"))))</f>
        <v/>
      </c>
      <c r="O5" s="2">
        <f>MAX(0,[@[End Date]]-TODAY())</f>
        <v/>
      </c>
      <c r="P5" s="2" t="inlineStr">
        <is>
          <t>Self-service portal</t>
        </is>
      </c>
    </row>
    <row r="6">
      <c r="A6" s="2" t="inlineStr">
        <is>
          <t>PRJ-003</t>
        </is>
      </c>
      <c r="B6" s="2" t="inlineStr">
        <is>
          <t>Data Quality Program</t>
        </is>
      </c>
      <c r="C6" s="2" t="inlineStr">
        <is>
          <t>USR-001</t>
        </is>
      </c>
      <c r="D6" s="2" t="inlineStr">
        <is>
          <t>Operations</t>
        </is>
      </c>
      <c r="E6" s="17" t="n">
        <v>46122</v>
      </c>
      <c r="F6" s="17" t="n">
        <v>46192</v>
      </c>
      <c r="G6" s="2" t="inlineStr">
        <is>
          <t>Planning</t>
        </is>
      </c>
      <c r="H6" s="2" t="inlineStr">
        <is>
          <t>Medium</t>
        </is>
      </c>
      <c r="I6" s="18" t="n">
        <v>90000</v>
      </c>
      <c r="J6" s="18" t="n">
        <v>25000</v>
      </c>
      <c r="K6" s="2">
        <f>COUNTIF(tblTasks[Project ID],[@[Project ID]])</f>
        <v/>
      </c>
      <c r="L6" s="2">
        <f>COUNTIFS(tblTasks[Project ID],[@[Project ID]],tblTasks[Manual Status],"Completed")</f>
        <v/>
      </c>
      <c r="M6" s="16">
        <f>IFERROR([@[Completed Tasks]]/[@[Task Count]],0)</f>
        <v/>
      </c>
      <c r="N6" s="2">
        <f>IF([@[Manual Status]]="Completed","Completed",IF(COUNTIFS(tblTasks[Project ID],[@[Project ID]],tblTasks[Auto Health],"Overdue")&gt;0,"Overdue",IF(COUNTIFS(tblTasks[Project ID],[@[Project ID]],tblTasks[Auto Health],"At Risk")&gt;0,"At Risk",IF([@[Task Count]]=0,"Not Started","On Track"))))</f>
        <v/>
      </c>
      <c r="O6" s="2">
        <f>MAX(0,[@[End Date]]-TODAY())</f>
        <v/>
      </c>
      <c r="P6" s="2" t="inlineStr">
        <is>
          <t>Data governance</t>
        </is>
      </c>
    </row>
  </sheetData>
  <mergeCells count="2">
    <mergeCell ref="A2:N2"/>
    <mergeCell ref="A1:N1"/>
  </mergeCells>
  <conditionalFormatting sqref="N4:N300">
    <cfRule type="expression" priority="1" dxfId="0">
      <formula>$N4="Overdue"</formula>
    </cfRule>
    <cfRule type="expression" priority="2" dxfId="1">
      <formula>$N4="At Risk"</formula>
    </cfRule>
    <cfRule type="expression" priority="3" dxfId="2">
      <formula>$N4="On Track"</formula>
    </cfRule>
    <cfRule type="expression" priority="4" dxfId="3">
      <formula>$N4="Completed"</formula>
    </cfRule>
  </conditionalFormatting>
  <conditionalFormatting sqref="H4:H300">
    <cfRule type="expression" priority="5" dxfId="4">
      <formula>$H4="Critical"</formula>
    </cfRule>
    <cfRule type="expression" priority="6" dxfId="0">
      <formula>$H4="High"</formula>
    </cfRule>
  </conditionalFormatting>
  <conditionalFormatting sqref="M4:M300">
    <cfRule type="cellIs" priority="7" operator="greaterThanOrEqual" dxfId="5">
      <formula>0.8</formula>
    </cfRule>
  </conditionalFormatting>
  <dataValidations count="3">
    <dataValidation sqref="C4:C200" showDropDown="0" showInputMessage="0" showErrorMessage="0" allowBlank="1" errorTitle="Invalid selection" error="Select a valid value from the dropdown list." type="list">
      <formula1>=UserIDs</formula1>
    </dataValidation>
    <dataValidation sqref="G4:G200" showDropDown="0" showInputMessage="0" showErrorMessage="0" allowBlank="1" errorTitle="Invalid selection" error="Select a valid value from the dropdown list." type="list">
      <formula1>=Project_Status</formula1>
    </dataValidation>
    <dataValidation sqref="H4:H200" showDropDown="0" showInputMessage="0" showErrorMessage="0" allowBlank="1" errorTitle="Invalid selection" error="Select a valid value from the dropdown list." type="list">
      <formula1>=Priority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4" customWidth="1" min="5" max="5"/>
    <col width="13" customWidth="1" min="6" max="6"/>
    <col width="13" customWidth="1" min="7" max="7"/>
    <col width="15" customWidth="1" min="8" max="8"/>
    <col width="12" customWidth="1" min="9" max="9"/>
    <col width="12" customWidth="1" min="10" max="10"/>
    <col width="17" customWidth="1" min="11" max="11"/>
    <col width="10" customWidth="1" min="12" max="12"/>
    <col width="24" customWidth="1" min="13" max="13"/>
    <col width="13" customWidth="1" min="14" max="14"/>
    <col width="16" customWidth="1" min="15" max="15"/>
    <col width="13" customWidth="1" min="16" max="16"/>
    <col width="10" customWidth="1" min="17" max="17"/>
    <col width="24" customWidth="1" min="18" max="18"/>
  </cols>
  <sheetData>
    <row r="1" ht="30" customHeight="1">
      <c r="A1" s="13" t="inlineStr">
        <is>
          <t>Tasks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Task management with dependencies, status dropdowns, progress, and auto health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2" t="inlineStr">
        <is>
          <t>Task ID</t>
        </is>
      </c>
      <c r="B3" s="12" t="inlineStr">
        <is>
          <t>Project ID</t>
        </is>
      </c>
      <c r="C3" s="12" t="inlineStr">
        <is>
          <t>Task Name</t>
        </is>
      </c>
      <c r="D3" s="12" t="inlineStr">
        <is>
          <t>Category</t>
        </is>
      </c>
      <c r="E3" s="12" t="inlineStr">
        <is>
          <t>Assigned User</t>
        </is>
      </c>
      <c r="F3" s="12" t="inlineStr">
        <is>
          <t>Start Date</t>
        </is>
      </c>
      <c r="G3" s="12" t="inlineStr">
        <is>
          <t>Due Date</t>
        </is>
      </c>
      <c r="H3" s="12" t="inlineStr">
        <is>
          <t>Manual Status</t>
        </is>
      </c>
      <c r="I3" s="12" t="inlineStr">
        <is>
          <t>Priority</t>
        </is>
      </c>
      <c r="J3" s="12" t="inlineStr">
        <is>
          <t>Progress %</t>
        </is>
      </c>
      <c r="K3" s="12" t="inlineStr">
        <is>
          <t>Depends On Task ID</t>
        </is>
      </c>
      <c r="L3" s="12" t="inlineStr">
        <is>
          <t>Blocked?</t>
        </is>
      </c>
      <c r="M3" s="12" t="inlineStr">
        <is>
          <t>Blocking Reason</t>
        </is>
      </c>
      <c r="N3" s="12" t="inlineStr">
        <is>
          <t>Subtask Count</t>
        </is>
      </c>
      <c r="O3" s="12" t="inlineStr">
        <is>
          <t>Completed Subtasks</t>
        </is>
      </c>
      <c r="P3" s="12" t="inlineStr">
        <is>
          <t>Auto Health</t>
        </is>
      </c>
      <c r="Q3" s="12" t="inlineStr">
        <is>
          <t>Days Late</t>
        </is>
      </c>
      <c r="R3" s="12" t="inlineStr">
        <is>
          <t>Notes</t>
        </is>
      </c>
    </row>
    <row r="4">
      <c r="A4" s="2" t="inlineStr">
        <is>
          <t>TSK-001</t>
        </is>
      </c>
      <c r="B4" s="2" t="inlineStr">
        <is>
          <t>PRJ-001</t>
        </is>
      </c>
      <c r="C4" s="2" t="inlineStr">
        <is>
          <t>Requirements workshop</t>
        </is>
      </c>
      <c r="D4" s="2" t="inlineStr">
        <is>
          <t>Requirement</t>
        </is>
      </c>
      <c r="E4" s="2" t="inlineStr">
        <is>
          <t>USR-001</t>
        </is>
      </c>
      <c r="F4" s="17" t="n">
        <v>46164</v>
      </c>
      <c r="G4" s="17" t="n">
        <v>46177</v>
      </c>
      <c r="H4" s="2" t="inlineStr">
        <is>
          <t>Completed</t>
        </is>
      </c>
      <c r="I4" s="2" t="inlineStr">
        <is>
          <t>High</t>
        </is>
      </c>
      <c r="J4" s="16" t="n">
        <v>1</v>
      </c>
      <c r="K4" s="2" t="inlineStr"/>
      <c r="L4" s="2" t="inlineStr"/>
      <c r="M4" s="2" t="inlineStr"/>
      <c r="N4" s="2">
        <f>COUNTIF(tblSubtasks[Parent Task ID],[@[Task ID]])</f>
        <v/>
      </c>
      <c r="O4" s="2">
        <f>COUNTIFS(tblSubtasks[Parent Task ID],[@[Task ID]],tblSubtasks[Manual Status],"Completed")</f>
        <v/>
      </c>
      <c r="P4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4" s="2">
        <f>IF(AND([@[Due Date]]&lt;TODAY(),[@[Manual Status]]&lt;&gt;"Completed"),TODAY()-[@[Due Date]],0)</f>
        <v/>
      </c>
      <c r="R4" s="2" t="inlineStr">
        <is>
          <t>Done</t>
        </is>
      </c>
    </row>
    <row r="5">
      <c r="A5" s="2" t="inlineStr">
        <is>
          <t>TSK-002</t>
        </is>
      </c>
      <c r="B5" s="2" t="inlineStr">
        <is>
          <t>PRJ-001</t>
        </is>
      </c>
      <c r="C5" s="2" t="inlineStr">
        <is>
          <t>Integration design</t>
        </is>
      </c>
      <c r="D5" s="2" t="inlineStr">
        <is>
          <t>Design</t>
        </is>
      </c>
      <c r="E5" s="2" t="inlineStr">
        <is>
          <t>USR-003</t>
        </is>
      </c>
      <c r="F5" s="17" t="n">
        <v>46174</v>
      </c>
      <c r="G5" s="17" t="n">
        <v>46187</v>
      </c>
      <c r="H5" s="2" t="inlineStr">
        <is>
          <t>In Progress</t>
        </is>
      </c>
      <c r="I5" s="2" t="inlineStr">
        <is>
          <t>Critical</t>
        </is>
      </c>
      <c r="J5" s="16" t="n">
        <v>0.55</v>
      </c>
      <c r="K5" s="2" t="inlineStr">
        <is>
          <t>TSK-001</t>
        </is>
      </c>
      <c r="L5" s="2" t="inlineStr">
        <is>
          <t>No</t>
        </is>
      </c>
      <c r="M5" s="2" t="inlineStr"/>
      <c r="N5" s="2">
        <f>COUNTIF(tblSubtasks[Parent Task ID],[@[Task ID]])</f>
        <v/>
      </c>
      <c r="O5" s="2">
        <f>COUNTIFS(tblSubtasks[Parent Task ID],[@[Task ID]],tblSubtasks[Manual Status],"Completed")</f>
        <v/>
      </c>
      <c r="P5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5" s="2">
        <f>IF(AND([@[Due Date]]&lt;TODAY(),[@[Manual Status]]&lt;&gt;"Completed"),TODAY()-[@[Due Date]],0)</f>
        <v/>
      </c>
      <c r="R5" s="2" t="inlineStr">
        <is>
          <t>API mapping</t>
        </is>
      </c>
    </row>
    <row r="6">
      <c r="A6" s="2" t="inlineStr">
        <is>
          <t>TSK-003</t>
        </is>
      </c>
      <c r="B6" s="2" t="inlineStr">
        <is>
          <t>PRJ-001</t>
        </is>
      </c>
      <c r="C6" s="2" t="inlineStr">
        <is>
          <t>Build Oracle connector</t>
        </is>
      </c>
      <c r="D6" s="2" t="inlineStr">
        <is>
          <t>Development</t>
        </is>
      </c>
      <c r="E6" s="2" t="inlineStr">
        <is>
          <t>USR-002</t>
        </is>
      </c>
      <c r="F6" s="17" t="n">
        <v>46179</v>
      </c>
      <c r="G6" s="17" t="n">
        <v>46200</v>
      </c>
      <c r="H6" s="2" t="inlineStr">
        <is>
          <t>In Progress</t>
        </is>
      </c>
      <c r="I6" s="2" t="inlineStr">
        <is>
          <t>Critical</t>
        </is>
      </c>
      <c r="J6" s="16" t="n">
        <v>0.25</v>
      </c>
      <c r="K6" s="2" t="inlineStr">
        <is>
          <t>TSK-002</t>
        </is>
      </c>
      <c r="L6" s="2" t="inlineStr">
        <is>
          <t>No</t>
        </is>
      </c>
      <c r="M6" s="2" t="inlineStr"/>
      <c r="N6" s="2">
        <f>COUNTIF(tblSubtasks[Parent Task ID],[@[Task ID]])</f>
        <v/>
      </c>
      <c r="O6" s="2">
        <f>COUNTIFS(tblSubtasks[Parent Task ID],[@[Task ID]],tblSubtasks[Manual Status],"Completed")</f>
        <v/>
      </c>
      <c r="P6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6" s="2">
        <f>IF(AND([@[Due Date]]&lt;TODAY(),[@[Manual Status]]&lt;&gt;"Completed"),TODAY()-[@[Due Date]],0)</f>
        <v/>
      </c>
      <c r="R6" s="2" t="inlineStr">
        <is>
          <t>Database connector</t>
        </is>
      </c>
    </row>
    <row r="7">
      <c r="A7" s="2" t="inlineStr">
        <is>
          <t>TSK-004</t>
        </is>
      </c>
      <c r="B7" s="2" t="inlineStr">
        <is>
          <t>PRJ-002</t>
        </is>
      </c>
      <c r="C7" s="2" t="inlineStr">
        <is>
          <t>Portal wireframes</t>
        </is>
      </c>
      <c r="D7" s="2" t="inlineStr">
        <is>
          <t>Design</t>
        </is>
      </c>
      <c r="E7" s="2" t="inlineStr">
        <is>
          <t>USR-003</t>
        </is>
      </c>
      <c r="F7" s="17" t="n">
        <v>46173</v>
      </c>
      <c r="G7" s="17" t="n">
        <v>46184</v>
      </c>
      <c r="H7" s="2" t="inlineStr">
        <is>
          <t>In Progress</t>
        </is>
      </c>
      <c r="I7" s="2" t="inlineStr">
        <is>
          <t>High</t>
        </is>
      </c>
      <c r="J7" s="16" t="n">
        <v>0.75</v>
      </c>
      <c r="K7" s="2" t="inlineStr"/>
      <c r="L7" s="2" t="inlineStr">
        <is>
          <t>No</t>
        </is>
      </c>
      <c r="M7" s="2" t="inlineStr"/>
      <c r="N7" s="2">
        <f>COUNTIF(tblSubtasks[Parent Task ID],[@[Task ID]])</f>
        <v/>
      </c>
      <c r="O7" s="2">
        <f>COUNTIFS(tblSubtasks[Parent Task ID],[@[Task ID]],tblSubtasks[Manual Status],"Completed")</f>
        <v/>
      </c>
      <c r="P7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7" s="2">
        <f>IF(AND([@[Due Date]]&lt;TODAY(),[@[Manual Status]]&lt;&gt;"Completed"),TODAY()-[@[Due Date]],0)</f>
        <v/>
      </c>
      <c r="R7" s="2" t="inlineStr">
        <is>
          <t>UI design</t>
        </is>
      </c>
    </row>
    <row r="8">
      <c r="A8" s="2" t="inlineStr">
        <is>
          <t>TSK-005</t>
        </is>
      </c>
      <c r="B8" s="2" t="inlineStr">
        <is>
          <t>PRJ-002</t>
        </is>
      </c>
      <c r="C8" s="2" t="inlineStr">
        <is>
          <t>Authentication module</t>
        </is>
      </c>
      <c r="D8" s="2" t="inlineStr">
        <is>
          <t>Development</t>
        </is>
      </c>
      <c r="E8" s="2" t="inlineStr">
        <is>
          <t>USR-002</t>
        </is>
      </c>
      <c r="F8" s="17" t="n">
        <v>46178</v>
      </c>
      <c r="G8" s="17" t="n">
        <v>46202</v>
      </c>
      <c r="H8" s="2" t="inlineStr">
        <is>
          <t>Not Started</t>
        </is>
      </c>
      <c r="I8" s="2" t="inlineStr">
        <is>
          <t>High</t>
        </is>
      </c>
      <c r="J8" s="16" t="n">
        <v>0</v>
      </c>
      <c r="K8" s="2" t="inlineStr">
        <is>
          <t>TSK-004</t>
        </is>
      </c>
      <c r="L8" s="2" t="inlineStr">
        <is>
          <t>Yes</t>
        </is>
      </c>
      <c r="M8" s="2" t="inlineStr">
        <is>
          <t>Waiting for security review</t>
        </is>
      </c>
      <c r="N8" s="2">
        <f>COUNTIF(tblSubtasks[Parent Task ID],[@[Task ID]])</f>
        <v/>
      </c>
      <c r="O8" s="2">
        <f>COUNTIFS(tblSubtasks[Parent Task ID],[@[Task ID]],tblSubtasks[Manual Status],"Completed")</f>
        <v/>
      </c>
      <c r="P8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8" s="2">
        <f>IF(AND([@[Due Date]]&lt;TODAY(),[@[Manual Status]]&lt;&gt;"Completed"),TODAY()-[@[Due Date]],0)</f>
        <v/>
      </c>
      <c r="R8" s="2" t="inlineStr">
        <is>
          <t>SSO</t>
        </is>
      </c>
    </row>
    <row r="9">
      <c r="A9" s="2" t="inlineStr">
        <is>
          <t>TSK-006</t>
        </is>
      </c>
      <c r="B9" s="2" t="inlineStr">
        <is>
          <t>PRJ-003</t>
        </is>
      </c>
      <c r="C9" s="2" t="inlineStr">
        <is>
          <t>Data profiling</t>
        </is>
      </c>
      <c r="D9" s="2" t="inlineStr">
        <is>
          <t>Research</t>
        </is>
      </c>
      <c r="E9" s="2" t="inlineStr">
        <is>
          <t>USR-004</t>
        </is>
      </c>
      <c r="F9" s="17" t="n">
        <v>46132</v>
      </c>
      <c r="G9" s="17" t="n">
        <v>46175</v>
      </c>
      <c r="H9" s="2" t="inlineStr">
        <is>
          <t>In Progress</t>
        </is>
      </c>
      <c r="I9" s="2" t="inlineStr">
        <is>
          <t>Medium</t>
        </is>
      </c>
      <c r="J9" s="16" t="n">
        <v>0.6</v>
      </c>
      <c r="K9" s="2" t="inlineStr"/>
      <c r="L9" s="2" t="inlineStr">
        <is>
          <t>No</t>
        </is>
      </c>
      <c r="M9" s="2" t="inlineStr"/>
      <c r="N9" s="2">
        <f>COUNTIF(tblSubtasks[Parent Task ID],[@[Task ID]])</f>
        <v/>
      </c>
      <c r="O9" s="2">
        <f>COUNTIFS(tblSubtasks[Parent Task ID],[@[Task ID]],tblSubtasks[Manual Status],"Completed")</f>
        <v/>
      </c>
      <c r="P9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9" s="2">
        <f>IF(AND([@[Due Date]]&lt;TODAY(),[@[Manual Status]]&lt;&gt;"Completed"),TODAY()-[@[Due Date]],0)</f>
        <v/>
      </c>
      <c r="R9" s="2" t="inlineStr">
        <is>
          <t>Quality baseline</t>
        </is>
      </c>
    </row>
    <row r="10">
      <c r="A10" s="2" t="inlineStr">
        <is>
          <t>TSK-007</t>
        </is>
      </c>
      <c r="B10" s="2" t="inlineStr">
        <is>
          <t>PRJ-003</t>
        </is>
      </c>
      <c r="C10" s="2" t="inlineStr">
        <is>
          <t>Remediation plan</t>
        </is>
      </c>
      <c r="D10" s="2" t="inlineStr">
        <is>
          <t>Documentation</t>
        </is>
      </c>
      <c r="E10" s="2" t="inlineStr">
        <is>
          <t>USR-001</t>
        </is>
      </c>
      <c r="F10" s="17" t="n">
        <v>46177</v>
      </c>
      <c r="G10" s="17" t="n">
        <v>46189</v>
      </c>
      <c r="H10" s="2" t="inlineStr">
        <is>
          <t>Not Started</t>
        </is>
      </c>
      <c r="I10" s="2" t="inlineStr">
        <is>
          <t>Medium</t>
        </is>
      </c>
      <c r="J10" s="16" t="n">
        <v>0</v>
      </c>
      <c r="K10" s="2" t="inlineStr">
        <is>
          <t>TSK-006</t>
        </is>
      </c>
      <c r="L10" s="2" t="inlineStr">
        <is>
          <t>No</t>
        </is>
      </c>
      <c r="M10" s="2" t="inlineStr"/>
      <c r="N10" s="2">
        <f>COUNTIF(tblSubtasks[Parent Task ID],[@[Task ID]])</f>
        <v/>
      </c>
      <c r="O10" s="2">
        <f>COUNTIFS(tblSubtasks[Parent Task ID],[@[Task ID]],tblSubtasks[Manual Status],"Completed")</f>
        <v/>
      </c>
      <c r="P10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Q10" s="2">
        <f>IF(AND([@[Due Date]]&lt;TODAY(),[@[Manual Status]]&lt;&gt;"Completed"),TODAY()-[@[Due Date]],0)</f>
        <v/>
      </c>
      <c r="R10" s="2" t="inlineStr">
        <is>
          <t>Action plan</t>
        </is>
      </c>
    </row>
  </sheetData>
  <mergeCells count="2">
    <mergeCell ref="A2:N2"/>
    <mergeCell ref="A1:N1"/>
  </mergeCells>
  <conditionalFormatting sqref="P4:P300">
    <cfRule type="expression" priority="1" dxfId="0">
      <formula>$P4="Overdue"</formula>
    </cfRule>
    <cfRule type="expression" priority="2" dxfId="1">
      <formula>$P4="At Risk"</formula>
    </cfRule>
    <cfRule type="expression" priority="3" dxfId="2">
      <formula>$P4="On Track"</formula>
    </cfRule>
    <cfRule type="expression" priority="4" dxfId="3">
      <formula>$P4="Completed"</formula>
    </cfRule>
  </conditionalFormatting>
  <conditionalFormatting sqref="I4:I300">
    <cfRule type="expression" priority="5" dxfId="4">
      <formula>$I4="Critical"</formula>
    </cfRule>
    <cfRule type="expression" priority="6" dxfId="0">
      <formula>$I4="High"</formula>
    </cfRule>
  </conditionalFormatting>
  <conditionalFormatting sqref="J4:J300">
    <cfRule type="cellIs" priority="7" operator="greaterThanOrEqual" dxfId="5">
      <formula>0.8</formula>
    </cfRule>
  </conditionalFormatting>
  <dataValidations count="6">
    <dataValidation sqref="B4:B300" showDropDown="0" showInputMessage="0" showErrorMessage="0" allowBlank="1" errorTitle="Invalid selection" error="Select a valid value from the dropdown list." type="list">
      <formula1>=ProjectIDs</formula1>
    </dataValidation>
    <dataValidation sqref="D4:D300" showDropDown="0" showInputMessage="0" showErrorMessage="0" allowBlank="1" errorTitle="Invalid selection" error="Select a valid value from the dropdown list." type="list">
      <formula1>=Task_Category</formula1>
    </dataValidation>
    <dataValidation sqref="E4:E300" showDropDown="0" showInputMessage="0" showErrorMessage="0" allowBlank="1" errorTitle="Invalid selection" error="Select a valid value from the dropdown list." type="list">
      <formula1>=UserIDs</formula1>
    </dataValidation>
    <dataValidation sqref="H4:H300" showDropDown="0" showInputMessage="0" showErrorMessage="0" allowBlank="1" errorTitle="Invalid selection" error="Select a valid value from the dropdown list." type="list">
      <formula1>=Task_Status</formula1>
    </dataValidation>
    <dataValidation sqref="I4:I300" showDropDown="0" showInputMessage="0" showErrorMessage="0" allowBlank="1" errorTitle="Invalid selection" error="Select a valid value from the dropdown list." type="list">
      <formula1>=Priority</formula1>
    </dataValidation>
    <dataValidation sqref="K4:K300" showDropDown="0" showInputMessage="0" showErrorMessage="0" allowBlank="1" errorTitle="Invalid selection" error="Select a valid value from the dropdown list." type="list">
      <formula1>=TaskIDs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6" customWidth="1" min="4" max="4"/>
    <col width="14" customWidth="1" min="5" max="5"/>
    <col width="13" customWidth="1" min="6" max="6"/>
    <col width="15" customWidth="1" min="7" max="7"/>
    <col width="12" customWidth="1" min="8" max="8"/>
    <col width="12" customWidth="1" min="9" max="9"/>
    <col width="13" customWidth="1" min="10" max="10"/>
    <col width="10" customWidth="1" min="11" max="11"/>
    <col width="24" customWidth="1" min="12" max="12"/>
  </cols>
  <sheetData>
    <row r="1" ht="30" customHeight="1">
      <c r="A1" s="13" t="inlineStr">
        <is>
          <t>Subtasks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Detailed execution breakdown under tasks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2" t="inlineStr">
        <is>
          <t>Subtask ID</t>
        </is>
      </c>
      <c r="B3" s="12" t="inlineStr">
        <is>
          <t>Parent Task ID</t>
        </is>
      </c>
      <c r="C3" s="12" t="inlineStr">
        <is>
          <t>Project ID</t>
        </is>
      </c>
      <c r="D3" s="12" t="inlineStr">
        <is>
          <t>Subtask Name</t>
        </is>
      </c>
      <c r="E3" s="12" t="inlineStr">
        <is>
          <t>Assigned User</t>
        </is>
      </c>
      <c r="F3" s="12" t="inlineStr">
        <is>
          <t>Due Date</t>
        </is>
      </c>
      <c r="G3" s="12" t="inlineStr">
        <is>
          <t>Manual Status</t>
        </is>
      </c>
      <c r="H3" s="12" t="inlineStr">
        <is>
          <t>Priority</t>
        </is>
      </c>
      <c r="I3" s="12" t="inlineStr">
        <is>
          <t>Completion %</t>
        </is>
      </c>
      <c r="J3" s="12" t="inlineStr">
        <is>
          <t>Auto Health</t>
        </is>
      </c>
      <c r="K3" s="12" t="inlineStr">
        <is>
          <t>Days Late</t>
        </is>
      </c>
      <c r="L3" s="12" t="inlineStr">
        <is>
          <t>Notes</t>
        </is>
      </c>
      <c r="M3" s="12" t="n"/>
      <c r="N3" s="12" t="n"/>
    </row>
    <row r="4">
      <c r="A4" s="2" t="inlineStr">
        <is>
          <t>SUB-001</t>
        </is>
      </c>
      <c r="B4" s="2" t="inlineStr">
        <is>
          <t>TSK-002</t>
        </is>
      </c>
      <c r="C4" s="2" t="inlineStr">
        <is>
          <t>PRJ-001</t>
        </is>
      </c>
      <c r="D4" s="2" t="inlineStr">
        <is>
          <t>Confirm interfaces</t>
        </is>
      </c>
      <c r="E4" s="2" t="inlineStr">
        <is>
          <t>USR-003</t>
        </is>
      </c>
      <c r="F4" s="17" t="n">
        <v>46185</v>
      </c>
      <c r="G4" s="2" t="inlineStr">
        <is>
          <t>In Progress</t>
        </is>
      </c>
      <c r="H4" s="2" t="inlineStr">
        <is>
          <t>Critical</t>
        </is>
      </c>
      <c r="I4" s="16" t="n">
        <v>0.5</v>
      </c>
      <c r="J4" s="2">
        <f>IF([@[Manual Status]]="Completed","Completed",IF([@[Manual Status]]="Blocked","Blocked",IF(AND([@[Due Date]]&lt;TODAY(),[@[Manual Status]]&lt;&gt;"Completed"),"Overdue",IF(AND([@[Due Date]]-TODAY()&lt;=3,[@[Completion %]]&lt;0.8),"At Risk",IF([@[Completion %]]=0,"Not Started","On Track")))))</f>
        <v/>
      </c>
      <c r="K4" s="2">
        <f>IF(AND([@[Due Date]]&lt;TODAY(),[@[Manual Status]]&lt;&gt;"Completed"),TODAY()-[@[Due Date]],0)</f>
        <v/>
      </c>
      <c r="L4" s="2" t="inlineStr">
        <is>
          <t>Interface list</t>
        </is>
      </c>
      <c r="M4" s="2" t="n"/>
      <c r="N4" s="2" t="n"/>
    </row>
    <row r="5">
      <c r="A5" s="2" t="inlineStr">
        <is>
          <t>SUB-002</t>
        </is>
      </c>
      <c r="B5" s="2" t="inlineStr">
        <is>
          <t>TSK-003</t>
        </is>
      </c>
      <c r="C5" s="2" t="inlineStr">
        <is>
          <t>PRJ-001</t>
        </is>
      </c>
      <c r="D5" s="2" t="inlineStr">
        <is>
          <t>Create connection pool</t>
        </is>
      </c>
      <c r="E5" s="2" t="inlineStr">
        <is>
          <t>USR-002</t>
        </is>
      </c>
      <c r="F5" s="17" t="n">
        <v>46192</v>
      </c>
      <c r="G5" s="2" t="inlineStr">
        <is>
          <t>Not Started</t>
        </is>
      </c>
      <c r="H5" s="2" t="inlineStr">
        <is>
          <t>High</t>
        </is>
      </c>
      <c r="I5" s="16" t="n">
        <v>0</v>
      </c>
      <c r="J5" s="2">
        <f>IF([@[Manual Status]]="Completed","Completed",IF([@[Manual Status]]="Blocked","Blocked",IF(AND([@[Due Date]]&lt;TODAY(),[@[Manual Status]]&lt;&gt;"Completed"),"Overdue",IF(AND([@[Due Date]]-TODAY()&lt;=3,[@[Completion %]]&lt;0.8),"At Risk",IF([@[Completion %]]=0,"Not Started","On Track")))))</f>
        <v/>
      </c>
      <c r="K5" s="2">
        <f>IF(AND([@[Due Date]]&lt;TODAY(),[@[Manual Status]]&lt;&gt;"Completed"),TODAY()-[@[Due Date]],0)</f>
        <v/>
      </c>
      <c r="L5" s="2" t="inlineStr">
        <is>
          <t>Code task</t>
        </is>
      </c>
      <c r="M5" s="2" t="n"/>
      <c r="N5" s="2" t="n"/>
    </row>
    <row r="6">
      <c r="A6" s="2" t="inlineStr">
        <is>
          <t>SUB-003</t>
        </is>
      </c>
      <c r="B6" s="2" t="inlineStr">
        <is>
          <t>TSK-004</t>
        </is>
      </c>
      <c r="C6" s="2" t="inlineStr">
        <is>
          <t>PRJ-002</t>
        </is>
      </c>
      <c r="D6" s="2" t="inlineStr">
        <is>
          <t>Mobile wireframes</t>
        </is>
      </c>
      <c r="E6" s="2" t="inlineStr">
        <is>
          <t>USR-003</t>
        </is>
      </c>
      <c r="F6" s="17" t="n">
        <v>46183</v>
      </c>
      <c r="G6" s="2" t="inlineStr">
        <is>
          <t>Completed</t>
        </is>
      </c>
      <c r="H6" s="2" t="inlineStr">
        <is>
          <t>High</t>
        </is>
      </c>
      <c r="I6" s="16" t="n">
        <v>1</v>
      </c>
      <c r="J6" s="2">
        <f>IF([@[Manual Status]]="Completed","Completed",IF([@[Manual Status]]="Blocked","Blocked",IF(AND([@[Due Date]]&lt;TODAY(),[@[Manual Status]]&lt;&gt;"Completed"),"Overdue",IF(AND([@[Due Date]]-TODAY()&lt;=3,[@[Completion %]]&lt;0.8),"At Risk",IF([@[Completion %]]=0,"Not Started","On Track")))))</f>
        <v/>
      </c>
      <c r="K6" s="2">
        <f>IF(AND([@[Due Date]]&lt;TODAY(),[@[Manual Status]]&lt;&gt;"Completed"),TODAY()-[@[Due Date]],0)</f>
        <v/>
      </c>
      <c r="L6" s="2" t="inlineStr">
        <is>
          <t>Approved</t>
        </is>
      </c>
      <c r="M6" s="2" t="n"/>
      <c r="N6" s="2" t="n"/>
    </row>
    <row r="7">
      <c r="A7" s="2" t="inlineStr">
        <is>
          <t>SUB-004</t>
        </is>
      </c>
      <c r="B7" s="2" t="inlineStr">
        <is>
          <t>TSK-005</t>
        </is>
      </c>
      <c r="C7" s="2" t="inlineStr">
        <is>
          <t>PRJ-002</t>
        </is>
      </c>
      <c r="D7" s="2" t="inlineStr">
        <is>
          <t>SSO spike</t>
        </is>
      </c>
      <c r="E7" s="2" t="inlineStr">
        <is>
          <t>USR-002</t>
        </is>
      </c>
      <c r="F7" s="17" t="n">
        <v>46188</v>
      </c>
      <c r="G7" s="2" t="inlineStr">
        <is>
          <t>Blocked</t>
        </is>
      </c>
      <c r="H7" s="2" t="inlineStr">
        <is>
          <t>High</t>
        </is>
      </c>
      <c r="I7" s="16" t="n">
        <v>0.1</v>
      </c>
      <c r="J7" s="2">
        <f>IF([@[Manual Status]]="Completed","Completed",IF([@[Manual Status]]="Blocked","Blocked",IF(AND([@[Due Date]]&lt;TODAY(),[@[Manual Status]]&lt;&gt;"Completed"),"Overdue",IF(AND([@[Due Date]]-TODAY()&lt;=3,[@[Completion %]]&lt;0.8),"At Risk",IF([@[Completion %]]=0,"Not Started","On Track")))))</f>
        <v/>
      </c>
      <c r="K7" s="2">
        <f>IF(AND([@[Due Date]]&lt;TODAY(),[@[Manual Status]]&lt;&gt;"Completed"),TODAY()-[@[Due Date]],0)</f>
        <v/>
      </c>
      <c r="L7" s="2" t="inlineStr">
        <is>
          <t>Security dependency</t>
        </is>
      </c>
      <c r="M7" s="2" t="n"/>
      <c r="N7" s="2" t="n"/>
    </row>
    <row r="8">
      <c r="A8" s="2" t="inlineStr">
        <is>
          <t>SUB-005</t>
        </is>
      </c>
      <c r="B8" s="2" t="inlineStr">
        <is>
          <t>TSK-006</t>
        </is>
      </c>
      <c r="C8" s="2" t="inlineStr">
        <is>
          <t>PRJ-003</t>
        </is>
      </c>
      <c r="D8" s="2" t="inlineStr">
        <is>
          <t>Profile customer table</t>
        </is>
      </c>
      <c r="E8" s="2" t="inlineStr">
        <is>
          <t>USR-004</t>
        </is>
      </c>
      <c r="F8" s="17" t="n">
        <v>46178</v>
      </c>
      <c r="G8" s="2" t="inlineStr">
        <is>
          <t>In Progress</t>
        </is>
      </c>
      <c r="H8" s="2" t="inlineStr">
        <is>
          <t>Medium</t>
        </is>
      </c>
      <c r="I8" s="16" t="n">
        <v>0.7</v>
      </c>
      <c r="J8" s="2">
        <f>IF([@[Manual Status]]="Completed","Completed",IF([@[Manual Status]]="Blocked","Blocked",IF(AND([@[Due Date]]&lt;TODAY(),[@[Manual Status]]&lt;&gt;"Completed"),"Overdue",IF(AND([@[Due Date]]-TODAY()&lt;=3,[@[Completion %]]&lt;0.8),"At Risk",IF([@[Completion %]]=0,"Not Started","On Track")))))</f>
        <v/>
      </c>
      <c r="K8" s="2">
        <f>IF(AND([@[Due Date]]&lt;TODAY(),[@[Manual Status]]&lt;&gt;"Completed"),TODAY()-[@[Due Date]],0)</f>
        <v/>
      </c>
      <c r="L8" s="2" t="inlineStr">
        <is>
          <t>Late sample</t>
        </is>
      </c>
      <c r="M8" s="2" t="n"/>
      <c r="N8" s="2" t="n"/>
    </row>
  </sheetData>
  <mergeCells count="2">
    <mergeCell ref="A2:N2"/>
    <mergeCell ref="A1:N1"/>
  </mergeCells>
  <conditionalFormatting sqref="J4:J300">
    <cfRule type="expression" priority="1" dxfId="0">
      <formula>$J4="Overdue"</formula>
    </cfRule>
    <cfRule type="expression" priority="2" dxfId="1">
      <formula>$J4="At Risk"</formula>
    </cfRule>
    <cfRule type="expression" priority="3" dxfId="2">
      <formula>$J4="On Track"</formula>
    </cfRule>
    <cfRule type="expression" priority="4" dxfId="3">
      <formula>$J4="Completed"</formula>
    </cfRule>
  </conditionalFormatting>
  <conditionalFormatting sqref="H4:H300">
    <cfRule type="expression" priority="5" dxfId="4">
      <formula>$H4="Critical"</formula>
    </cfRule>
    <cfRule type="expression" priority="6" dxfId="0">
      <formula>$H4="High"</formula>
    </cfRule>
  </conditionalFormatting>
  <conditionalFormatting sqref="I4:I300">
    <cfRule type="cellIs" priority="7" operator="greaterThanOrEqual" dxfId="5">
      <formula>0.8</formula>
    </cfRule>
  </conditionalFormatting>
  <dataValidations count="5">
    <dataValidation sqref="B4:B300" showDropDown="0" showInputMessage="0" showErrorMessage="0" allowBlank="1" errorTitle="Invalid selection" error="Select a valid value from the dropdown list." type="list">
      <formula1>=TaskIDs</formula1>
    </dataValidation>
    <dataValidation sqref="C4:C300" showDropDown="0" showInputMessage="0" showErrorMessage="0" allowBlank="1" errorTitle="Invalid selection" error="Select a valid value from the dropdown list." type="list">
      <formula1>=ProjectIDs</formula1>
    </dataValidation>
    <dataValidation sqref="E4:E300" showDropDown="0" showInputMessage="0" showErrorMessage="0" allowBlank="1" errorTitle="Invalid selection" error="Select a valid value from the dropdown list." type="list">
      <formula1>=UserIDs</formula1>
    </dataValidation>
    <dataValidation sqref="G4:G300" showDropDown="0" showInputMessage="0" showErrorMessage="0" allowBlank="1" errorTitle="Invalid selection" error="Select a valid value from the dropdown list." type="list">
      <formula1>=Task_Status</formula1>
    </dataValidation>
    <dataValidation sqref="H4:H300" showDropDown="0" showInputMessage="0" showErrorMessage="0" allowBlank="1" errorTitle="Invalid selection" error="Select a valid value from the dropdown list." type="list">
      <formula1>=Priority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13" customWidth="1" min="5" max="5"/>
    <col width="13" customWidth="1" min="6" max="6"/>
    <col width="15" customWidth="1" min="7" max="7"/>
    <col width="12" customWidth="1" min="8" max="8"/>
    <col width="13" customWidth="1" min="9" max="9"/>
    <col width="24" customWidth="1" min="10" max="10"/>
  </cols>
  <sheetData>
    <row r="1" ht="30" customHeight="1">
      <c r="A1" s="13" t="inlineStr">
        <is>
          <t>Milestones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Major delivery checkpoints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2" t="inlineStr">
        <is>
          <t>Milestone ID</t>
        </is>
      </c>
      <c r="B3" s="12" t="inlineStr">
        <is>
          <t>Project ID</t>
        </is>
      </c>
      <c r="C3" s="12" t="inlineStr">
        <is>
          <t>Milestone Name</t>
        </is>
      </c>
      <c r="D3" s="12" t="inlineStr">
        <is>
          <t>Owner</t>
        </is>
      </c>
      <c r="E3" s="12" t="inlineStr">
        <is>
          <t>Target Date</t>
        </is>
      </c>
      <c r="F3" s="12" t="inlineStr">
        <is>
          <t>Actual Date</t>
        </is>
      </c>
      <c r="G3" s="12" t="inlineStr">
        <is>
          <t>Manual Status</t>
        </is>
      </c>
      <c r="H3" s="12" t="inlineStr">
        <is>
          <t>Priority</t>
        </is>
      </c>
      <c r="I3" s="12" t="inlineStr">
        <is>
          <t>Auto Health</t>
        </is>
      </c>
      <c r="J3" s="12" t="inlineStr">
        <is>
          <t>Notes</t>
        </is>
      </c>
      <c r="K3" s="12" t="n"/>
      <c r="L3" s="12" t="n"/>
      <c r="M3" s="12" t="n"/>
      <c r="N3" s="12" t="n"/>
    </row>
    <row r="4">
      <c r="A4" s="2" t="inlineStr">
        <is>
          <t>MS-001</t>
        </is>
      </c>
      <c r="B4" s="2" t="inlineStr">
        <is>
          <t>PRJ-001</t>
        </is>
      </c>
      <c r="C4" s="2" t="inlineStr">
        <is>
          <t>Architecture sign-off</t>
        </is>
      </c>
      <c r="D4" s="2" t="inlineStr">
        <is>
          <t>USR-001</t>
        </is>
      </c>
      <c r="E4" s="17" t="n">
        <v>46194</v>
      </c>
      <c r="F4" s="2" t="inlineStr"/>
      <c r="G4" s="2" t="inlineStr">
        <is>
          <t>In Progress</t>
        </is>
      </c>
      <c r="H4" s="2" t="inlineStr">
        <is>
          <t>Critical</t>
        </is>
      </c>
      <c r="I4" s="2">
        <f>IF([@[Manual Status]]="Completed","Completed",IF(AND([@[Target Date]]&lt;TODAY(),[@[Manual Status]]&lt;&gt;"Completed"),"Overdue",IF([@[Target Date]]-TODAY()&lt;=5,"At Risk","On Track")))</f>
        <v/>
      </c>
      <c r="J4" s="2" t="inlineStr">
        <is>
          <t>Architecture board</t>
        </is>
      </c>
      <c r="K4" s="2" t="n"/>
      <c r="L4" s="2" t="n"/>
      <c r="M4" s="2" t="n"/>
      <c r="N4" s="2" t="n"/>
    </row>
    <row r="5">
      <c r="A5" s="2" t="inlineStr">
        <is>
          <t>MS-002</t>
        </is>
      </c>
      <c r="B5" s="2" t="inlineStr">
        <is>
          <t>PRJ-002</t>
        </is>
      </c>
      <c r="C5" s="2" t="inlineStr">
        <is>
          <t>Portal beta</t>
        </is>
      </c>
      <c r="D5" s="2" t="inlineStr">
        <is>
          <t>USR-001</t>
        </is>
      </c>
      <c r="E5" s="17" t="n">
        <v>46207</v>
      </c>
      <c r="F5" s="2" t="inlineStr"/>
      <c r="G5" s="2" t="inlineStr">
        <is>
          <t>Not Started</t>
        </is>
      </c>
      <c r="H5" s="2" t="inlineStr">
        <is>
          <t>High</t>
        </is>
      </c>
      <c r="I5" s="2">
        <f>IF([@[Manual Status]]="Completed","Completed",IF(AND([@[Target Date]]&lt;TODAY(),[@[Manual Status]]&lt;&gt;"Completed"),"Overdue",IF([@[Target Date]]-TODAY()&lt;=5,"At Risk","On Track")))</f>
        <v/>
      </c>
      <c r="J5" s="2" t="inlineStr">
        <is>
          <t>Beta release</t>
        </is>
      </c>
      <c r="K5" s="2" t="n"/>
      <c r="L5" s="2" t="n"/>
      <c r="M5" s="2" t="n"/>
      <c r="N5" s="2" t="n"/>
    </row>
    <row r="6">
      <c r="A6" s="2" t="inlineStr">
        <is>
          <t>MS-003</t>
        </is>
      </c>
      <c r="B6" s="2" t="inlineStr">
        <is>
          <t>PRJ-003</t>
        </is>
      </c>
      <c r="C6" s="2" t="inlineStr">
        <is>
          <t>DQ baseline approved</t>
        </is>
      </c>
      <c r="D6" s="2" t="inlineStr">
        <is>
          <t>USR-004</t>
        </is>
      </c>
      <c r="E6" s="17" t="n">
        <v>46186</v>
      </c>
      <c r="F6" s="2" t="inlineStr"/>
      <c r="G6" s="2" t="inlineStr">
        <is>
          <t>In Progress</t>
        </is>
      </c>
      <c r="H6" s="2" t="inlineStr">
        <is>
          <t>Medium</t>
        </is>
      </c>
      <c r="I6" s="2">
        <f>IF([@[Manual Status]]="Completed","Completed",IF(AND([@[Target Date]]&lt;TODAY(),[@[Manual Status]]&lt;&gt;"Completed"),"Overdue",IF([@[Target Date]]-TODAY()&lt;=5,"At Risk","On Track")))</f>
        <v/>
      </c>
      <c r="J6" s="2" t="inlineStr">
        <is>
          <t>Data owners</t>
        </is>
      </c>
      <c r="K6" s="2" t="n"/>
      <c r="L6" s="2" t="n"/>
      <c r="M6" s="2" t="n"/>
      <c r="N6" s="2" t="n"/>
    </row>
  </sheetData>
  <mergeCells count="2">
    <mergeCell ref="A2:N2"/>
    <mergeCell ref="A1:N1"/>
  </mergeCells>
  <conditionalFormatting sqref="I4:I300">
    <cfRule type="expression" priority="1" dxfId="0">
      <formula>$I4="Overdue"</formula>
    </cfRule>
    <cfRule type="expression" priority="2" dxfId="1">
      <formula>$I4="At Risk"</formula>
    </cfRule>
    <cfRule type="expression" priority="3" dxfId="2">
      <formula>$I4="On Track"</formula>
    </cfRule>
    <cfRule type="expression" priority="4" dxfId="3">
      <formula>$I4="Completed"</formula>
    </cfRule>
  </conditionalFormatting>
  <conditionalFormatting sqref="H4:H300">
    <cfRule type="expression" priority="5" dxfId="4">
      <formula>$H4="Critical"</formula>
    </cfRule>
    <cfRule type="expression" priority="6" dxfId="0">
      <formula>$H4="High"</formula>
    </cfRule>
  </conditionalFormatting>
  <dataValidations count="4">
    <dataValidation sqref="B4:B200" showDropDown="0" showInputMessage="0" showErrorMessage="0" allowBlank="1" errorTitle="Invalid selection" error="Select a valid value from the dropdown list." type="list">
      <formula1>=ProjectIDs</formula1>
    </dataValidation>
    <dataValidation sqref="D4:D200" showDropDown="0" showInputMessage="0" showErrorMessage="0" allowBlank="1" errorTitle="Invalid selection" error="Select a valid value from the dropdown list." type="list">
      <formula1>=UserIDs</formula1>
    </dataValidation>
    <dataValidation sqref="G4:G200" showDropDown="0" showInputMessage="0" showErrorMessage="0" allowBlank="1" errorTitle="Invalid selection" error="Select a valid value from the dropdown list." type="list">
      <formula1>=Project_Status</formula1>
    </dataValidation>
    <dataValidation sqref="H4:H200" showDropDown="0" showInputMessage="0" showErrorMessage="0" allowBlank="1" errorTitle="Invalid selection" error="Select a valid value from the dropdown list." type="list">
      <formula1>=Priority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4" customWidth="1" min="5" max="5"/>
    <col width="12" customWidth="1" min="6" max="6"/>
    <col width="14" customWidth="1" min="7" max="7"/>
    <col width="24" customWidth="1" min="8" max="8"/>
    <col width="30" customWidth="1" min="9" max="9"/>
    <col width="13" customWidth="1" min="10" max="10"/>
    <col width="14" customWidth="1" min="11" max="11"/>
    <col width="13" customWidth="1" min="12" max="12"/>
    <col width="24" customWidth="1" min="13" max="13"/>
  </cols>
  <sheetData>
    <row r="1" ht="30" customHeight="1">
      <c r="A1" s="13" t="inlineStr">
        <is>
          <t>Risks &amp; Issues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Risk, issue, dependency, decision, and assumption register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2" t="inlineStr">
        <is>
          <t>Item ID</t>
        </is>
      </c>
      <c r="B3" s="12" t="inlineStr">
        <is>
          <t>Project ID</t>
        </is>
      </c>
      <c r="C3" s="12" t="inlineStr">
        <is>
          <t>Type</t>
        </is>
      </c>
      <c r="D3" s="12" t="inlineStr">
        <is>
          <t>Title</t>
        </is>
      </c>
      <c r="E3" s="12" t="inlineStr">
        <is>
          <t>Owner</t>
        </is>
      </c>
      <c r="F3" s="12" t="inlineStr">
        <is>
          <t>Severity</t>
        </is>
      </c>
      <c r="G3" s="12" t="inlineStr">
        <is>
          <t>Probability</t>
        </is>
      </c>
      <c r="H3" s="12" t="inlineStr">
        <is>
          <t>Impact</t>
        </is>
      </c>
      <c r="I3" s="12" t="inlineStr">
        <is>
          <t>Mitigation / Action</t>
        </is>
      </c>
      <c r="J3" s="12" t="inlineStr">
        <is>
          <t>Due Date</t>
        </is>
      </c>
      <c r="K3" s="12" t="inlineStr">
        <is>
          <t>Manual Status</t>
        </is>
      </c>
      <c r="L3" s="12" t="inlineStr">
        <is>
          <t>Auto Health</t>
        </is>
      </c>
      <c r="M3" s="12" t="inlineStr">
        <is>
          <t>Notes</t>
        </is>
      </c>
      <c r="N3" s="12" t="n"/>
    </row>
    <row r="4">
      <c r="A4" s="2" t="inlineStr">
        <is>
          <t>RI-001</t>
        </is>
      </c>
      <c r="B4" s="2" t="inlineStr">
        <is>
          <t>PRJ-001</t>
        </is>
      </c>
      <c r="C4" s="2" t="inlineStr">
        <is>
          <t>Risk</t>
        </is>
      </c>
      <c r="D4" s="2" t="inlineStr">
        <is>
          <t>Legacy schema unknowns</t>
        </is>
      </c>
      <c r="E4" s="2" t="inlineStr">
        <is>
          <t>USR-002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Migration complexity</t>
        </is>
      </c>
      <c r="I4" s="2" t="inlineStr">
        <is>
          <t>Run profiling and spike</t>
        </is>
      </c>
      <c r="J4" s="17" t="n">
        <v>46196</v>
      </c>
      <c r="K4" s="2" t="inlineStr">
        <is>
          <t>Open</t>
        </is>
      </c>
      <c r="L4" s="2">
        <f>IF([@[Manual Status]]="Closed","Completed",IF(AND([@[Due Date]]&lt;TODAY(),[@[Manual Status]]&lt;&gt;"Closed"),"Overdue",IF([@[Severity]]="Critical","At Risk","On Track")))</f>
        <v/>
      </c>
      <c r="M4" s="2" t="inlineStr"/>
      <c r="N4" s="2" t="n"/>
    </row>
    <row r="5">
      <c r="A5" s="2" t="inlineStr">
        <is>
          <t>RI-002</t>
        </is>
      </c>
      <c r="B5" s="2" t="inlineStr">
        <is>
          <t>PRJ-002</t>
        </is>
      </c>
      <c r="C5" s="2" t="inlineStr">
        <is>
          <t>Dependency</t>
        </is>
      </c>
      <c r="D5" s="2" t="inlineStr">
        <is>
          <t>Security review</t>
        </is>
      </c>
      <c r="E5" s="2" t="inlineStr">
        <is>
          <t>USR-001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Blocks auth module</t>
        </is>
      </c>
      <c r="I5" s="2" t="inlineStr">
        <is>
          <t>Schedule security workshop</t>
        </is>
      </c>
      <c r="J5" s="17" t="n">
        <v>46185</v>
      </c>
      <c r="K5" s="2" t="inlineStr">
        <is>
          <t>Open</t>
        </is>
      </c>
      <c r="L5" s="2">
        <f>IF([@[Manual Status]]="Closed","Completed",IF(AND([@[Due Date]]&lt;TODAY(),[@[Manual Status]]&lt;&gt;"Closed"),"Overdue",IF([@[Severity]]="Critical","At Risk","On Track")))</f>
        <v/>
      </c>
      <c r="M5" s="2" t="inlineStr"/>
      <c r="N5" s="2" t="n"/>
    </row>
    <row r="6">
      <c r="A6" s="2" t="inlineStr">
        <is>
          <t>RI-003</t>
        </is>
      </c>
      <c r="B6" s="2" t="inlineStr">
        <is>
          <t>PRJ-003</t>
        </is>
      </c>
      <c r="C6" s="2" t="inlineStr">
        <is>
          <t>Issue</t>
        </is>
      </c>
      <c r="D6" s="2" t="inlineStr">
        <is>
          <t>Missing source ownership</t>
        </is>
      </c>
      <c r="E6" s="2" t="inlineStr">
        <is>
          <t>USR-004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Slow remediation</t>
        </is>
      </c>
      <c r="I6" s="2" t="inlineStr">
        <is>
          <t>Assign data stewards</t>
        </is>
      </c>
      <c r="J6" s="17" t="n">
        <v>46180</v>
      </c>
      <c r="K6" s="2" t="inlineStr">
        <is>
          <t>Open</t>
        </is>
      </c>
      <c r="L6" s="2">
        <f>IF([@[Manual Status]]="Closed","Completed",IF(AND([@[Due Date]]&lt;TODAY(),[@[Manual Status]]&lt;&gt;"Closed"),"Overdue",IF([@[Severity]]="Critical","At Risk","On Track")))</f>
        <v/>
      </c>
      <c r="M6" s="2" t="inlineStr"/>
      <c r="N6" s="2" t="n"/>
    </row>
  </sheetData>
  <mergeCells count="2">
    <mergeCell ref="A2:N2"/>
    <mergeCell ref="A1:N1"/>
  </mergeCells>
  <conditionalFormatting sqref="L4:L300">
    <cfRule type="expression" priority="1" dxfId="0">
      <formula>$L4="Overdue"</formula>
    </cfRule>
    <cfRule type="expression" priority="2" dxfId="1">
      <formula>$L4="At Risk"</formula>
    </cfRule>
    <cfRule type="expression" priority="3" dxfId="2">
      <formula>$L4="On Track"</formula>
    </cfRule>
    <cfRule type="expression" priority="4" dxfId="3">
      <formula>$L4="Completed"</formula>
    </cfRule>
  </conditionalFormatting>
  <dataValidations count="5">
    <dataValidation sqref="B4:B300" showDropDown="0" showInputMessage="0" showErrorMessage="0" allowBlank="1" errorTitle="Invalid selection" error="Select a valid value from the dropdown list." type="list">
      <formula1>=ProjectIDs</formula1>
    </dataValidation>
    <dataValidation sqref="C4:C300" showDropDown="0" showInputMessage="0" showErrorMessage="0" allowBlank="1" errorTitle="Invalid selection" error="Select a valid value from the dropdown list." type="list">
      <formula1>=Risk_Type</formula1>
    </dataValidation>
    <dataValidation sqref="E4:E300" showDropDown="0" showInputMessage="0" showErrorMessage="0" allowBlank="1" errorTitle="Invalid selection" error="Select a valid value from the dropdown list." type="list">
      <formula1>=UserIDs</formula1>
    </dataValidation>
    <dataValidation sqref="F4:F300" showDropDown="0" showInputMessage="0" showErrorMessage="0" allowBlank="1" errorTitle="Invalid selection" error="Select a valid value from the dropdown list." type="list">
      <formula1>=Severity</formula1>
    </dataValidation>
    <dataValidation sqref="G4:G300" showDropDown="0" showInputMessage="0" showErrorMessage="0" allowBlank="1" errorTitle="Invalid selection" error="Select a valid value from the dropdown list." type="list">
      <formula1>=Probability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24" customWidth="1" min="12" max="12"/>
  </cols>
  <sheetData>
    <row r="1" ht="30" customHeight="1">
      <c r="A1" s="13" t="inlineStr">
        <is>
          <t>Budget &amp; Effort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Planned versus actual cost and hours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2" t="inlineStr">
        <is>
          <t>Budget ID</t>
        </is>
      </c>
      <c r="B3" s="12" t="inlineStr">
        <is>
          <t>Project ID</t>
        </is>
      </c>
      <c r="C3" s="12" t="inlineStr">
        <is>
          <t>Cost Category</t>
        </is>
      </c>
      <c r="D3" s="12" t="inlineStr">
        <is>
          <t>Planned Hours</t>
        </is>
      </c>
      <c r="E3" s="12" t="inlineStr">
        <is>
          <t>Actual Hours</t>
        </is>
      </c>
      <c r="F3" s="12" t="inlineStr">
        <is>
          <t>Hours Variance</t>
        </is>
      </c>
      <c r="G3" s="12" t="inlineStr">
        <is>
          <t>Planned Cost</t>
        </is>
      </c>
      <c r="H3" s="12" t="inlineStr">
        <is>
          <t>Actual Cost</t>
        </is>
      </c>
      <c r="I3" s="12" t="inlineStr">
        <is>
          <t>Cost Variance</t>
        </is>
      </c>
      <c r="J3" s="12" t="inlineStr">
        <is>
          <t>Variance %</t>
        </is>
      </c>
      <c r="K3" s="12" t="inlineStr">
        <is>
          <t>Owner</t>
        </is>
      </c>
      <c r="L3" s="12" t="inlineStr">
        <is>
          <t>Notes</t>
        </is>
      </c>
      <c r="M3" s="12" t="n"/>
      <c r="N3" s="12" t="n"/>
    </row>
    <row r="4">
      <c r="A4" s="2" t="inlineStr">
        <is>
          <t>BUD-001</t>
        </is>
      </c>
      <c r="B4" s="2" t="inlineStr">
        <is>
          <t>PRJ-001</t>
        </is>
      </c>
      <c r="C4" s="2" t="inlineStr">
        <is>
          <t>Development</t>
        </is>
      </c>
      <c r="D4" s="2" t="n">
        <v>1200</v>
      </c>
      <c r="E4" s="2" t="n">
        <v>430</v>
      </c>
      <c r="F4" s="2">
        <f>[@[Actual Hours]]-[@[Planned Hours]]</f>
        <v/>
      </c>
      <c r="G4" s="18" t="n">
        <v>500000</v>
      </c>
      <c r="H4" s="18" t="n">
        <v>180000</v>
      </c>
      <c r="I4" s="18">
        <f>[@[Actual Cost]]-[@[Planned Cost]]</f>
        <v/>
      </c>
      <c r="J4" s="16">
        <f>IFERROR([@[Cost Variance]]/[@[Planned Cost]],0)</f>
        <v/>
      </c>
      <c r="K4" s="2" t="inlineStr">
        <is>
          <t>USR-001</t>
        </is>
      </c>
      <c r="L4" s="2" t="inlineStr">
        <is>
          <t>Main build</t>
        </is>
      </c>
      <c r="M4" s="2" t="n"/>
      <c r="N4" s="2" t="n"/>
    </row>
    <row r="5">
      <c r="A5" s="2" t="inlineStr">
        <is>
          <t>BUD-002</t>
        </is>
      </c>
      <c r="B5" s="2" t="inlineStr">
        <is>
          <t>PRJ-002</t>
        </is>
      </c>
      <c r="C5" s="2" t="inlineStr">
        <is>
          <t>Development</t>
        </is>
      </c>
      <c r="D5" s="2" t="n">
        <v>650</v>
      </c>
      <c r="E5" s="2" t="n">
        <v>190</v>
      </c>
      <c r="F5" s="2">
        <f>[@[Actual Hours]]-[@[Planned Hours]]</f>
        <v/>
      </c>
      <c r="G5" s="18" t="n">
        <v>220000</v>
      </c>
      <c r="H5" s="18" t="n">
        <v>65000</v>
      </c>
      <c r="I5" s="18">
        <f>[@[Actual Cost]]-[@[Planned Cost]]</f>
        <v/>
      </c>
      <c r="J5" s="16">
        <f>IFERROR([@[Cost Variance]]/[@[Planned Cost]],0)</f>
        <v/>
      </c>
      <c r="K5" s="2" t="inlineStr">
        <is>
          <t>USR-001</t>
        </is>
      </c>
      <c r="L5" s="2" t="inlineStr">
        <is>
          <t>Portal</t>
        </is>
      </c>
      <c r="M5" s="2" t="n"/>
      <c r="N5" s="2" t="n"/>
    </row>
    <row r="6">
      <c r="A6" s="2" t="inlineStr">
        <is>
          <t>BUD-003</t>
        </is>
      </c>
      <c r="B6" s="2" t="inlineStr">
        <is>
          <t>PRJ-003</t>
        </is>
      </c>
      <c r="C6" s="2" t="inlineStr">
        <is>
          <t>Analysis</t>
        </is>
      </c>
      <c r="D6" s="2" t="n">
        <v>300</v>
      </c>
      <c r="E6" s="2" t="n">
        <v>95</v>
      </c>
      <c r="F6" s="2">
        <f>[@[Actual Hours]]-[@[Planned Hours]]</f>
        <v/>
      </c>
      <c r="G6" s="18" t="n">
        <v>90000</v>
      </c>
      <c r="H6" s="18" t="n">
        <v>25000</v>
      </c>
      <c r="I6" s="18">
        <f>[@[Actual Cost]]-[@[Planned Cost]]</f>
        <v/>
      </c>
      <c r="J6" s="16">
        <f>IFERROR([@[Cost Variance]]/[@[Planned Cost]],0)</f>
        <v/>
      </c>
      <c r="K6" s="2" t="inlineStr">
        <is>
          <t>USR-004</t>
        </is>
      </c>
      <c r="L6" s="2" t="inlineStr">
        <is>
          <t>DQ</t>
        </is>
      </c>
      <c r="M6" s="2" t="n"/>
      <c r="N6" s="2" t="n"/>
    </row>
  </sheetData>
  <mergeCells count="2">
    <mergeCell ref="A2:N2"/>
    <mergeCell ref="A1:N1"/>
  </mergeCells>
  <dataValidations count="2">
    <dataValidation sqref="B4:B200" showDropDown="0" showInputMessage="0" showErrorMessage="0" allowBlank="1" errorTitle="Invalid selection" error="Select a valid value from the dropdown list." type="list">
      <formula1>=ProjectIDs</formula1>
    </dataValidation>
    <dataValidation sqref="K4:K200" showDropDown="0" showInputMessage="0" showErrorMessage="0" allowBlank="1" errorTitle="Invalid selection" error="Select a valid value from the dropdown list." type="list">
      <formula1>=UserIDs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N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3" t="inlineStr">
        <is>
          <t>Reports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Formula-driven report sections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9" t="inlineStr">
        <is>
          <t>Project Summary</t>
        </is>
      </c>
      <c r="B4" s="2" t="n"/>
      <c r="C4" s="2" t="n"/>
      <c r="D4" s="2" t="n"/>
      <c r="E4" s="16" t="n"/>
      <c r="F4" s="18" t="n"/>
      <c r="G4" s="18" t="n"/>
      <c r="H4" s="2" t="n"/>
      <c r="I4" s="2" t="n"/>
      <c r="J4" s="2" t="n"/>
      <c r="K4" s="2" t="n"/>
      <c r="L4" s="2" t="n"/>
      <c r="M4" s="2" t="n"/>
      <c r="N4" s="2" t="n"/>
    </row>
    <row r="5">
      <c r="A5" s="12" t="inlineStr">
        <is>
          <t>Project ID</t>
        </is>
      </c>
      <c r="B5" s="12" t="inlineStr">
        <is>
          <t>Project Name</t>
        </is>
      </c>
      <c r="C5" s="12" t="inlineStr">
        <is>
          <t>Manual Status</t>
        </is>
      </c>
      <c r="D5" s="12" t="inlineStr">
        <is>
          <t>Auto Health</t>
        </is>
      </c>
      <c r="E5" s="20" t="inlineStr">
        <is>
          <t>Progress %</t>
        </is>
      </c>
      <c r="F5" s="21" t="inlineStr">
        <is>
          <t>Budget</t>
        </is>
      </c>
      <c r="G5" s="21" t="inlineStr">
        <is>
          <t>Actual Cost</t>
        </is>
      </c>
      <c r="H5" s="2" t="n"/>
      <c r="I5" s="2" t="n"/>
      <c r="J5" s="2" t="n"/>
      <c r="K5" s="2" t="n"/>
      <c r="L5" s="2" t="n"/>
      <c r="M5" s="2" t="n"/>
      <c r="N5" s="2" t="n"/>
    </row>
    <row r="6">
      <c r="A6" s="2">
        <f>IFERROR(INDEX(tblProjects[Project ID],1),"")</f>
        <v/>
      </c>
      <c r="B6" s="2">
        <f>IFERROR(INDEX(tblProjects[Project Name],1),"")</f>
        <v/>
      </c>
      <c r="C6" s="2">
        <f>IFERROR(INDEX(tblProjects[Manual Status],1),"")</f>
        <v/>
      </c>
      <c r="D6" s="2">
        <f>IFERROR(INDEX(tblProjects[Auto Health],1),"")</f>
        <v/>
      </c>
      <c r="E6" s="16">
        <f>IFERROR(INDEX(tblProjects[Progress %],1),"")</f>
        <v/>
      </c>
      <c r="F6" s="18">
        <f>IFERROR(INDEX(tblProjects[Budget],1),"")</f>
        <v/>
      </c>
      <c r="G6" s="18">
        <f>IFERROR(INDEX(tblProjects[Actual Cost],1),"")</f>
        <v/>
      </c>
      <c r="H6" s="2" t="n"/>
      <c r="I6" s="2" t="n"/>
      <c r="J6" s="2" t="n"/>
      <c r="K6" s="2" t="n"/>
      <c r="L6" s="2" t="n"/>
      <c r="M6" s="2" t="n"/>
      <c r="N6" s="2" t="n"/>
    </row>
    <row r="7">
      <c r="A7" s="2">
        <f>IFERROR(INDEX(tblProjects[Project ID],2),"")</f>
        <v/>
      </c>
      <c r="B7" s="2">
        <f>IFERROR(INDEX(tblProjects[Project Name],2),"")</f>
        <v/>
      </c>
      <c r="C7" s="2">
        <f>IFERROR(INDEX(tblProjects[Manual Status],2),"")</f>
        <v/>
      </c>
      <c r="D7" s="2">
        <f>IFERROR(INDEX(tblProjects[Auto Health],2),"")</f>
        <v/>
      </c>
      <c r="E7" s="16">
        <f>IFERROR(INDEX(tblProjects[Progress %],2),"")</f>
        <v/>
      </c>
      <c r="F7" s="18">
        <f>IFERROR(INDEX(tblProjects[Budget],2),"")</f>
        <v/>
      </c>
      <c r="G7" s="18">
        <f>IFERROR(INDEX(tblProjects[Actual Cost],2),"")</f>
        <v/>
      </c>
      <c r="H7" s="2" t="n"/>
      <c r="I7" s="2" t="n"/>
      <c r="J7" s="2" t="n"/>
      <c r="K7" s="2" t="n"/>
      <c r="L7" s="2" t="n"/>
      <c r="M7" s="2" t="n"/>
      <c r="N7" s="2" t="n"/>
    </row>
    <row r="8">
      <c r="A8" s="2">
        <f>IFERROR(INDEX(tblProjects[Project ID],3),"")</f>
        <v/>
      </c>
      <c r="B8" s="2">
        <f>IFERROR(INDEX(tblProjects[Project Name],3),"")</f>
        <v/>
      </c>
      <c r="C8" s="2">
        <f>IFERROR(INDEX(tblProjects[Manual Status],3),"")</f>
        <v/>
      </c>
      <c r="D8" s="2">
        <f>IFERROR(INDEX(tblProjects[Auto Health],3),"")</f>
        <v/>
      </c>
      <c r="E8" s="16">
        <f>IFERROR(INDEX(tblProjects[Progress %],3),"")</f>
        <v/>
      </c>
      <c r="F8" s="18">
        <f>IFERROR(INDEX(tblProjects[Budget],3),"")</f>
        <v/>
      </c>
      <c r="G8" s="18">
        <f>IFERROR(INDEX(tblProjects[Actual Cost],3),"")</f>
        <v/>
      </c>
      <c r="H8" s="2" t="n"/>
      <c r="I8" s="2" t="n"/>
      <c r="J8" s="2" t="n"/>
      <c r="K8" s="2" t="n"/>
      <c r="L8" s="2" t="n"/>
      <c r="M8" s="2" t="n"/>
      <c r="N8" s="2" t="n"/>
    </row>
    <row r="9">
      <c r="A9" s="2">
        <f>IFERROR(INDEX(tblProjects[Project ID],4),"")</f>
        <v/>
      </c>
      <c r="B9" s="2">
        <f>IFERROR(INDEX(tblProjects[Project Name],4),"")</f>
        <v/>
      </c>
      <c r="C9" s="2">
        <f>IFERROR(INDEX(tblProjects[Manual Status],4),"")</f>
        <v/>
      </c>
      <c r="D9" s="2">
        <f>IFERROR(INDEX(tblProjects[Auto Health],4),"")</f>
        <v/>
      </c>
      <c r="E9" s="16">
        <f>IFERROR(INDEX(tblProjects[Progress %],4),"")</f>
        <v/>
      </c>
      <c r="F9" s="18">
        <f>IFERROR(INDEX(tblProjects[Budget],4),"")</f>
        <v/>
      </c>
      <c r="G9" s="18">
        <f>IFERROR(INDEX(tblProjects[Actual Cost],4),"")</f>
        <v/>
      </c>
      <c r="H9" s="2" t="n"/>
      <c r="I9" s="2" t="n"/>
      <c r="J9" s="2" t="n"/>
      <c r="K9" s="2" t="n"/>
      <c r="L9" s="2" t="n"/>
      <c r="M9" s="2" t="n"/>
      <c r="N9" s="2" t="n"/>
    </row>
    <row r="10">
      <c r="A10" s="2">
        <f>IFERROR(INDEX(tblProjects[Project ID],5),"")</f>
        <v/>
      </c>
      <c r="B10" s="2">
        <f>IFERROR(INDEX(tblProjects[Project Name],5),"")</f>
        <v/>
      </c>
      <c r="C10" s="2">
        <f>IFERROR(INDEX(tblProjects[Manual Status],5),"")</f>
        <v/>
      </c>
      <c r="D10" s="2">
        <f>IFERROR(INDEX(tblProjects[Auto Health],5),"")</f>
        <v/>
      </c>
      <c r="E10" s="16">
        <f>IFERROR(INDEX(tblProjects[Progress %],5),"")</f>
        <v/>
      </c>
      <c r="F10" s="18">
        <f>IFERROR(INDEX(tblProjects[Budget],5),"")</f>
        <v/>
      </c>
      <c r="G10" s="18">
        <f>IFERROR(INDEX(tblProjects[Actual Cost],5),"")</f>
        <v/>
      </c>
      <c r="H10" s="2" t="n"/>
      <c r="I10" s="2" t="n"/>
      <c r="J10" s="2" t="n"/>
      <c r="K10" s="2" t="n"/>
      <c r="L10" s="2" t="n"/>
      <c r="M10" s="2" t="n"/>
      <c r="N10" s="2" t="n"/>
    </row>
    <row r="11">
      <c r="A11" s="2">
        <f>IFERROR(INDEX(tblProjects[Project ID],6),"")</f>
        <v/>
      </c>
      <c r="B11" s="2">
        <f>IFERROR(INDEX(tblProjects[Project Name],6),"")</f>
        <v/>
      </c>
      <c r="C11" s="2">
        <f>IFERROR(INDEX(tblProjects[Manual Status],6),"")</f>
        <v/>
      </c>
      <c r="D11" s="2">
        <f>IFERROR(INDEX(tblProjects[Auto Health],6),"")</f>
        <v/>
      </c>
      <c r="E11" s="16">
        <f>IFERROR(INDEX(tblProjects[Progress %],6),"")</f>
        <v/>
      </c>
      <c r="F11" s="18">
        <f>IFERROR(INDEX(tblProjects[Budget],6),"")</f>
        <v/>
      </c>
      <c r="G11" s="18">
        <f>IFERROR(INDEX(tblProjects[Actual Cost],6),"")</f>
        <v/>
      </c>
      <c r="H11" s="2" t="n"/>
      <c r="I11" s="2" t="n"/>
      <c r="J11" s="2" t="n"/>
      <c r="K11" s="2" t="n"/>
      <c r="L11" s="2" t="n"/>
      <c r="M11" s="2" t="n"/>
      <c r="N11" s="2" t="n"/>
    </row>
    <row r="12">
      <c r="A12" s="2">
        <f>IFERROR(INDEX(tblProjects[Project ID],7),"")</f>
        <v/>
      </c>
      <c r="B12" s="2">
        <f>IFERROR(INDEX(tblProjects[Project Name],7),"")</f>
        <v/>
      </c>
      <c r="C12" s="2">
        <f>IFERROR(INDEX(tblProjects[Manual Status],7),"")</f>
        <v/>
      </c>
      <c r="D12" s="2">
        <f>IFERROR(INDEX(tblProjects[Auto Health],7),"")</f>
        <v/>
      </c>
      <c r="E12" s="16">
        <f>IFERROR(INDEX(tblProjects[Progress %],7),"")</f>
        <v/>
      </c>
      <c r="F12" s="18">
        <f>IFERROR(INDEX(tblProjects[Budget],7),"")</f>
        <v/>
      </c>
      <c r="G12" s="18">
        <f>IFERROR(INDEX(tblProjects[Actual Cost],7),"")</f>
        <v/>
      </c>
      <c r="H12" s="2" t="n"/>
      <c r="I12" s="2" t="n"/>
      <c r="J12" s="2" t="n"/>
      <c r="K12" s="2" t="n"/>
      <c r="L12" s="2" t="n"/>
      <c r="M12" s="2" t="n"/>
      <c r="N12" s="2" t="n"/>
    </row>
    <row r="13">
      <c r="A13" s="2">
        <f>IFERROR(INDEX(tblProjects[Project ID],8),"")</f>
        <v/>
      </c>
      <c r="B13" s="2">
        <f>IFERROR(INDEX(tblProjects[Project Name],8),"")</f>
        <v/>
      </c>
      <c r="C13" s="2">
        <f>IFERROR(INDEX(tblProjects[Manual Status],8),"")</f>
        <v/>
      </c>
      <c r="D13" s="2">
        <f>IFERROR(INDEX(tblProjects[Auto Health],8),"")</f>
        <v/>
      </c>
      <c r="E13" s="16">
        <f>IFERROR(INDEX(tblProjects[Progress %],8),"")</f>
        <v/>
      </c>
      <c r="F13" s="18">
        <f>IFERROR(INDEX(tblProjects[Budget],8),"")</f>
        <v/>
      </c>
      <c r="G13" s="18">
        <f>IFERROR(INDEX(tblProjects[Actual Cost],8),"")</f>
        <v/>
      </c>
      <c r="H13" s="2" t="n"/>
      <c r="I13" s="2" t="n"/>
      <c r="J13" s="2" t="n"/>
      <c r="K13" s="2" t="n"/>
      <c r="L13" s="2" t="n"/>
      <c r="M13" s="2" t="n"/>
      <c r="N13" s="2" t="n"/>
    </row>
    <row r="14">
      <c r="A14" s="19">
        <f>IFERROR(INDEX(tblProjects[Project ID],9),"")</f>
        <v/>
      </c>
      <c r="B14" s="2">
        <f>IFERROR(INDEX(tblProjects[Project Name],9),"")</f>
        <v/>
      </c>
      <c r="C14" s="2">
        <f>IFERROR(INDEX(tblProjects[Manual Status],9),"")</f>
        <v/>
      </c>
      <c r="D14" s="2">
        <f>IFERROR(INDEX(tblProjects[Auto Health],9),"")</f>
        <v/>
      </c>
      <c r="E14" s="16">
        <f>IFERROR(INDEX(tblProjects[Progress %],9),"")</f>
        <v/>
      </c>
      <c r="F14" s="18">
        <f>IFERROR(INDEX(tblProjects[Budget],9),"")</f>
        <v/>
      </c>
      <c r="G14" s="18">
        <f>IFERROR(INDEX(tblProjects[Actual Cost],9),"")</f>
        <v/>
      </c>
      <c r="H14" s="2" t="n"/>
      <c r="I14" s="2" t="n"/>
      <c r="J14" s="2" t="n"/>
      <c r="K14" s="2" t="n"/>
      <c r="L14" s="2" t="n"/>
      <c r="M14" s="2" t="n"/>
      <c r="N14" s="2" t="n"/>
    </row>
    <row r="15">
      <c r="A15" s="12" t="inlineStr">
        <is>
          <t>User ID</t>
        </is>
      </c>
      <c r="B15" s="12" t="inlineStr">
        <is>
          <t>Name</t>
        </is>
      </c>
      <c r="C15" s="12" t="inlineStr">
        <is>
          <t>Department</t>
        </is>
      </c>
      <c r="D15" s="12" t="inlineStr">
        <is>
          <t>Availability</t>
        </is>
      </c>
      <c r="E15" s="20" t="inlineStr">
        <is>
          <t>Active Tasks</t>
        </is>
      </c>
      <c r="F15" s="21" t="inlineStr">
        <is>
          <t>Overdue Tasks</t>
        </is>
      </c>
      <c r="G15" s="21" t="inlineStr">
        <is>
          <t>Utilization %</t>
        </is>
      </c>
      <c r="H15" s="2" t="n"/>
      <c r="I15" s="2" t="n"/>
      <c r="J15" s="2" t="n"/>
      <c r="K15" s="2" t="n"/>
      <c r="L15" s="2" t="n"/>
      <c r="M15" s="2" t="n"/>
      <c r="N15" s="2" t="n"/>
    </row>
    <row r="16">
      <c r="A16" s="2">
        <f>IFERROR(INDEX(tblUsers[User ID],1),"")</f>
        <v/>
      </c>
      <c r="B16" s="2">
        <f>IFERROR(INDEX(tblUsers[Full Name],1),"")</f>
        <v/>
      </c>
      <c r="C16" s="2">
        <f>IFERROR(INDEX(tblUsers[Department],1),"")</f>
        <v/>
      </c>
      <c r="D16" s="2">
        <f>IFERROR(INDEX(tblUsers[Availability],1),"")</f>
        <v/>
      </c>
      <c r="E16" s="16">
        <f>IFERROR(INDEX(tblUsers[Active Tasks],1),"")</f>
        <v/>
      </c>
      <c r="F16" s="18">
        <f>IFERROR(INDEX(tblUsers[Overdue Tasks],1),"")</f>
        <v/>
      </c>
      <c r="G16" s="18">
        <f>IFERROR(INDEX(tblUsers[Utilization %],1),"")</f>
        <v/>
      </c>
      <c r="H16" s="2" t="n"/>
      <c r="I16" s="2" t="n"/>
      <c r="J16" s="2" t="n"/>
      <c r="K16" s="2" t="n"/>
      <c r="L16" s="2" t="n"/>
      <c r="M16" s="2" t="n"/>
      <c r="N16" s="2" t="n"/>
    </row>
    <row r="17">
      <c r="A17" s="2">
        <f>IFERROR(INDEX(tblUsers[User ID],2),"")</f>
        <v/>
      </c>
      <c r="B17" s="2">
        <f>IFERROR(INDEX(tblUsers[Full Name],2),"")</f>
        <v/>
      </c>
      <c r="C17" s="2">
        <f>IFERROR(INDEX(tblUsers[Department],2),"")</f>
        <v/>
      </c>
      <c r="D17" s="2">
        <f>IFERROR(INDEX(tblUsers[Availability],2),"")</f>
        <v/>
      </c>
      <c r="E17" s="16">
        <f>IFERROR(INDEX(tblUsers[Active Tasks],2),"")</f>
        <v/>
      </c>
      <c r="F17" s="18">
        <f>IFERROR(INDEX(tblUsers[Overdue Tasks],2),"")</f>
        <v/>
      </c>
      <c r="G17" s="18">
        <f>IFERROR(INDEX(tblUsers[Utilization %],2),"")</f>
        <v/>
      </c>
      <c r="H17" s="2" t="n"/>
      <c r="I17" s="2" t="n"/>
      <c r="J17" s="2" t="n"/>
      <c r="K17" s="2" t="n"/>
      <c r="L17" s="2" t="n"/>
      <c r="M17" s="2" t="n"/>
      <c r="N17" s="2" t="n"/>
    </row>
    <row r="18">
      <c r="A18" s="2">
        <f>IFERROR(INDEX(tblUsers[User ID],3),"")</f>
        <v/>
      </c>
      <c r="B18" s="2">
        <f>IFERROR(INDEX(tblUsers[Full Name],3),"")</f>
        <v/>
      </c>
      <c r="C18" s="2">
        <f>IFERROR(INDEX(tblUsers[Department],3),"")</f>
        <v/>
      </c>
      <c r="D18" s="2">
        <f>IFERROR(INDEX(tblUsers[Availability],3),"")</f>
        <v/>
      </c>
      <c r="E18" s="16">
        <f>IFERROR(INDEX(tblUsers[Active Tasks],3),"")</f>
        <v/>
      </c>
      <c r="F18" s="18">
        <f>IFERROR(INDEX(tblUsers[Overdue Tasks],3),"")</f>
        <v/>
      </c>
      <c r="G18" s="18">
        <f>IFERROR(INDEX(tblUsers[Utilization %],3),"")</f>
        <v/>
      </c>
      <c r="H18" s="2" t="n"/>
      <c r="I18" s="2" t="n"/>
      <c r="J18" s="2" t="n"/>
      <c r="K18" s="2" t="n"/>
      <c r="L18" s="2" t="n"/>
      <c r="M18" s="2" t="n"/>
      <c r="N18" s="2" t="n"/>
    </row>
    <row r="19">
      <c r="A19" s="2">
        <f>IFERROR(INDEX(tblUsers[User ID],4),"")</f>
        <v/>
      </c>
      <c r="B19" s="2">
        <f>IFERROR(INDEX(tblUsers[Full Name],4),"")</f>
        <v/>
      </c>
      <c r="C19" s="2">
        <f>IFERROR(INDEX(tblUsers[Department],4),"")</f>
        <v/>
      </c>
      <c r="D19" s="2">
        <f>IFERROR(INDEX(tblUsers[Availability],4),"")</f>
        <v/>
      </c>
      <c r="E19" s="16">
        <f>IFERROR(INDEX(tblUsers[Active Tasks],4),"")</f>
        <v/>
      </c>
      <c r="F19" s="18">
        <f>IFERROR(INDEX(tblUsers[Overdue Tasks],4),"")</f>
        <v/>
      </c>
      <c r="G19" s="18">
        <f>IFERROR(INDEX(tblUsers[Utilization %],4),"")</f>
        <v/>
      </c>
      <c r="H19" s="2" t="n"/>
      <c r="I19" s="2" t="n"/>
      <c r="J19" s="2" t="n"/>
      <c r="K19" s="2" t="n"/>
      <c r="L19" s="2" t="n"/>
      <c r="M19" s="2" t="n"/>
      <c r="N19" s="2" t="n"/>
    </row>
    <row r="20">
      <c r="A20" s="2">
        <f>IFERROR(INDEX(tblUsers[User ID],5),"")</f>
        <v/>
      </c>
      <c r="B20" s="2">
        <f>IFERROR(INDEX(tblUsers[Full Name],5),"")</f>
        <v/>
      </c>
      <c r="C20" s="2">
        <f>IFERROR(INDEX(tblUsers[Department],5),"")</f>
        <v/>
      </c>
      <c r="D20" s="2">
        <f>IFERROR(INDEX(tblUsers[Availability],5),"")</f>
        <v/>
      </c>
      <c r="E20" s="16">
        <f>IFERROR(INDEX(tblUsers[Active Tasks],5),"")</f>
        <v/>
      </c>
      <c r="F20" s="18">
        <f>IFERROR(INDEX(tblUsers[Overdue Tasks],5),"")</f>
        <v/>
      </c>
      <c r="G20" s="18">
        <f>IFERROR(INDEX(tblUsers[Utilization %],5),"")</f>
        <v/>
      </c>
      <c r="H20" s="2" t="n"/>
      <c r="I20" s="2" t="n"/>
      <c r="J20" s="2" t="n"/>
      <c r="K20" s="2" t="n"/>
      <c r="L20" s="2" t="n"/>
      <c r="M20" s="2" t="n"/>
      <c r="N20" s="2" t="n"/>
    </row>
    <row r="21">
      <c r="A21" s="2">
        <f>IFERROR(INDEX(tblUsers[User ID],6),"")</f>
        <v/>
      </c>
      <c r="B21" s="2">
        <f>IFERROR(INDEX(tblUsers[Full Name],6),"")</f>
        <v/>
      </c>
      <c r="C21" s="2">
        <f>IFERROR(INDEX(tblUsers[Department],6),"")</f>
        <v/>
      </c>
      <c r="D21" s="2">
        <f>IFERROR(INDEX(tblUsers[Availability],6),"")</f>
        <v/>
      </c>
      <c r="E21" s="16">
        <f>IFERROR(INDEX(tblUsers[Active Tasks],6),"")</f>
        <v/>
      </c>
      <c r="F21" s="18">
        <f>IFERROR(INDEX(tblUsers[Overdue Tasks],6),"")</f>
        <v/>
      </c>
      <c r="G21" s="18">
        <f>IFERROR(INDEX(tblUsers[Utilization %],6),"")</f>
        <v/>
      </c>
      <c r="H21" s="2" t="n"/>
      <c r="I21" s="2" t="n"/>
      <c r="J21" s="2" t="n"/>
      <c r="K21" s="2" t="n"/>
      <c r="L21" s="2" t="n"/>
      <c r="M21" s="2" t="n"/>
      <c r="N21" s="2" t="n"/>
    </row>
    <row r="22">
      <c r="A22" s="2">
        <f>IFERROR(INDEX(tblUsers[User ID],7),"")</f>
        <v/>
      </c>
      <c r="B22" s="2">
        <f>IFERROR(INDEX(tblUsers[Full Name],7),"")</f>
        <v/>
      </c>
      <c r="C22" s="2">
        <f>IFERROR(INDEX(tblUsers[Department],7),"")</f>
        <v/>
      </c>
      <c r="D22" s="2">
        <f>IFERROR(INDEX(tblUsers[Availability],7),"")</f>
        <v/>
      </c>
      <c r="E22" s="16">
        <f>IFERROR(INDEX(tblUsers[Active Tasks],7),"")</f>
        <v/>
      </c>
      <c r="F22" s="18">
        <f>IFERROR(INDEX(tblUsers[Overdue Tasks],7),"")</f>
        <v/>
      </c>
      <c r="G22" s="18">
        <f>IFERROR(INDEX(tblUsers[Utilization %],7),"")</f>
        <v/>
      </c>
      <c r="H22" s="2" t="n"/>
      <c r="I22" s="2" t="n"/>
      <c r="J22" s="2" t="n"/>
      <c r="K22" s="2" t="n"/>
      <c r="L22" s="2" t="n"/>
      <c r="M22" s="2" t="n"/>
      <c r="N22" s="2" t="n"/>
    </row>
    <row r="23">
      <c r="A23" s="2">
        <f>IFERROR(INDEX(tblUsers[User ID],8),"")</f>
        <v/>
      </c>
      <c r="B23" s="2">
        <f>IFERROR(INDEX(tblUsers[Full Name],8),"")</f>
        <v/>
      </c>
      <c r="C23" s="2">
        <f>IFERROR(INDEX(tblUsers[Department],8),"")</f>
        <v/>
      </c>
      <c r="D23" s="2">
        <f>IFERROR(INDEX(tblUsers[Availability],8),"")</f>
        <v/>
      </c>
      <c r="E23" s="16">
        <f>IFERROR(INDEX(tblUsers[Active Tasks],8),"")</f>
        <v/>
      </c>
      <c r="F23" s="18">
        <f>IFERROR(INDEX(tblUsers[Overdue Tasks],8),"")</f>
        <v/>
      </c>
      <c r="G23" s="18">
        <f>IFERROR(INDEX(tblUsers[Utilization %],8),"")</f>
        <v/>
      </c>
      <c r="H23" s="2" t="n"/>
      <c r="I23" s="2" t="n"/>
      <c r="J23" s="2" t="n"/>
      <c r="K23" s="2" t="n"/>
      <c r="L23" s="2" t="n"/>
      <c r="M23" s="2" t="n"/>
      <c r="N23" s="2" t="n"/>
    </row>
    <row r="24">
      <c r="A24" s="19">
        <f>IFERROR(INDEX(tblUsers[User ID],9),"")</f>
        <v/>
      </c>
      <c r="B24" s="2">
        <f>IFERROR(INDEX(tblUsers[Full Name],9),"")</f>
        <v/>
      </c>
      <c r="C24" s="2">
        <f>IFERROR(INDEX(tblUsers[Department],9),"")</f>
        <v/>
      </c>
      <c r="D24" s="2">
        <f>IFERROR(INDEX(tblUsers[Availability],9),"")</f>
        <v/>
      </c>
      <c r="E24" s="16">
        <f>IFERROR(INDEX(tblUsers[Active Tasks],9),"")</f>
        <v/>
      </c>
      <c r="F24" s="18">
        <f>IFERROR(INDEX(tblUsers[Overdue Tasks],9),"")</f>
        <v/>
      </c>
      <c r="G24" s="18">
        <f>IFERROR(INDEX(tblUsers[Utilization %],9),"")</f>
        <v/>
      </c>
      <c r="H24" s="2" t="n"/>
      <c r="I24" s="2" t="n"/>
      <c r="J24" s="2" t="n"/>
      <c r="K24" s="2" t="n"/>
      <c r="L24" s="2" t="n"/>
      <c r="M24" s="2" t="n"/>
      <c r="N24" s="2" t="n"/>
    </row>
    <row r="25">
      <c r="A25" s="12" t="inlineStr">
        <is>
          <t>Item ID</t>
        </is>
      </c>
      <c r="B25" s="12" t="inlineStr">
        <is>
          <t>Project ID</t>
        </is>
      </c>
      <c r="C25" s="12" t="inlineStr">
        <is>
          <t>Type</t>
        </is>
      </c>
      <c r="D25" s="12" t="inlineStr">
        <is>
          <t>Title</t>
        </is>
      </c>
      <c r="E25" s="20" t="inlineStr">
        <is>
          <t>Owner</t>
        </is>
      </c>
      <c r="F25" s="21" t="inlineStr">
        <is>
          <t>Severity</t>
        </is>
      </c>
      <c r="G25" s="21" t="inlineStr">
        <is>
          <t>Status</t>
        </is>
      </c>
      <c r="H25" s="12" t="inlineStr">
        <is>
          <t>Auto Health</t>
        </is>
      </c>
      <c r="I25" s="2" t="n"/>
      <c r="J25" s="2" t="n"/>
      <c r="K25" s="2" t="n"/>
      <c r="L25" s="2" t="n"/>
      <c r="M25" s="2" t="n"/>
      <c r="N25" s="2" t="n"/>
    </row>
    <row r="26">
      <c r="A26" s="2">
        <f>IFERROR(INDEX(tblRisks[Item ID],1),"")</f>
        <v/>
      </c>
      <c r="B26" s="2">
        <f>IFERROR(INDEX(tblRisks[Project ID],1),"")</f>
        <v/>
      </c>
      <c r="C26" s="2">
        <f>IFERROR(INDEX(tblRisks[Type],1),"")</f>
        <v/>
      </c>
      <c r="D26" s="2">
        <f>IFERROR(INDEX(tblRisks[Title],1),"")</f>
        <v/>
      </c>
      <c r="E26" s="16">
        <f>IFERROR(INDEX(tblRisks[Owner],1),"")</f>
        <v/>
      </c>
      <c r="F26" s="18">
        <f>IFERROR(INDEX(tblRisks[Severity],1),"")</f>
        <v/>
      </c>
      <c r="G26" s="18">
        <f>IFERROR(INDEX(tblRisks[Manual Status],1),"")</f>
        <v/>
      </c>
      <c r="H26" s="2">
        <f>IFERROR(INDEX(tblRisks[Auto Health],1),"")</f>
        <v/>
      </c>
      <c r="I26" s="2" t="n"/>
      <c r="J26" s="2" t="n"/>
      <c r="K26" s="2" t="n"/>
      <c r="L26" s="2" t="n"/>
      <c r="M26" s="2" t="n"/>
      <c r="N26" s="2" t="n"/>
    </row>
    <row r="27">
      <c r="A27" s="2">
        <f>IFERROR(INDEX(tblRisks[Item ID],2),"")</f>
        <v/>
      </c>
      <c r="B27" s="2">
        <f>IFERROR(INDEX(tblRisks[Project ID],2),"")</f>
        <v/>
      </c>
      <c r="C27" s="2">
        <f>IFERROR(INDEX(tblRisks[Type],2),"")</f>
        <v/>
      </c>
      <c r="D27" s="2">
        <f>IFERROR(INDEX(tblRisks[Title],2),"")</f>
        <v/>
      </c>
      <c r="E27" s="16">
        <f>IFERROR(INDEX(tblRisks[Owner],2),"")</f>
        <v/>
      </c>
      <c r="F27" s="18">
        <f>IFERROR(INDEX(tblRisks[Severity],2),"")</f>
        <v/>
      </c>
      <c r="G27" s="18">
        <f>IFERROR(INDEX(tblRisks[Manual Status],2),"")</f>
        <v/>
      </c>
      <c r="H27" s="2">
        <f>IFERROR(INDEX(tblRisks[Auto Health],2),"")</f>
        <v/>
      </c>
      <c r="I27" s="2" t="n"/>
      <c r="J27" s="2" t="n"/>
      <c r="K27" s="2" t="n"/>
      <c r="L27" s="2" t="n"/>
      <c r="M27" s="2" t="n"/>
      <c r="N27" s="2" t="n"/>
    </row>
    <row r="28">
      <c r="A28" s="2">
        <f>IFERROR(INDEX(tblRisks[Item ID],3),"")</f>
        <v/>
      </c>
      <c r="B28" s="2">
        <f>IFERROR(INDEX(tblRisks[Project ID],3),"")</f>
        <v/>
      </c>
      <c r="C28" s="2">
        <f>IFERROR(INDEX(tblRisks[Type],3),"")</f>
        <v/>
      </c>
      <c r="D28" s="2">
        <f>IFERROR(INDEX(tblRisks[Title],3),"")</f>
        <v/>
      </c>
      <c r="E28" s="16">
        <f>IFERROR(INDEX(tblRisks[Owner],3),"")</f>
        <v/>
      </c>
      <c r="F28" s="18">
        <f>IFERROR(INDEX(tblRisks[Severity],3),"")</f>
        <v/>
      </c>
      <c r="G28" s="18">
        <f>IFERROR(INDEX(tblRisks[Manual Status],3),"")</f>
        <v/>
      </c>
      <c r="H28" s="2">
        <f>IFERROR(INDEX(tblRisks[Auto Health],3),"")</f>
        <v/>
      </c>
      <c r="I28" s="2" t="n"/>
      <c r="J28" s="2" t="n"/>
      <c r="K28" s="2" t="n"/>
      <c r="L28" s="2" t="n"/>
      <c r="M28" s="2" t="n"/>
      <c r="N28" s="2" t="n"/>
    </row>
    <row r="29">
      <c r="A29" s="2">
        <f>IFERROR(INDEX(tblRisks[Item ID],4),"")</f>
        <v/>
      </c>
      <c r="B29" s="2">
        <f>IFERROR(INDEX(tblRisks[Project ID],4),"")</f>
        <v/>
      </c>
      <c r="C29" s="2">
        <f>IFERROR(INDEX(tblRisks[Type],4),"")</f>
        <v/>
      </c>
      <c r="D29" s="2">
        <f>IFERROR(INDEX(tblRisks[Title],4),"")</f>
        <v/>
      </c>
      <c r="E29" s="16">
        <f>IFERROR(INDEX(tblRisks[Owner],4),"")</f>
        <v/>
      </c>
      <c r="F29" s="18">
        <f>IFERROR(INDEX(tblRisks[Severity],4),"")</f>
        <v/>
      </c>
      <c r="G29" s="18">
        <f>IFERROR(INDEX(tblRisks[Manual Status],4),"")</f>
        <v/>
      </c>
      <c r="H29" s="2">
        <f>IFERROR(INDEX(tblRisks[Auto Health],4),"")</f>
        <v/>
      </c>
      <c r="I29" s="2" t="n"/>
      <c r="J29" s="2" t="n"/>
      <c r="K29" s="2" t="n"/>
      <c r="L29" s="2" t="n"/>
      <c r="M29" s="2" t="n"/>
      <c r="N29" s="2" t="n"/>
    </row>
    <row r="30">
      <c r="A30" s="2">
        <f>IFERROR(INDEX(tblRisks[Item ID],5),"")</f>
        <v/>
      </c>
      <c r="B30" s="2">
        <f>IFERROR(INDEX(tblRisks[Project ID],5),"")</f>
        <v/>
      </c>
      <c r="C30" s="2">
        <f>IFERROR(INDEX(tblRisks[Type],5),"")</f>
        <v/>
      </c>
      <c r="D30" s="2">
        <f>IFERROR(INDEX(tblRisks[Title],5),"")</f>
        <v/>
      </c>
      <c r="E30" s="16">
        <f>IFERROR(INDEX(tblRisks[Owner],5),"")</f>
        <v/>
      </c>
      <c r="F30" s="18">
        <f>IFERROR(INDEX(tblRisks[Severity],5),"")</f>
        <v/>
      </c>
      <c r="G30" s="18">
        <f>IFERROR(INDEX(tblRisks[Manual Status],5),"")</f>
        <v/>
      </c>
      <c r="H30" s="2">
        <f>IFERROR(INDEX(tblRisks[Auto Health],5),"")</f>
        <v/>
      </c>
      <c r="I30" s="2" t="n"/>
      <c r="J30" s="2" t="n"/>
      <c r="K30" s="2" t="n"/>
      <c r="L30" s="2" t="n"/>
      <c r="M30" s="2" t="n"/>
      <c r="N30" s="2" t="n"/>
    </row>
    <row r="31">
      <c r="A31" s="2">
        <f>IFERROR(INDEX(tblRisks[Item ID],6),"")</f>
        <v/>
      </c>
      <c r="B31" s="2">
        <f>IFERROR(INDEX(tblRisks[Project ID],6),"")</f>
        <v/>
      </c>
      <c r="C31" s="2">
        <f>IFERROR(INDEX(tblRisks[Type],6),"")</f>
        <v/>
      </c>
      <c r="D31" s="2">
        <f>IFERROR(INDEX(tblRisks[Title],6),"")</f>
        <v/>
      </c>
      <c r="E31" s="16">
        <f>IFERROR(INDEX(tblRisks[Owner],6),"")</f>
        <v/>
      </c>
      <c r="F31" s="18">
        <f>IFERROR(INDEX(tblRisks[Severity],6),"")</f>
        <v/>
      </c>
      <c r="G31" s="18">
        <f>IFERROR(INDEX(tblRisks[Manual Status],6),"")</f>
        <v/>
      </c>
      <c r="H31" s="2">
        <f>IFERROR(INDEX(tblRisks[Auto Health],6),"")</f>
        <v/>
      </c>
      <c r="I31" s="2" t="n"/>
      <c r="J31" s="2" t="n"/>
      <c r="K31" s="2" t="n"/>
      <c r="L31" s="2" t="n"/>
      <c r="M31" s="2" t="n"/>
      <c r="N31" s="2" t="n"/>
    </row>
    <row r="32">
      <c r="A32" s="2">
        <f>IFERROR(INDEX(tblRisks[Item ID],7),"")</f>
        <v/>
      </c>
      <c r="B32" s="2">
        <f>IFERROR(INDEX(tblRisks[Project ID],7),"")</f>
        <v/>
      </c>
      <c r="C32" s="2">
        <f>IFERROR(INDEX(tblRisks[Type],7),"")</f>
        <v/>
      </c>
      <c r="D32" s="2">
        <f>IFERROR(INDEX(tblRisks[Title],7),"")</f>
        <v/>
      </c>
      <c r="E32" s="16">
        <f>IFERROR(INDEX(tblRisks[Owner],7),"")</f>
        <v/>
      </c>
      <c r="F32" s="18">
        <f>IFERROR(INDEX(tblRisks[Severity],7),"")</f>
        <v/>
      </c>
      <c r="G32" s="18">
        <f>IFERROR(INDEX(tblRisks[Manual Status],7),"")</f>
        <v/>
      </c>
      <c r="H32" s="2">
        <f>IFERROR(INDEX(tblRisks[Auto Health],7),"")</f>
        <v/>
      </c>
      <c r="I32" s="2" t="n"/>
      <c r="J32" s="2" t="n"/>
      <c r="K32" s="2" t="n"/>
      <c r="L32" s="2" t="n"/>
      <c r="M32" s="2" t="n"/>
      <c r="N32" s="2" t="n"/>
    </row>
    <row r="33">
      <c r="A33" s="2">
        <f>IFERROR(INDEX(tblRisks[Item ID],8),"")</f>
        <v/>
      </c>
      <c r="B33" s="2">
        <f>IFERROR(INDEX(tblRisks[Project ID],8),"")</f>
        <v/>
      </c>
      <c r="C33" s="2">
        <f>IFERROR(INDEX(tblRisks[Type],8),"")</f>
        <v/>
      </c>
      <c r="D33" s="2">
        <f>IFERROR(INDEX(tblRisks[Title],8),"")</f>
        <v/>
      </c>
      <c r="E33" s="16">
        <f>IFERROR(INDEX(tblRisks[Owner],8),"")</f>
        <v/>
      </c>
      <c r="F33" s="18">
        <f>IFERROR(INDEX(tblRisks[Severity],8),"")</f>
        <v/>
      </c>
      <c r="G33" s="18">
        <f>IFERROR(INDEX(tblRisks[Manual Status],8),"")</f>
        <v/>
      </c>
      <c r="H33" s="2">
        <f>IFERROR(INDEX(tblRisks[Auto Health],8),"")</f>
        <v/>
      </c>
      <c r="I33" s="2" t="n"/>
      <c r="J33" s="2" t="n"/>
      <c r="K33" s="2" t="n"/>
      <c r="L33" s="2" t="n"/>
      <c r="M33" s="2" t="n"/>
      <c r="N33" s="2" t="n"/>
    </row>
    <row r="34">
      <c r="A34" s="2">
        <f>IFERROR(INDEX(tblRisks[Item ID],9),"")</f>
        <v/>
      </c>
      <c r="B34" s="2">
        <f>IFERROR(INDEX(tblRisks[Project ID],9),"")</f>
        <v/>
      </c>
      <c r="C34" s="2">
        <f>IFERROR(INDEX(tblRisks[Type],9),"")</f>
        <v/>
      </c>
      <c r="D34" s="2">
        <f>IFERROR(INDEX(tblRisks[Title],9),"")</f>
        <v/>
      </c>
      <c r="E34" s="16">
        <f>IFERROR(INDEX(tblRisks[Owner],9),"")</f>
        <v/>
      </c>
      <c r="F34" s="18">
        <f>IFERROR(INDEX(tblRisks[Severity],9),"")</f>
        <v/>
      </c>
      <c r="G34" s="18">
        <f>IFERROR(INDEX(tblRisks[Manual Status],9),"")</f>
        <v/>
      </c>
      <c r="H34" s="2">
        <f>IFERROR(INDEX(tblRisks[Auto Health],9),"")</f>
        <v/>
      </c>
      <c r="I34" s="2" t="n"/>
      <c r="J34" s="2" t="n"/>
      <c r="K34" s="2" t="n"/>
      <c r="L34" s="2" t="n"/>
      <c r="M34" s="2" t="n"/>
      <c r="N34" s="2" t="n"/>
    </row>
    <row r="35">
      <c r="A35" s="2">
        <f>IFERROR(INDEX(tblRisks[Item ID],10),"")</f>
        <v/>
      </c>
      <c r="B35" s="2">
        <f>IFERROR(INDEX(tblRisks[Project ID],10),"")</f>
        <v/>
      </c>
      <c r="C35" s="2">
        <f>IFERROR(INDEX(tblRisks[Type],10),"")</f>
        <v/>
      </c>
      <c r="D35" s="2">
        <f>IFERROR(INDEX(tblRisks[Title],10),"")</f>
        <v/>
      </c>
      <c r="E35" s="16">
        <f>IFERROR(INDEX(tblRisks[Owner],10),"")</f>
        <v/>
      </c>
      <c r="F35" s="18">
        <f>IFERROR(INDEX(tblRisks[Severity],10),"")</f>
        <v/>
      </c>
      <c r="G35" s="18">
        <f>IFERROR(INDEX(tblRisks[Manual Status],10),"")</f>
        <v/>
      </c>
      <c r="H35" s="2">
        <f>IFERROR(INDEX(tblRisks[Auto Health],10),"")</f>
        <v/>
      </c>
      <c r="I35" s="2" t="n"/>
      <c r="J35" s="2" t="n"/>
      <c r="K35" s="2" t="n"/>
      <c r="L35" s="2" t="n"/>
      <c r="M35" s="2" t="n"/>
      <c r="N35" s="2" t="n"/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AM17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4" customWidth="1" min="4" max="4"/>
    <col width="13" customWidth="1" min="5" max="5"/>
    <col width="13" customWidth="1" min="6" max="6"/>
    <col width="15" customWidth="1" min="7" max="7"/>
    <col width="12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</cols>
  <sheetData>
    <row r="1" ht="30" customHeight="1">
      <c r="A1" s="13" t="inlineStr">
        <is>
          <t>Timeline / Gantt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 t="inlineStr">
        <is>
          <t>Lightweight visual schedule from task start and due dates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12" t="inlineStr">
        <is>
          <t>Task ID</t>
        </is>
      </c>
      <c r="B3" s="12" t="inlineStr">
        <is>
          <t>Project ID</t>
        </is>
      </c>
      <c r="C3" s="12" t="inlineStr">
        <is>
          <t>Task Name</t>
        </is>
      </c>
      <c r="D3" s="12" t="inlineStr">
        <is>
          <t>Owner</t>
        </is>
      </c>
      <c r="E3" s="12" t="inlineStr">
        <is>
          <t>Start Date</t>
        </is>
      </c>
      <c r="F3" s="12" t="inlineStr">
        <is>
          <t>Due Date</t>
        </is>
      </c>
      <c r="G3" s="12" t="inlineStr">
        <is>
          <t>Status</t>
        </is>
      </c>
      <c r="H3" s="12" t="inlineStr">
        <is>
          <t>Progress %</t>
        </is>
      </c>
      <c r="I3" s="22" t="n">
        <v>46162</v>
      </c>
      <c r="J3" s="22" t="n">
        <v>46163</v>
      </c>
      <c r="K3" s="22" t="n">
        <v>46164</v>
      </c>
      <c r="L3" s="22" t="n">
        <v>46165</v>
      </c>
      <c r="M3" s="22" t="n">
        <v>46166</v>
      </c>
      <c r="N3" s="22" t="n">
        <v>46167</v>
      </c>
      <c r="O3" s="22" t="n">
        <v>46168</v>
      </c>
      <c r="P3" s="22" t="n">
        <v>46169</v>
      </c>
      <c r="Q3" s="22" t="n">
        <v>46170</v>
      </c>
      <c r="R3" s="22" t="n">
        <v>46171</v>
      </c>
      <c r="S3" s="22" t="n">
        <v>46172</v>
      </c>
      <c r="T3" s="22" t="n">
        <v>46173</v>
      </c>
      <c r="U3" s="22" t="n">
        <v>46174</v>
      </c>
      <c r="V3" s="22" t="n">
        <v>46175</v>
      </c>
      <c r="W3" s="22" t="n">
        <v>46176</v>
      </c>
      <c r="X3" s="22" t="n">
        <v>46177</v>
      </c>
      <c r="Y3" s="22" t="n">
        <v>46178</v>
      </c>
      <c r="Z3" s="22" t="n">
        <v>46179</v>
      </c>
      <c r="AA3" s="22" t="n">
        <v>46180</v>
      </c>
      <c r="AB3" s="22" t="n">
        <v>46181</v>
      </c>
      <c r="AC3" s="22" t="n">
        <v>46182</v>
      </c>
      <c r="AD3" s="22" t="n">
        <v>46183</v>
      </c>
      <c r="AE3" s="22" t="n">
        <v>46184</v>
      </c>
      <c r="AF3" s="22" t="n">
        <v>46185</v>
      </c>
      <c r="AG3" s="22" t="n">
        <v>46186</v>
      </c>
      <c r="AH3" s="22" t="n">
        <v>46187</v>
      </c>
      <c r="AI3" s="22" t="n">
        <v>46188</v>
      </c>
      <c r="AJ3" s="22" t="n">
        <v>46189</v>
      </c>
      <c r="AK3" s="22" t="n">
        <v>46190</v>
      </c>
      <c r="AL3" s="22" t="n">
        <v>46191</v>
      </c>
      <c r="AM3" s="22" t="n">
        <v>46192</v>
      </c>
    </row>
    <row r="4">
      <c r="A4" s="2">
        <f>IFERROR(INDEX(tblTasks[Task ID],1),"")</f>
        <v/>
      </c>
      <c r="B4" s="2">
        <f>IFERROR(INDEX(tblTasks[Project ID],1),"")</f>
        <v/>
      </c>
      <c r="C4" s="2">
        <f>IFERROR(INDEX(tblTasks[Task Name],1),"")</f>
        <v/>
      </c>
      <c r="D4" s="2">
        <f>IFERROR(INDEX(tblTasks[Assigned User],1),"")</f>
        <v/>
      </c>
      <c r="E4" s="2">
        <f>IFERROR(INDEX(tblTasks[Start Date],1),"")</f>
        <v/>
      </c>
      <c r="F4" s="2">
        <f>IFERROR(INDEX(tblTasks[Due Date],1),"")</f>
        <v/>
      </c>
      <c r="G4" s="2">
        <f>IFERROR(INDEX(tblTasks[Manual Status],1),"")</f>
        <v/>
      </c>
      <c r="H4" s="16">
        <f>IFERROR(INDEX(tblTasks[Progress %],1),"")</f>
        <v/>
      </c>
      <c r="I4" s="23">
        <f>IF(AND(I$3&gt;=$E4,I$3&lt;=$F4),"■","")</f>
        <v/>
      </c>
      <c r="J4" s="23">
        <f>IF(AND(J$3&gt;=$E4,J$3&lt;=$F4),"■","")</f>
        <v/>
      </c>
      <c r="K4" s="23">
        <f>IF(AND(K$3&gt;=$E4,K$3&lt;=$F4),"■","")</f>
        <v/>
      </c>
      <c r="L4" s="23">
        <f>IF(AND(L$3&gt;=$E4,L$3&lt;=$F4),"■","")</f>
        <v/>
      </c>
      <c r="M4" s="23">
        <f>IF(AND(M$3&gt;=$E4,M$3&lt;=$F4),"■","")</f>
        <v/>
      </c>
      <c r="N4" s="23">
        <f>IF(AND(N$3&gt;=$E4,N$3&lt;=$F4),"■","")</f>
        <v/>
      </c>
      <c r="O4" s="23">
        <f>IF(AND(O$3&gt;=$E4,O$3&lt;=$F4),"■","")</f>
        <v/>
      </c>
      <c r="P4" s="23">
        <f>IF(AND(P$3&gt;=$E4,P$3&lt;=$F4),"■","")</f>
        <v/>
      </c>
      <c r="Q4" s="23">
        <f>IF(AND(Q$3&gt;=$E4,Q$3&lt;=$F4),"■","")</f>
        <v/>
      </c>
      <c r="R4" s="23">
        <f>IF(AND(R$3&gt;=$E4,R$3&lt;=$F4),"■","")</f>
        <v/>
      </c>
      <c r="S4" s="23">
        <f>IF(AND(S$3&gt;=$E4,S$3&lt;=$F4),"■","")</f>
        <v/>
      </c>
      <c r="T4" s="23">
        <f>IF(AND(T$3&gt;=$E4,T$3&lt;=$F4),"■","")</f>
        <v/>
      </c>
      <c r="U4" s="23">
        <f>IF(AND(U$3&gt;=$E4,U$3&lt;=$F4),"■","")</f>
        <v/>
      </c>
      <c r="V4" s="23">
        <f>IF(AND(V$3&gt;=$E4,V$3&lt;=$F4),"■","")</f>
        <v/>
      </c>
      <c r="W4" s="23">
        <f>IF(AND(W$3&gt;=$E4,W$3&lt;=$F4),"■","")</f>
        <v/>
      </c>
      <c r="X4" s="23">
        <f>IF(AND(X$3&gt;=$E4,X$3&lt;=$F4),"■","")</f>
        <v/>
      </c>
      <c r="Y4" s="23">
        <f>IF(AND(Y$3&gt;=$E4,Y$3&lt;=$F4),"■","")</f>
        <v/>
      </c>
      <c r="Z4" s="23">
        <f>IF(AND(Z$3&gt;=$E4,Z$3&lt;=$F4),"■","")</f>
        <v/>
      </c>
      <c r="AA4" s="23">
        <f>IF(AND(AA$3&gt;=$E4,AA$3&lt;=$F4),"■","")</f>
        <v/>
      </c>
      <c r="AB4" s="23">
        <f>IF(AND(AB$3&gt;=$E4,AB$3&lt;=$F4),"■","")</f>
        <v/>
      </c>
      <c r="AC4" s="23">
        <f>IF(AND(AC$3&gt;=$E4,AC$3&lt;=$F4),"■","")</f>
        <v/>
      </c>
      <c r="AD4" s="23">
        <f>IF(AND(AD$3&gt;=$E4,AD$3&lt;=$F4),"■","")</f>
        <v/>
      </c>
      <c r="AE4" s="23">
        <f>IF(AND(AE$3&gt;=$E4,AE$3&lt;=$F4),"■","")</f>
        <v/>
      </c>
      <c r="AF4" s="23">
        <f>IF(AND(AF$3&gt;=$E4,AF$3&lt;=$F4),"■","")</f>
        <v/>
      </c>
      <c r="AG4" s="23">
        <f>IF(AND(AG$3&gt;=$E4,AG$3&lt;=$F4),"■","")</f>
        <v/>
      </c>
      <c r="AH4" s="23">
        <f>IF(AND(AH$3&gt;=$E4,AH$3&lt;=$F4),"■","")</f>
        <v/>
      </c>
      <c r="AI4" s="23">
        <f>IF(AND(AI$3&gt;=$E4,AI$3&lt;=$F4),"■","")</f>
        <v/>
      </c>
      <c r="AJ4" s="23">
        <f>IF(AND(AJ$3&gt;=$E4,AJ$3&lt;=$F4),"■","")</f>
        <v/>
      </c>
      <c r="AK4" s="23">
        <f>IF(AND(AK$3&gt;=$E4,AK$3&lt;=$F4),"■","")</f>
        <v/>
      </c>
      <c r="AL4" s="23">
        <f>IF(AND(AL$3&gt;=$E4,AL$3&lt;=$F4),"■","")</f>
        <v/>
      </c>
      <c r="AM4" s="23">
        <f>IF(AND(AM$3&gt;=$E4,AM$3&lt;=$F4),"■","")</f>
        <v/>
      </c>
    </row>
    <row r="5">
      <c r="A5" s="2">
        <f>IFERROR(INDEX(tblTasks[Task ID],2),"")</f>
        <v/>
      </c>
      <c r="B5" s="2">
        <f>IFERROR(INDEX(tblTasks[Project ID],2),"")</f>
        <v/>
      </c>
      <c r="C5" s="2">
        <f>IFERROR(INDEX(tblTasks[Task Name],2),"")</f>
        <v/>
      </c>
      <c r="D5" s="2">
        <f>IFERROR(INDEX(tblTasks[Assigned User],2),"")</f>
        <v/>
      </c>
      <c r="E5" s="2">
        <f>IFERROR(INDEX(tblTasks[Start Date],2),"")</f>
        <v/>
      </c>
      <c r="F5" s="2">
        <f>IFERROR(INDEX(tblTasks[Due Date],2),"")</f>
        <v/>
      </c>
      <c r="G5" s="2">
        <f>IFERROR(INDEX(tblTasks[Manual Status],2),"")</f>
        <v/>
      </c>
      <c r="H5" s="16">
        <f>IFERROR(INDEX(tblTasks[Progress %],2),"")</f>
        <v/>
      </c>
      <c r="I5" s="23">
        <f>IF(AND(I$3&gt;=$E5,I$3&lt;=$F5),"■","")</f>
        <v/>
      </c>
      <c r="J5" s="23">
        <f>IF(AND(J$3&gt;=$E5,J$3&lt;=$F5),"■","")</f>
        <v/>
      </c>
      <c r="K5" s="23">
        <f>IF(AND(K$3&gt;=$E5,K$3&lt;=$F5),"■","")</f>
        <v/>
      </c>
      <c r="L5" s="23">
        <f>IF(AND(L$3&gt;=$E5,L$3&lt;=$F5),"■","")</f>
        <v/>
      </c>
      <c r="M5" s="23">
        <f>IF(AND(M$3&gt;=$E5,M$3&lt;=$F5),"■","")</f>
        <v/>
      </c>
      <c r="N5" s="23">
        <f>IF(AND(N$3&gt;=$E5,N$3&lt;=$F5),"■","")</f>
        <v/>
      </c>
      <c r="O5" s="23">
        <f>IF(AND(O$3&gt;=$E5,O$3&lt;=$F5),"■","")</f>
        <v/>
      </c>
      <c r="P5" s="23">
        <f>IF(AND(P$3&gt;=$E5,P$3&lt;=$F5),"■","")</f>
        <v/>
      </c>
      <c r="Q5" s="23">
        <f>IF(AND(Q$3&gt;=$E5,Q$3&lt;=$F5),"■","")</f>
        <v/>
      </c>
      <c r="R5" s="23">
        <f>IF(AND(R$3&gt;=$E5,R$3&lt;=$F5),"■","")</f>
        <v/>
      </c>
      <c r="S5" s="23">
        <f>IF(AND(S$3&gt;=$E5,S$3&lt;=$F5),"■","")</f>
        <v/>
      </c>
      <c r="T5" s="23">
        <f>IF(AND(T$3&gt;=$E5,T$3&lt;=$F5),"■","")</f>
        <v/>
      </c>
      <c r="U5" s="23">
        <f>IF(AND(U$3&gt;=$E5,U$3&lt;=$F5),"■","")</f>
        <v/>
      </c>
      <c r="V5" s="23">
        <f>IF(AND(V$3&gt;=$E5,V$3&lt;=$F5),"■","")</f>
        <v/>
      </c>
      <c r="W5" s="23">
        <f>IF(AND(W$3&gt;=$E5,W$3&lt;=$F5),"■","")</f>
        <v/>
      </c>
      <c r="X5" s="23">
        <f>IF(AND(X$3&gt;=$E5,X$3&lt;=$F5),"■","")</f>
        <v/>
      </c>
      <c r="Y5" s="23">
        <f>IF(AND(Y$3&gt;=$E5,Y$3&lt;=$F5),"■","")</f>
        <v/>
      </c>
      <c r="Z5" s="23">
        <f>IF(AND(Z$3&gt;=$E5,Z$3&lt;=$F5),"■","")</f>
        <v/>
      </c>
      <c r="AA5" s="23">
        <f>IF(AND(AA$3&gt;=$E5,AA$3&lt;=$F5),"■","")</f>
        <v/>
      </c>
      <c r="AB5" s="23">
        <f>IF(AND(AB$3&gt;=$E5,AB$3&lt;=$F5),"■","")</f>
        <v/>
      </c>
      <c r="AC5" s="23">
        <f>IF(AND(AC$3&gt;=$E5,AC$3&lt;=$F5),"■","")</f>
        <v/>
      </c>
      <c r="AD5" s="23">
        <f>IF(AND(AD$3&gt;=$E5,AD$3&lt;=$F5),"■","")</f>
        <v/>
      </c>
      <c r="AE5" s="23">
        <f>IF(AND(AE$3&gt;=$E5,AE$3&lt;=$F5),"■","")</f>
        <v/>
      </c>
      <c r="AF5" s="23">
        <f>IF(AND(AF$3&gt;=$E5,AF$3&lt;=$F5),"■","")</f>
        <v/>
      </c>
      <c r="AG5" s="23">
        <f>IF(AND(AG$3&gt;=$E5,AG$3&lt;=$F5),"■","")</f>
        <v/>
      </c>
      <c r="AH5" s="23">
        <f>IF(AND(AH$3&gt;=$E5,AH$3&lt;=$F5),"■","")</f>
        <v/>
      </c>
      <c r="AI5" s="23">
        <f>IF(AND(AI$3&gt;=$E5,AI$3&lt;=$F5),"■","")</f>
        <v/>
      </c>
      <c r="AJ5" s="23">
        <f>IF(AND(AJ$3&gt;=$E5,AJ$3&lt;=$F5),"■","")</f>
        <v/>
      </c>
      <c r="AK5" s="23">
        <f>IF(AND(AK$3&gt;=$E5,AK$3&lt;=$F5),"■","")</f>
        <v/>
      </c>
      <c r="AL5" s="23">
        <f>IF(AND(AL$3&gt;=$E5,AL$3&lt;=$F5),"■","")</f>
        <v/>
      </c>
      <c r="AM5" s="23">
        <f>IF(AND(AM$3&gt;=$E5,AM$3&lt;=$F5),"■","")</f>
        <v/>
      </c>
    </row>
    <row r="6">
      <c r="A6" s="2">
        <f>IFERROR(INDEX(tblTasks[Task ID],3),"")</f>
        <v/>
      </c>
      <c r="B6" s="2">
        <f>IFERROR(INDEX(tblTasks[Project ID],3),"")</f>
        <v/>
      </c>
      <c r="C6" s="2">
        <f>IFERROR(INDEX(tblTasks[Task Name],3),"")</f>
        <v/>
      </c>
      <c r="D6" s="2">
        <f>IFERROR(INDEX(tblTasks[Assigned User],3),"")</f>
        <v/>
      </c>
      <c r="E6" s="2">
        <f>IFERROR(INDEX(tblTasks[Start Date],3),"")</f>
        <v/>
      </c>
      <c r="F6" s="2">
        <f>IFERROR(INDEX(tblTasks[Due Date],3),"")</f>
        <v/>
      </c>
      <c r="G6" s="2">
        <f>IFERROR(INDEX(tblTasks[Manual Status],3),"")</f>
        <v/>
      </c>
      <c r="H6" s="16">
        <f>IFERROR(INDEX(tblTasks[Progress %],3),"")</f>
        <v/>
      </c>
      <c r="I6" s="23">
        <f>IF(AND(I$3&gt;=$E6,I$3&lt;=$F6),"■","")</f>
        <v/>
      </c>
      <c r="J6" s="23">
        <f>IF(AND(J$3&gt;=$E6,J$3&lt;=$F6),"■","")</f>
        <v/>
      </c>
      <c r="K6" s="23">
        <f>IF(AND(K$3&gt;=$E6,K$3&lt;=$F6),"■","")</f>
        <v/>
      </c>
      <c r="L6" s="23">
        <f>IF(AND(L$3&gt;=$E6,L$3&lt;=$F6),"■","")</f>
        <v/>
      </c>
      <c r="M6" s="23">
        <f>IF(AND(M$3&gt;=$E6,M$3&lt;=$F6),"■","")</f>
        <v/>
      </c>
      <c r="N6" s="23">
        <f>IF(AND(N$3&gt;=$E6,N$3&lt;=$F6),"■","")</f>
        <v/>
      </c>
      <c r="O6" s="23">
        <f>IF(AND(O$3&gt;=$E6,O$3&lt;=$F6),"■","")</f>
        <v/>
      </c>
      <c r="P6" s="23">
        <f>IF(AND(P$3&gt;=$E6,P$3&lt;=$F6),"■","")</f>
        <v/>
      </c>
      <c r="Q6" s="23">
        <f>IF(AND(Q$3&gt;=$E6,Q$3&lt;=$F6),"■","")</f>
        <v/>
      </c>
      <c r="R6" s="23">
        <f>IF(AND(R$3&gt;=$E6,R$3&lt;=$F6),"■","")</f>
        <v/>
      </c>
      <c r="S6" s="23">
        <f>IF(AND(S$3&gt;=$E6,S$3&lt;=$F6),"■","")</f>
        <v/>
      </c>
      <c r="T6" s="23">
        <f>IF(AND(T$3&gt;=$E6,T$3&lt;=$F6),"■","")</f>
        <v/>
      </c>
      <c r="U6" s="23">
        <f>IF(AND(U$3&gt;=$E6,U$3&lt;=$F6),"■","")</f>
        <v/>
      </c>
      <c r="V6" s="23">
        <f>IF(AND(V$3&gt;=$E6,V$3&lt;=$F6),"■","")</f>
        <v/>
      </c>
      <c r="W6" s="23">
        <f>IF(AND(W$3&gt;=$E6,W$3&lt;=$F6),"■","")</f>
        <v/>
      </c>
      <c r="X6" s="23">
        <f>IF(AND(X$3&gt;=$E6,X$3&lt;=$F6),"■","")</f>
        <v/>
      </c>
      <c r="Y6" s="23">
        <f>IF(AND(Y$3&gt;=$E6,Y$3&lt;=$F6),"■","")</f>
        <v/>
      </c>
      <c r="Z6" s="23">
        <f>IF(AND(Z$3&gt;=$E6,Z$3&lt;=$F6),"■","")</f>
        <v/>
      </c>
      <c r="AA6" s="23">
        <f>IF(AND(AA$3&gt;=$E6,AA$3&lt;=$F6),"■","")</f>
        <v/>
      </c>
      <c r="AB6" s="23">
        <f>IF(AND(AB$3&gt;=$E6,AB$3&lt;=$F6),"■","")</f>
        <v/>
      </c>
      <c r="AC6" s="23">
        <f>IF(AND(AC$3&gt;=$E6,AC$3&lt;=$F6),"■","")</f>
        <v/>
      </c>
      <c r="AD6" s="23">
        <f>IF(AND(AD$3&gt;=$E6,AD$3&lt;=$F6),"■","")</f>
        <v/>
      </c>
      <c r="AE6" s="23">
        <f>IF(AND(AE$3&gt;=$E6,AE$3&lt;=$F6),"■","")</f>
        <v/>
      </c>
      <c r="AF6" s="23">
        <f>IF(AND(AF$3&gt;=$E6,AF$3&lt;=$F6),"■","")</f>
        <v/>
      </c>
      <c r="AG6" s="23">
        <f>IF(AND(AG$3&gt;=$E6,AG$3&lt;=$F6),"■","")</f>
        <v/>
      </c>
      <c r="AH6" s="23">
        <f>IF(AND(AH$3&gt;=$E6,AH$3&lt;=$F6),"■","")</f>
        <v/>
      </c>
      <c r="AI6" s="23">
        <f>IF(AND(AI$3&gt;=$E6,AI$3&lt;=$F6),"■","")</f>
        <v/>
      </c>
      <c r="AJ6" s="23">
        <f>IF(AND(AJ$3&gt;=$E6,AJ$3&lt;=$F6),"■","")</f>
        <v/>
      </c>
      <c r="AK6" s="23">
        <f>IF(AND(AK$3&gt;=$E6,AK$3&lt;=$F6),"■","")</f>
        <v/>
      </c>
      <c r="AL6" s="23">
        <f>IF(AND(AL$3&gt;=$E6,AL$3&lt;=$F6),"■","")</f>
        <v/>
      </c>
      <c r="AM6" s="23">
        <f>IF(AND(AM$3&gt;=$E6,AM$3&lt;=$F6),"■","")</f>
        <v/>
      </c>
    </row>
    <row r="7">
      <c r="A7" s="2">
        <f>IFERROR(INDEX(tblTasks[Task ID],4),"")</f>
        <v/>
      </c>
      <c r="B7" s="2">
        <f>IFERROR(INDEX(tblTasks[Project ID],4),"")</f>
        <v/>
      </c>
      <c r="C7" s="2">
        <f>IFERROR(INDEX(tblTasks[Task Name],4),"")</f>
        <v/>
      </c>
      <c r="D7" s="2">
        <f>IFERROR(INDEX(tblTasks[Assigned User],4),"")</f>
        <v/>
      </c>
      <c r="E7" s="2">
        <f>IFERROR(INDEX(tblTasks[Start Date],4),"")</f>
        <v/>
      </c>
      <c r="F7" s="2">
        <f>IFERROR(INDEX(tblTasks[Due Date],4),"")</f>
        <v/>
      </c>
      <c r="G7" s="2">
        <f>IFERROR(INDEX(tblTasks[Manual Status],4),"")</f>
        <v/>
      </c>
      <c r="H7" s="16">
        <f>IFERROR(INDEX(tblTasks[Progress %],4),"")</f>
        <v/>
      </c>
      <c r="I7" s="23">
        <f>IF(AND(I$3&gt;=$E7,I$3&lt;=$F7),"■","")</f>
        <v/>
      </c>
      <c r="J7" s="23">
        <f>IF(AND(J$3&gt;=$E7,J$3&lt;=$F7),"■","")</f>
        <v/>
      </c>
      <c r="K7" s="23">
        <f>IF(AND(K$3&gt;=$E7,K$3&lt;=$F7),"■","")</f>
        <v/>
      </c>
      <c r="L7" s="23">
        <f>IF(AND(L$3&gt;=$E7,L$3&lt;=$F7),"■","")</f>
        <v/>
      </c>
      <c r="M7" s="23">
        <f>IF(AND(M$3&gt;=$E7,M$3&lt;=$F7),"■","")</f>
        <v/>
      </c>
      <c r="N7" s="23">
        <f>IF(AND(N$3&gt;=$E7,N$3&lt;=$F7),"■","")</f>
        <v/>
      </c>
      <c r="O7" s="23">
        <f>IF(AND(O$3&gt;=$E7,O$3&lt;=$F7),"■","")</f>
        <v/>
      </c>
      <c r="P7" s="23">
        <f>IF(AND(P$3&gt;=$E7,P$3&lt;=$F7),"■","")</f>
        <v/>
      </c>
      <c r="Q7" s="23">
        <f>IF(AND(Q$3&gt;=$E7,Q$3&lt;=$F7),"■","")</f>
        <v/>
      </c>
      <c r="R7" s="23">
        <f>IF(AND(R$3&gt;=$E7,R$3&lt;=$F7),"■","")</f>
        <v/>
      </c>
      <c r="S7" s="23">
        <f>IF(AND(S$3&gt;=$E7,S$3&lt;=$F7),"■","")</f>
        <v/>
      </c>
      <c r="T7" s="23">
        <f>IF(AND(T$3&gt;=$E7,T$3&lt;=$F7),"■","")</f>
        <v/>
      </c>
      <c r="U7" s="23">
        <f>IF(AND(U$3&gt;=$E7,U$3&lt;=$F7),"■","")</f>
        <v/>
      </c>
      <c r="V7" s="23">
        <f>IF(AND(V$3&gt;=$E7,V$3&lt;=$F7),"■","")</f>
        <v/>
      </c>
      <c r="W7" s="23">
        <f>IF(AND(W$3&gt;=$E7,W$3&lt;=$F7),"■","")</f>
        <v/>
      </c>
      <c r="X7" s="23">
        <f>IF(AND(X$3&gt;=$E7,X$3&lt;=$F7),"■","")</f>
        <v/>
      </c>
      <c r="Y7" s="23">
        <f>IF(AND(Y$3&gt;=$E7,Y$3&lt;=$F7),"■","")</f>
        <v/>
      </c>
      <c r="Z7" s="23">
        <f>IF(AND(Z$3&gt;=$E7,Z$3&lt;=$F7),"■","")</f>
        <v/>
      </c>
      <c r="AA7" s="23">
        <f>IF(AND(AA$3&gt;=$E7,AA$3&lt;=$F7),"■","")</f>
        <v/>
      </c>
      <c r="AB7" s="23">
        <f>IF(AND(AB$3&gt;=$E7,AB$3&lt;=$F7),"■","")</f>
        <v/>
      </c>
      <c r="AC7" s="23">
        <f>IF(AND(AC$3&gt;=$E7,AC$3&lt;=$F7),"■","")</f>
        <v/>
      </c>
      <c r="AD7" s="23">
        <f>IF(AND(AD$3&gt;=$E7,AD$3&lt;=$F7),"■","")</f>
        <v/>
      </c>
      <c r="AE7" s="23">
        <f>IF(AND(AE$3&gt;=$E7,AE$3&lt;=$F7),"■","")</f>
        <v/>
      </c>
      <c r="AF7" s="23">
        <f>IF(AND(AF$3&gt;=$E7,AF$3&lt;=$F7),"■","")</f>
        <v/>
      </c>
      <c r="AG7" s="23">
        <f>IF(AND(AG$3&gt;=$E7,AG$3&lt;=$F7),"■","")</f>
        <v/>
      </c>
      <c r="AH7" s="23">
        <f>IF(AND(AH$3&gt;=$E7,AH$3&lt;=$F7),"■","")</f>
        <v/>
      </c>
      <c r="AI7" s="23">
        <f>IF(AND(AI$3&gt;=$E7,AI$3&lt;=$F7),"■","")</f>
        <v/>
      </c>
      <c r="AJ7" s="23">
        <f>IF(AND(AJ$3&gt;=$E7,AJ$3&lt;=$F7),"■","")</f>
        <v/>
      </c>
      <c r="AK7" s="23">
        <f>IF(AND(AK$3&gt;=$E7,AK$3&lt;=$F7),"■","")</f>
        <v/>
      </c>
      <c r="AL7" s="23">
        <f>IF(AND(AL$3&gt;=$E7,AL$3&lt;=$F7),"■","")</f>
        <v/>
      </c>
      <c r="AM7" s="23">
        <f>IF(AND(AM$3&gt;=$E7,AM$3&lt;=$F7),"■","")</f>
        <v/>
      </c>
    </row>
    <row r="8">
      <c r="A8" s="2">
        <f>IFERROR(INDEX(tblTasks[Task ID],5),"")</f>
        <v/>
      </c>
      <c r="B8" s="2">
        <f>IFERROR(INDEX(tblTasks[Project ID],5),"")</f>
        <v/>
      </c>
      <c r="C8" s="2">
        <f>IFERROR(INDEX(tblTasks[Task Name],5),"")</f>
        <v/>
      </c>
      <c r="D8" s="2">
        <f>IFERROR(INDEX(tblTasks[Assigned User],5),"")</f>
        <v/>
      </c>
      <c r="E8" s="2">
        <f>IFERROR(INDEX(tblTasks[Start Date],5),"")</f>
        <v/>
      </c>
      <c r="F8" s="2">
        <f>IFERROR(INDEX(tblTasks[Due Date],5),"")</f>
        <v/>
      </c>
      <c r="G8" s="2">
        <f>IFERROR(INDEX(tblTasks[Manual Status],5),"")</f>
        <v/>
      </c>
      <c r="H8" s="16">
        <f>IFERROR(INDEX(tblTasks[Progress %],5),"")</f>
        <v/>
      </c>
      <c r="I8" s="23">
        <f>IF(AND(I$3&gt;=$E8,I$3&lt;=$F8),"■","")</f>
        <v/>
      </c>
      <c r="J8" s="23">
        <f>IF(AND(J$3&gt;=$E8,J$3&lt;=$F8),"■","")</f>
        <v/>
      </c>
      <c r="K8" s="23">
        <f>IF(AND(K$3&gt;=$E8,K$3&lt;=$F8),"■","")</f>
        <v/>
      </c>
      <c r="L8" s="23">
        <f>IF(AND(L$3&gt;=$E8,L$3&lt;=$F8),"■","")</f>
        <v/>
      </c>
      <c r="M8" s="23">
        <f>IF(AND(M$3&gt;=$E8,M$3&lt;=$F8),"■","")</f>
        <v/>
      </c>
      <c r="N8" s="23">
        <f>IF(AND(N$3&gt;=$E8,N$3&lt;=$F8),"■","")</f>
        <v/>
      </c>
      <c r="O8" s="23">
        <f>IF(AND(O$3&gt;=$E8,O$3&lt;=$F8),"■","")</f>
        <v/>
      </c>
      <c r="P8" s="23">
        <f>IF(AND(P$3&gt;=$E8,P$3&lt;=$F8),"■","")</f>
        <v/>
      </c>
      <c r="Q8" s="23">
        <f>IF(AND(Q$3&gt;=$E8,Q$3&lt;=$F8),"■","")</f>
        <v/>
      </c>
      <c r="R8" s="23">
        <f>IF(AND(R$3&gt;=$E8,R$3&lt;=$F8),"■","")</f>
        <v/>
      </c>
      <c r="S8" s="23">
        <f>IF(AND(S$3&gt;=$E8,S$3&lt;=$F8),"■","")</f>
        <v/>
      </c>
      <c r="T8" s="23">
        <f>IF(AND(T$3&gt;=$E8,T$3&lt;=$F8),"■","")</f>
        <v/>
      </c>
      <c r="U8" s="23">
        <f>IF(AND(U$3&gt;=$E8,U$3&lt;=$F8),"■","")</f>
        <v/>
      </c>
      <c r="V8" s="23">
        <f>IF(AND(V$3&gt;=$E8,V$3&lt;=$F8),"■","")</f>
        <v/>
      </c>
      <c r="W8" s="23">
        <f>IF(AND(W$3&gt;=$E8,W$3&lt;=$F8),"■","")</f>
        <v/>
      </c>
      <c r="X8" s="23">
        <f>IF(AND(X$3&gt;=$E8,X$3&lt;=$F8),"■","")</f>
        <v/>
      </c>
      <c r="Y8" s="23">
        <f>IF(AND(Y$3&gt;=$E8,Y$3&lt;=$F8),"■","")</f>
        <v/>
      </c>
      <c r="Z8" s="23">
        <f>IF(AND(Z$3&gt;=$E8,Z$3&lt;=$F8),"■","")</f>
        <v/>
      </c>
      <c r="AA8" s="23">
        <f>IF(AND(AA$3&gt;=$E8,AA$3&lt;=$F8),"■","")</f>
        <v/>
      </c>
      <c r="AB8" s="23">
        <f>IF(AND(AB$3&gt;=$E8,AB$3&lt;=$F8),"■","")</f>
        <v/>
      </c>
      <c r="AC8" s="23">
        <f>IF(AND(AC$3&gt;=$E8,AC$3&lt;=$F8),"■","")</f>
        <v/>
      </c>
      <c r="AD8" s="23">
        <f>IF(AND(AD$3&gt;=$E8,AD$3&lt;=$F8),"■","")</f>
        <v/>
      </c>
      <c r="AE8" s="23">
        <f>IF(AND(AE$3&gt;=$E8,AE$3&lt;=$F8),"■","")</f>
        <v/>
      </c>
      <c r="AF8" s="23">
        <f>IF(AND(AF$3&gt;=$E8,AF$3&lt;=$F8),"■","")</f>
        <v/>
      </c>
      <c r="AG8" s="23">
        <f>IF(AND(AG$3&gt;=$E8,AG$3&lt;=$F8),"■","")</f>
        <v/>
      </c>
      <c r="AH8" s="23">
        <f>IF(AND(AH$3&gt;=$E8,AH$3&lt;=$F8),"■","")</f>
        <v/>
      </c>
      <c r="AI8" s="23">
        <f>IF(AND(AI$3&gt;=$E8,AI$3&lt;=$F8),"■","")</f>
        <v/>
      </c>
      <c r="AJ8" s="23">
        <f>IF(AND(AJ$3&gt;=$E8,AJ$3&lt;=$F8),"■","")</f>
        <v/>
      </c>
      <c r="AK8" s="23">
        <f>IF(AND(AK$3&gt;=$E8,AK$3&lt;=$F8),"■","")</f>
        <v/>
      </c>
      <c r="AL8" s="23">
        <f>IF(AND(AL$3&gt;=$E8,AL$3&lt;=$F8),"■","")</f>
        <v/>
      </c>
      <c r="AM8" s="23">
        <f>IF(AND(AM$3&gt;=$E8,AM$3&lt;=$F8),"■","")</f>
        <v/>
      </c>
    </row>
    <row r="9">
      <c r="A9" s="2">
        <f>IFERROR(INDEX(tblTasks[Task ID],6),"")</f>
        <v/>
      </c>
      <c r="B9" s="2">
        <f>IFERROR(INDEX(tblTasks[Project ID],6),"")</f>
        <v/>
      </c>
      <c r="C9" s="2">
        <f>IFERROR(INDEX(tblTasks[Task Name],6),"")</f>
        <v/>
      </c>
      <c r="D9" s="2">
        <f>IFERROR(INDEX(tblTasks[Assigned User],6),"")</f>
        <v/>
      </c>
      <c r="E9" s="2">
        <f>IFERROR(INDEX(tblTasks[Start Date],6),"")</f>
        <v/>
      </c>
      <c r="F9" s="2">
        <f>IFERROR(INDEX(tblTasks[Due Date],6),"")</f>
        <v/>
      </c>
      <c r="G9" s="2">
        <f>IFERROR(INDEX(tblTasks[Manual Status],6),"")</f>
        <v/>
      </c>
      <c r="H9" s="16">
        <f>IFERROR(INDEX(tblTasks[Progress %],6),"")</f>
        <v/>
      </c>
      <c r="I9" s="23">
        <f>IF(AND(I$3&gt;=$E9,I$3&lt;=$F9),"■","")</f>
        <v/>
      </c>
      <c r="J9" s="23">
        <f>IF(AND(J$3&gt;=$E9,J$3&lt;=$F9),"■","")</f>
        <v/>
      </c>
      <c r="K9" s="23">
        <f>IF(AND(K$3&gt;=$E9,K$3&lt;=$F9),"■","")</f>
        <v/>
      </c>
      <c r="L9" s="23">
        <f>IF(AND(L$3&gt;=$E9,L$3&lt;=$F9),"■","")</f>
        <v/>
      </c>
      <c r="M9" s="23">
        <f>IF(AND(M$3&gt;=$E9,M$3&lt;=$F9),"■","")</f>
        <v/>
      </c>
      <c r="N9" s="23">
        <f>IF(AND(N$3&gt;=$E9,N$3&lt;=$F9),"■","")</f>
        <v/>
      </c>
      <c r="O9" s="23">
        <f>IF(AND(O$3&gt;=$E9,O$3&lt;=$F9),"■","")</f>
        <v/>
      </c>
      <c r="P9" s="23">
        <f>IF(AND(P$3&gt;=$E9,P$3&lt;=$F9),"■","")</f>
        <v/>
      </c>
      <c r="Q9" s="23">
        <f>IF(AND(Q$3&gt;=$E9,Q$3&lt;=$F9),"■","")</f>
        <v/>
      </c>
      <c r="R9" s="23">
        <f>IF(AND(R$3&gt;=$E9,R$3&lt;=$F9),"■","")</f>
        <v/>
      </c>
      <c r="S9" s="23">
        <f>IF(AND(S$3&gt;=$E9,S$3&lt;=$F9),"■","")</f>
        <v/>
      </c>
      <c r="T9" s="23">
        <f>IF(AND(T$3&gt;=$E9,T$3&lt;=$F9),"■","")</f>
        <v/>
      </c>
      <c r="U9" s="23">
        <f>IF(AND(U$3&gt;=$E9,U$3&lt;=$F9),"■","")</f>
        <v/>
      </c>
      <c r="V9" s="23">
        <f>IF(AND(V$3&gt;=$E9,V$3&lt;=$F9),"■","")</f>
        <v/>
      </c>
      <c r="W9" s="23">
        <f>IF(AND(W$3&gt;=$E9,W$3&lt;=$F9),"■","")</f>
        <v/>
      </c>
      <c r="X9" s="23">
        <f>IF(AND(X$3&gt;=$E9,X$3&lt;=$F9),"■","")</f>
        <v/>
      </c>
      <c r="Y9" s="23">
        <f>IF(AND(Y$3&gt;=$E9,Y$3&lt;=$F9),"■","")</f>
        <v/>
      </c>
      <c r="Z9" s="23">
        <f>IF(AND(Z$3&gt;=$E9,Z$3&lt;=$F9),"■","")</f>
        <v/>
      </c>
      <c r="AA9" s="23">
        <f>IF(AND(AA$3&gt;=$E9,AA$3&lt;=$F9),"■","")</f>
        <v/>
      </c>
      <c r="AB9" s="23">
        <f>IF(AND(AB$3&gt;=$E9,AB$3&lt;=$F9),"■","")</f>
        <v/>
      </c>
      <c r="AC9" s="23">
        <f>IF(AND(AC$3&gt;=$E9,AC$3&lt;=$F9),"■","")</f>
        <v/>
      </c>
      <c r="AD9" s="23">
        <f>IF(AND(AD$3&gt;=$E9,AD$3&lt;=$F9),"■","")</f>
        <v/>
      </c>
      <c r="AE9" s="23">
        <f>IF(AND(AE$3&gt;=$E9,AE$3&lt;=$F9),"■","")</f>
        <v/>
      </c>
      <c r="AF9" s="23">
        <f>IF(AND(AF$3&gt;=$E9,AF$3&lt;=$F9),"■","")</f>
        <v/>
      </c>
      <c r="AG9" s="23">
        <f>IF(AND(AG$3&gt;=$E9,AG$3&lt;=$F9),"■","")</f>
        <v/>
      </c>
      <c r="AH9" s="23">
        <f>IF(AND(AH$3&gt;=$E9,AH$3&lt;=$F9),"■","")</f>
        <v/>
      </c>
      <c r="AI9" s="23">
        <f>IF(AND(AI$3&gt;=$E9,AI$3&lt;=$F9),"■","")</f>
        <v/>
      </c>
      <c r="AJ9" s="23">
        <f>IF(AND(AJ$3&gt;=$E9,AJ$3&lt;=$F9),"■","")</f>
        <v/>
      </c>
      <c r="AK9" s="23">
        <f>IF(AND(AK$3&gt;=$E9,AK$3&lt;=$F9),"■","")</f>
        <v/>
      </c>
      <c r="AL9" s="23">
        <f>IF(AND(AL$3&gt;=$E9,AL$3&lt;=$F9),"■","")</f>
        <v/>
      </c>
      <c r="AM9" s="23">
        <f>IF(AND(AM$3&gt;=$E9,AM$3&lt;=$F9),"■","")</f>
        <v/>
      </c>
    </row>
    <row r="10">
      <c r="A10" s="2">
        <f>IFERROR(INDEX(tblTasks[Task ID],7),"")</f>
        <v/>
      </c>
      <c r="B10" s="2">
        <f>IFERROR(INDEX(tblTasks[Project ID],7),"")</f>
        <v/>
      </c>
      <c r="C10" s="2">
        <f>IFERROR(INDEX(tblTasks[Task Name],7),"")</f>
        <v/>
      </c>
      <c r="D10" s="2">
        <f>IFERROR(INDEX(tblTasks[Assigned User],7),"")</f>
        <v/>
      </c>
      <c r="E10" s="2">
        <f>IFERROR(INDEX(tblTasks[Start Date],7),"")</f>
        <v/>
      </c>
      <c r="F10" s="2">
        <f>IFERROR(INDEX(tblTasks[Due Date],7),"")</f>
        <v/>
      </c>
      <c r="G10" s="2">
        <f>IFERROR(INDEX(tblTasks[Manual Status],7),"")</f>
        <v/>
      </c>
      <c r="H10" s="16">
        <f>IFERROR(INDEX(tblTasks[Progress %],7),"")</f>
        <v/>
      </c>
      <c r="I10" s="23">
        <f>IF(AND(I$3&gt;=$E10,I$3&lt;=$F10),"■","")</f>
        <v/>
      </c>
      <c r="J10" s="23">
        <f>IF(AND(J$3&gt;=$E10,J$3&lt;=$F10),"■","")</f>
        <v/>
      </c>
      <c r="K10" s="23">
        <f>IF(AND(K$3&gt;=$E10,K$3&lt;=$F10),"■","")</f>
        <v/>
      </c>
      <c r="L10" s="23">
        <f>IF(AND(L$3&gt;=$E10,L$3&lt;=$F10),"■","")</f>
        <v/>
      </c>
      <c r="M10" s="23">
        <f>IF(AND(M$3&gt;=$E10,M$3&lt;=$F10),"■","")</f>
        <v/>
      </c>
      <c r="N10" s="23">
        <f>IF(AND(N$3&gt;=$E10,N$3&lt;=$F10),"■","")</f>
        <v/>
      </c>
      <c r="O10" s="23">
        <f>IF(AND(O$3&gt;=$E10,O$3&lt;=$F10),"■","")</f>
        <v/>
      </c>
      <c r="P10" s="23">
        <f>IF(AND(P$3&gt;=$E10,P$3&lt;=$F10),"■","")</f>
        <v/>
      </c>
      <c r="Q10" s="23">
        <f>IF(AND(Q$3&gt;=$E10,Q$3&lt;=$F10),"■","")</f>
        <v/>
      </c>
      <c r="R10" s="23">
        <f>IF(AND(R$3&gt;=$E10,R$3&lt;=$F10),"■","")</f>
        <v/>
      </c>
      <c r="S10" s="23">
        <f>IF(AND(S$3&gt;=$E10,S$3&lt;=$F10),"■","")</f>
        <v/>
      </c>
      <c r="T10" s="23">
        <f>IF(AND(T$3&gt;=$E10,T$3&lt;=$F10),"■","")</f>
        <v/>
      </c>
      <c r="U10" s="23">
        <f>IF(AND(U$3&gt;=$E10,U$3&lt;=$F10),"■","")</f>
        <v/>
      </c>
      <c r="V10" s="23">
        <f>IF(AND(V$3&gt;=$E10,V$3&lt;=$F10),"■","")</f>
        <v/>
      </c>
      <c r="W10" s="23">
        <f>IF(AND(W$3&gt;=$E10,W$3&lt;=$F10),"■","")</f>
        <v/>
      </c>
      <c r="X10" s="23">
        <f>IF(AND(X$3&gt;=$E10,X$3&lt;=$F10),"■","")</f>
        <v/>
      </c>
      <c r="Y10" s="23">
        <f>IF(AND(Y$3&gt;=$E10,Y$3&lt;=$F10),"■","")</f>
        <v/>
      </c>
      <c r="Z10" s="23">
        <f>IF(AND(Z$3&gt;=$E10,Z$3&lt;=$F10),"■","")</f>
        <v/>
      </c>
      <c r="AA10" s="23">
        <f>IF(AND(AA$3&gt;=$E10,AA$3&lt;=$F10),"■","")</f>
        <v/>
      </c>
      <c r="AB10" s="23">
        <f>IF(AND(AB$3&gt;=$E10,AB$3&lt;=$F10),"■","")</f>
        <v/>
      </c>
      <c r="AC10" s="23">
        <f>IF(AND(AC$3&gt;=$E10,AC$3&lt;=$F10),"■","")</f>
        <v/>
      </c>
      <c r="AD10" s="23">
        <f>IF(AND(AD$3&gt;=$E10,AD$3&lt;=$F10),"■","")</f>
        <v/>
      </c>
      <c r="AE10" s="23">
        <f>IF(AND(AE$3&gt;=$E10,AE$3&lt;=$F10),"■","")</f>
        <v/>
      </c>
      <c r="AF10" s="23">
        <f>IF(AND(AF$3&gt;=$E10,AF$3&lt;=$F10),"■","")</f>
        <v/>
      </c>
      <c r="AG10" s="23">
        <f>IF(AND(AG$3&gt;=$E10,AG$3&lt;=$F10),"■","")</f>
        <v/>
      </c>
      <c r="AH10" s="23">
        <f>IF(AND(AH$3&gt;=$E10,AH$3&lt;=$F10),"■","")</f>
        <v/>
      </c>
      <c r="AI10" s="23">
        <f>IF(AND(AI$3&gt;=$E10,AI$3&lt;=$F10),"■","")</f>
        <v/>
      </c>
      <c r="AJ10" s="23">
        <f>IF(AND(AJ$3&gt;=$E10,AJ$3&lt;=$F10),"■","")</f>
        <v/>
      </c>
      <c r="AK10" s="23">
        <f>IF(AND(AK$3&gt;=$E10,AK$3&lt;=$F10),"■","")</f>
        <v/>
      </c>
      <c r="AL10" s="23">
        <f>IF(AND(AL$3&gt;=$E10,AL$3&lt;=$F10),"■","")</f>
        <v/>
      </c>
      <c r="AM10" s="23">
        <f>IF(AND(AM$3&gt;=$E10,AM$3&lt;=$F10),"■","")</f>
        <v/>
      </c>
    </row>
    <row r="11">
      <c r="A11" s="2">
        <f>IFERROR(INDEX(tblTasks[Task ID],8),"")</f>
        <v/>
      </c>
      <c r="B11" s="2">
        <f>IFERROR(INDEX(tblTasks[Project ID],8),"")</f>
        <v/>
      </c>
      <c r="C11" s="2">
        <f>IFERROR(INDEX(tblTasks[Task Name],8),"")</f>
        <v/>
      </c>
      <c r="D11" s="2">
        <f>IFERROR(INDEX(tblTasks[Assigned User],8),"")</f>
        <v/>
      </c>
      <c r="E11" s="2">
        <f>IFERROR(INDEX(tblTasks[Start Date],8),"")</f>
        <v/>
      </c>
      <c r="F11" s="2">
        <f>IFERROR(INDEX(tblTasks[Due Date],8),"")</f>
        <v/>
      </c>
      <c r="G11" s="2">
        <f>IFERROR(INDEX(tblTasks[Manual Status],8),"")</f>
        <v/>
      </c>
      <c r="H11" s="16">
        <f>IFERROR(INDEX(tblTasks[Progress %],8),"")</f>
        <v/>
      </c>
      <c r="I11" s="23">
        <f>IF(AND(I$3&gt;=$E11,I$3&lt;=$F11),"■","")</f>
        <v/>
      </c>
      <c r="J11" s="23">
        <f>IF(AND(J$3&gt;=$E11,J$3&lt;=$F11),"■","")</f>
        <v/>
      </c>
      <c r="K11" s="23">
        <f>IF(AND(K$3&gt;=$E11,K$3&lt;=$F11),"■","")</f>
        <v/>
      </c>
      <c r="L11" s="23">
        <f>IF(AND(L$3&gt;=$E11,L$3&lt;=$F11),"■","")</f>
        <v/>
      </c>
      <c r="M11" s="23">
        <f>IF(AND(M$3&gt;=$E11,M$3&lt;=$F11),"■","")</f>
        <v/>
      </c>
      <c r="N11" s="23">
        <f>IF(AND(N$3&gt;=$E11,N$3&lt;=$F11),"■","")</f>
        <v/>
      </c>
      <c r="O11" s="23">
        <f>IF(AND(O$3&gt;=$E11,O$3&lt;=$F11),"■","")</f>
        <v/>
      </c>
      <c r="P11" s="23">
        <f>IF(AND(P$3&gt;=$E11,P$3&lt;=$F11),"■","")</f>
        <v/>
      </c>
      <c r="Q11" s="23">
        <f>IF(AND(Q$3&gt;=$E11,Q$3&lt;=$F11),"■","")</f>
        <v/>
      </c>
      <c r="R11" s="23">
        <f>IF(AND(R$3&gt;=$E11,R$3&lt;=$F11),"■","")</f>
        <v/>
      </c>
      <c r="S11" s="23">
        <f>IF(AND(S$3&gt;=$E11,S$3&lt;=$F11),"■","")</f>
        <v/>
      </c>
      <c r="T11" s="23">
        <f>IF(AND(T$3&gt;=$E11,T$3&lt;=$F11),"■","")</f>
        <v/>
      </c>
      <c r="U11" s="23">
        <f>IF(AND(U$3&gt;=$E11,U$3&lt;=$F11),"■","")</f>
        <v/>
      </c>
      <c r="V11" s="23">
        <f>IF(AND(V$3&gt;=$E11,V$3&lt;=$F11),"■","")</f>
        <v/>
      </c>
      <c r="W11" s="23">
        <f>IF(AND(W$3&gt;=$E11,W$3&lt;=$F11),"■","")</f>
        <v/>
      </c>
      <c r="X11" s="23">
        <f>IF(AND(X$3&gt;=$E11,X$3&lt;=$F11),"■","")</f>
        <v/>
      </c>
      <c r="Y11" s="23">
        <f>IF(AND(Y$3&gt;=$E11,Y$3&lt;=$F11),"■","")</f>
        <v/>
      </c>
      <c r="Z11" s="23">
        <f>IF(AND(Z$3&gt;=$E11,Z$3&lt;=$F11),"■","")</f>
        <v/>
      </c>
      <c r="AA11" s="23">
        <f>IF(AND(AA$3&gt;=$E11,AA$3&lt;=$F11),"■","")</f>
        <v/>
      </c>
      <c r="AB11" s="23">
        <f>IF(AND(AB$3&gt;=$E11,AB$3&lt;=$F11),"■","")</f>
        <v/>
      </c>
      <c r="AC11" s="23">
        <f>IF(AND(AC$3&gt;=$E11,AC$3&lt;=$F11),"■","")</f>
        <v/>
      </c>
      <c r="AD11" s="23">
        <f>IF(AND(AD$3&gt;=$E11,AD$3&lt;=$F11),"■","")</f>
        <v/>
      </c>
      <c r="AE11" s="23">
        <f>IF(AND(AE$3&gt;=$E11,AE$3&lt;=$F11),"■","")</f>
        <v/>
      </c>
      <c r="AF11" s="23">
        <f>IF(AND(AF$3&gt;=$E11,AF$3&lt;=$F11),"■","")</f>
        <v/>
      </c>
      <c r="AG11" s="23">
        <f>IF(AND(AG$3&gt;=$E11,AG$3&lt;=$F11),"■","")</f>
        <v/>
      </c>
      <c r="AH11" s="23">
        <f>IF(AND(AH$3&gt;=$E11,AH$3&lt;=$F11),"■","")</f>
        <v/>
      </c>
      <c r="AI11" s="23">
        <f>IF(AND(AI$3&gt;=$E11,AI$3&lt;=$F11),"■","")</f>
        <v/>
      </c>
      <c r="AJ11" s="23">
        <f>IF(AND(AJ$3&gt;=$E11,AJ$3&lt;=$F11),"■","")</f>
        <v/>
      </c>
      <c r="AK11" s="23">
        <f>IF(AND(AK$3&gt;=$E11,AK$3&lt;=$F11),"■","")</f>
        <v/>
      </c>
      <c r="AL11" s="23">
        <f>IF(AND(AL$3&gt;=$E11,AL$3&lt;=$F11),"■","")</f>
        <v/>
      </c>
      <c r="AM11" s="23">
        <f>IF(AND(AM$3&gt;=$E11,AM$3&lt;=$F11),"■","")</f>
        <v/>
      </c>
    </row>
    <row r="12">
      <c r="A12" s="2">
        <f>IFERROR(INDEX(tblTasks[Task ID],9),"")</f>
        <v/>
      </c>
      <c r="B12" s="2">
        <f>IFERROR(INDEX(tblTasks[Project ID],9),"")</f>
        <v/>
      </c>
      <c r="C12" s="2">
        <f>IFERROR(INDEX(tblTasks[Task Name],9),"")</f>
        <v/>
      </c>
      <c r="D12" s="2">
        <f>IFERROR(INDEX(tblTasks[Assigned User],9),"")</f>
        <v/>
      </c>
      <c r="E12" s="2">
        <f>IFERROR(INDEX(tblTasks[Start Date],9),"")</f>
        <v/>
      </c>
      <c r="F12" s="2">
        <f>IFERROR(INDEX(tblTasks[Due Date],9),"")</f>
        <v/>
      </c>
      <c r="G12" s="2">
        <f>IFERROR(INDEX(tblTasks[Manual Status],9),"")</f>
        <v/>
      </c>
      <c r="H12" s="16">
        <f>IFERROR(INDEX(tblTasks[Progress %],9),"")</f>
        <v/>
      </c>
      <c r="I12" s="23">
        <f>IF(AND(I$3&gt;=$E12,I$3&lt;=$F12),"■","")</f>
        <v/>
      </c>
      <c r="J12" s="23">
        <f>IF(AND(J$3&gt;=$E12,J$3&lt;=$F12),"■","")</f>
        <v/>
      </c>
      <c r="K12" s="23">
        <f>IF(AND(K$3&gt;=$E12,K$3&lt;=$F12),"■","")</f>
        <v/>
      </c>
      <c r="L12" s="23">
        <f>IF(AND(L$3&gt;=$E12,L$3&lt;=$F12),"■","")</f>
        <v/>
      </c>
      <c r="M12" s="23">
        <f>IF(AND(M$3&gt;=$E12,M$3&lt;=$F12),"■","")</f>
        <v/>
      </c>
      <c r="N12" s="23">
        <f>IF(AND(N$3&gt;=$E12,N$3&lt;=$F12),"■","")</f>
        <v/>
      </c>
      <c r="O12" s="23">
        <f>IF(AND(O$3&gt;=$E12,O$3&lt;=$F12),"■","")</f>
        <v/>
      </c>
      <c r="P12" s="23">
        <f>IF(AND(P$3&gt;=$E12,P$3&lt;=$F12),"■","")</f>
        <v/>
      </c>
      <c r="Q12" s="23">
        <f>IF(AND(Q$3&gt;=$E12,Q$3&lt;=$F12),"■","")</f>
        <v/>
      </c>
      <c r="R12" s="23">
        <f>IF(AND(R$3&gt;=$E12,R$3&lt;=$F12),"■","")</f>
        <v/>
      </c>
      <c r="S12" s="23">
        <f>IF(AND(S$3&gt;=$E12,S$3&lt;=$F12),"■","")</f>
        <v/>
      </c>
      <c r="T12" s="23">
        <f>IF(AND(T$3&gt;=$E12,T$3&lt;=$F12),"■","")</f>
        <v/>
      </c>
      <c r="U12" s="23">
        <f>IF(AND(U$3&gt;=$E12,U$3&lt;=$F12),"■","")</f>
        <v/>
      </c>
      <c r="V12" s="23">
        <f>IF(AND(V$3&gt;=$E12,V$3&lt;=$F12),"■","")</f>
        <v/>
      </c>
      <c r="W12" s="23">
        <f>IF(AND(W$3&gt;=$E12,W$3&lt;=$F12),"■","")</f>
        <v/>
      </c>
      <c r="X12" s="23">
        <f>IF(AND(X$3&gt;=$E12,X$3&lt;=$F12),"■","")</f>
        <v/>
      </c>
      <c r="Y12" s="23">
        <f>IF(AND(Y$3&gt;=$E12,Y$3&lt;=$F12),"■","")</f>
        <v/>
      </c>
      <c r="Z12" s="23">
        <f>IF(AND(Z$3&gt;=$E12,Z$3&lt;=$F12),"■","")</f>
        <v/>
      </c>
      <c r="AA12" s="23">
        <f>IF(AND(AA$3&gt;=$E12,AA$3&lt;=$F12),"■","")</f>
        <v/>
      </c>
      <c r="AB12" s="23">
        <f>IF(AND(AB$3&gt;=$E12,AB$3&lt;=$F12),"■","")</f>
        <v/>
      </c>
      <c r="AC12" s="23">
        <f>IF(AND(AC$3&gt;=$E12,AC$3&lt;=$F12),"■","")</f>
        <v/>
      </c>
      <c r="AD12" s="23">
        <f>IF(AND(AD$3&gt;=$E12,AD$3&lt;=$F12),"■","")</f>
        <v/>
      </c>
      <c r="AE12" s="23">
        <f>IF(AND(AE$3&gt;=$E12,AE$3&lt;=$F12),"■","")</f>
        <v/>
      </c>
      <c r="AF12" s="23">
        <f>IF(AND(AF$3&gt;=$E12,AF$3&lt;=$F12),"■","")</f>
        <v/>
      </c>
      <c r="AG12" s="23">
        <f>IF(AND(AG$3&gt;=$E12,AG$3&lt;=$F12),"■","")</f>
        <v/>
      </c>
      <c r="AH12" s="23">
        <f>IF(AND(AH$3&gt;=$E12,AH$3&lt;=$F12),"■","")</f>
        <v/>
      </c>
      <c r="AI12" s="23">
        <f>IF(AND(AI$3&gt;=$E12,AI$3&lt;=$F12),"■","")</f>
        <v/>
      </c>
      <c r="AJ12" s="23">
        <f>IF(AND(AJ$3&gt;=$E12,AJ$3&lt;=$F12),"■","")</f>
        <v/>
      </c>
      <c r="AK12" s="23">
        <f>IF(AND(AK$3&gt;=$E12,AK$3&lt;=$F12),"■","")</f>
        <v/>
      </c>
      <c r="AL12" s="23">
        <f>IF(AND(AL$3&gt;=$E12,AL$3&lt;=$F12),"■","")</f>
        <v/>
      </c>
      <c r="AM12" s="23">
        <f>IF(AND(AM$3&gt;=$E12,AM$3&lt;=$F12),"■","")</f>
        <v/>
      </c>
    </row>
    <row r="13">
      <c r="A13" s="2">
        <f>IFERROR(INDEX(tblTasks[Task ID],10),"")</f>
        <v/>
      </c>
      <c r="B13" s="2">
        <f>IFERROR(INDEX(tblTasks[Project ID],10),"")</f>
        <v/>
      </c>
      <c r="C13" s="2">
        <f>IFERROR(INDEX(tblTasks[Task Name],10),"")</f>
        <v/>
      </c>
      <c r="D13" s="2">
        <f>IFERROR(INDEX(tblTasks[Assigned User],10),"")</f>
        <v/>
      </c>
      <c r="E13" s="2">
        <f>IFERROR(INDEX(tblTasks[Start Date],10),"")</f>
        <v/>
      </c>
      <c r="F13" s="2">
        <f>IFERROR(INDEX(tblTasks[Due Date],10),"")</f>
        <v/>
      </c>
      <c r="G13" s="2">
        <f>IFERROR(INDEX(tblTasks[Manual Status],10),"")</f>
        <v/>
      </c>
      <c r="H13" s="16">
        <f>IFERROR(INDEX(tblTasks[Progress %],10),"")</f>
        <v/>
      </c>
      <c r="I13" s="23">
        <f>IF(AND(I$3&gt;=$E13,I$3&lt;=$F13),"■","")</f>
        <v/>
      </c>
      <c r="J13" s="23">
        <f>IF(AND(J$3&gt;=$E13,J$3&lt;=$F13),"■","")</f>
        <v/>
      </c>
      <c r="K13" s="23">
        <f>IF(AND(K$3&gt;=$E13,K$3&lt;=$F13),"■","")</f>
        <v/>
      </c>
      <c r="L13" s="23">
        <f>IF(AND(L$3&gt;=$E13,L$3&lt;=$F13),"■","")</f>
        <v/>
      </c>
      <c r="M13" s="23">
        <f>IF(AND(M$3&gt;=$E13,M$3&lt;=$F13),"■","")</f>
        <v/>
      </c>
      <c r="N13" s="23">
        <f>IF(AND(N$3&gt;=$E13,N$3&lt;=$F13),"■","")</f>
        <v/>
      </c>
      <c r="O13" s="23">
        <f>IF(AND(O$3&gt;=$E13,O$3&lt;=$F13),"■","")</f>
        <v/>
      </c>
      <c r="P13" s="23">
        <f>IF(AND(P$3&gt;=$E13,P$3&lt;=$F13),"■","")</f>
        <v/>
      </c>
      <c r="Q13" s="23">
        <f>IF(AND(Q$3&gt;=$E13,Q$3&lt;=$F13),"■","")</f>
        <v/>
      </c>
      <c r="R13" s="23">
        <f>IF(AND(R$3&gt;=$E13,R$3&lt;=$F13),"■","")</f>
        <v/>
      </c>
      <c r="S13" s="23">
        <f>IF(AND(S$3&gt;=$E13,S$3&lt;=$F13),"■","")</f>
        <v/>
      </c>
      <c r="T13" s="23">
        <f>IF(AND(T$3&gt;=$E13,T$3&lt;=$F13),"■","")</f>
        <v/>
      </c>
      <c r="U13" s="23">
        <f>IF(AND(U$3&gt;=$E13,U$3&lt;=$F13),"■","")</f>
        <v/>
      </c>
      <c r="V13" s="23">
        <f>IF(AND(V$3&gt;=$E13,V$3&lt;=$F13),"■","")</f>
        <v/>
      </c>
      <c r="W13" s="23">
        <f>IF(AND(W$3&gt;=$E13,W$3&lt;=$F13),"■","")</f>
        <v/>
      </c>
      <c r="X13" s="23">
        <f>IF(AND(X$3&gt;=$E13,X$3&lt;=$F13),"■","")</f>
        <v/>
      </c>
      <c r="Y13" s="23">
        <f>IF(AND(Y$3&gt;=$E13,Y$3&lt;=$F13),"■","")</f>
        <v/>
      </c>
      <c r="Z13" s="23">
        <f>IF(AND(Z$3&gt;=$E13,Z$3&lt;=$F13),"■","")</f>
        <v/>
      </c>
      <c r="AA13" s="23">
        <f>IF(AND(AA$3&gt;=$E13,AA$3&lt;=$F13),"■","")</f>
        <v/>
      </c>
      <c r="AB13" s="23">
        <f>IF(AND(AB$3&gt;=$E13,AB$3&lt;=$F13),"■","")</f>
        <v/>
      </c>
      <c r="AC13" s="23">
        <f>IF(AND(AC$3&gt;=$E13,AC$3&lt;=$F13),"■","")</f>
        <v/>
      </c>
      <c r="AD13" s="23">
        <f>IF(AND(AD$3&gt;=$E13,AD$3&lt;=$F13),"■","")</f>
        <v/>
      </c>
      <c r="AE13" s="23">
        <f>IF(AND(AE$3&gt;=$E13,AE$3&lt;=$F13),"■","")</f>
        <v/>
      </c>
      <c r="AF13" s="23">
        <f>IF(AND(AF$3&gt;=$E13,AF$3&lt;=$F13),"■","")</f>
        <v/>
      </c>
      <c r="AG13" s="23">
        <f>IF(AND(AG$3&gt;=$E13,AG$3&lt;=$F13),"■","")</f>
        <v/>
      </c>
      <c r="AH13" s="23">
        <f>IF(AND(AH$3&gt;=$E13,AH$3&lt;=$F13),"■","")</f>
        <v/>
      </c>
      <c r="AI13" s="23">
        <f>IF(AND(AI$3&gt;=$E13,AI$3&lt;=$F13),"■","")</f>
        <v/>
      </c>
      <c r="AJ13" s="23">
        <f>IF(AND(AJ$3&gt;=$E13,AJ$3&lt;=$F13),"■","")</f>
        <v/>
      </c>
      <c r="AK13" s="23">
        <f>IF(AND(AK$3&gt;=$E13,AK$3&lt;=$F13),"■","")</f>
        <v/>
      </c>
      <c r="AL13" s="23">
        <f>IF(AND(AL$3&gt;=$E13,AL$3&lt;=$F13),"■","")</f>
        <v/>
      </c>
      <c r="AM13" s="23">
        <f>IF(AND(AM$3&gt;=$E13,AM$3&lt;=$F13),"■","")</f>
        <v/>
      </c>
    </row>
    <row r="14">
      <c r="A14" s="2">
        <f>IFERROR(INDEX(tblTasks[Task ID],11),"")</f>
        <v/>
      </c>
      <c r="B14" s="2">
        <f>IFERROR(INDEX(tblTasks[Project ID],11),"")</f>
        <v/>
      </c>
      <c r="C14" s="2">
        <f>IFERROR(INDEX(tblTasks[Task Name],11),"")</f>
        <v/>
      </c>
      <c r="D14" s="2">
        <f>IFERROR(INDEX(tblTasks[Assigned User],11),"")</f>
        <v/>
      </c>
      <c r="E14" s="2">
        <f>IFERROR(INDEX(tblTasks[Start Date],11),"")</f>
        <v/>
      </c>
      <c r="F14" s="2">
        <f>IFERROR(INDEX(tblTasks[Due Date],11),"")</f>
        <v/>
      </c>
      <c r="G14" s="2">
        <f>IFERROR(INDEX(tblTasks[Manual Status],11),"")</f>
        <v/>
      </c>
      <c r="H14" s="16">
        <f>IFERROR(INDEX(tblTasks[Progress %],11),"")</f>
        <v/>
      </c>
      <c r="I14" s="23">
        <f>IF(AND(I$3&gt;=$E14,I$3&lt;=$F14),"■","")</f>
        <v/>
      </c>
      <c r="J14" s="23">
        <f>IF(AND(J$3&gt;=$E14,J$3&lt;=$F14),"■","")</f>
        <v/>
      </c>
      <c r="K14" s="23">
        <f>IF(AND(K$3&gt;=$E14,K$3&lt;=$F14),"■","")</f>
        <v/>
      </c>
      <c r="L14" s="23">
        <f>IF(AND(L$3&gt;=$E14,L$3&lt;=$F14),"■","")</f>
        <v/>
      </c>
      <c r="M14" s="23">
        <f>IF(AND(M$3&gt;=$E14,M$3&lt;=$F14),"■","")</f>
        <v/>
      </c>
      <c r="N14" s="23">
        <f>IF(AND(N$3&gt;=$E14,N$3&lt;=$F14),"■","")</f>
        <v/>
      </c>
      <c r="O14" s="23">
        <f>IF(AND(O$3&gt;=$E14,O$3&lt;=$F14),"■","")</f>
        <v/>
      </c>
      <c r="P14" s="23">
        <f>IF(AND(P$3&gt;=$E14,P$3&lt;=$F14),"■","")</f>
        <v/>
      </c>
      <c r="Q14" s="23">
        <f>IF(AND(Q$3&gt;=$E14,Q$3&lt;=$F14),"■","")</f>
        <v/>
      </c>
      <c r="R14" s="23">
        <f>IF(AND(R$3&gt;=$E14,R$3&lt;=$F14),"■","")</f>
        <v/>
      </c>
      <c r="S14" s="23">
        <f>IF(AND(S$3&gt;=$E14,S$3&lt;=$F14),"■","")</f>
        <v/>
      </c>
      <c r="T14" s="23">
        <f>IF(AND(T$3&gt;=$E14,T$3&lt;=$F14),"■","")</f>
        <v/>
      </c>
      <c r="U14" s="23">
        <f>IF(AND(U$3&gt;=$E14,U$3&lt;=$F14),"■","")</f>
        <v/>
      </c>
      <c r="V14" s="23">
        <f>IF(AND(V$3&gt;=$E14,V$3&lt;=$F14),"■","")</f>
        <v/>
      </c>
      <c r="W14" s="23">
        <f>IF(AND(W$3&gt;=$E14,W$3&lt;=$F14),"■","")</f>
        <v/>
      </c>
      <c r="X14" s="23">
        <f>IF(AND(X$3&gt;=$E14,X$3&lt;=$F14),"■","")</f>
        <v/>
      </c>
      <c r="Y14" s="23">
        <f>IF(AND(Y$3&gt;=$E14,Y$3&lt;=$F14),"■","")</f>
        <v/>
      </c>
      <c r="Z14" s="23">
        <f>IF(AND(Z$3&gt;=$E14,Z$3&lt;=$F14),"■","")</f>
        <v/>
      </c>
      <c r="AA14" s="23">
        <f>IF(AND(AA$3&gt;=$E14,AA$3&lt;=$F14),"■","")</f>
        <v/>
      </c>
      <c r="AB14" s="23">
        <f>IF(AND(AB$3&gt;=$E14,AB$3&lt;=$F14),"■","")</f>
        <v/>
      </c>
      <c r="AC14" s="23">
        <f>IF(AND(AC$3&gt;=$E14,AC$3&lt;=$F14),"■","")</f>
        <v/>
      </c>
      <c r="AD14" s="23">
        <f>IF(AND(AD$3&gt;=$E14,AD$3&lt;=$F14),"■","")</f>
        <v/>
      </c>
      <c r="AE14" s="23">
        <f>IF(AND(AE$3&gt;=$E14,AE$3&lt;=$F14),"■","")</f>
        <v/>
      </c>
      <c r="AF14" s="23">
        <f>IF(AND(AF$3&gt;=$E14,AF$3&lt;=$F14),"■","")</f>
        <v/>
      </c>
      <c r="AG14" s="23">
        <f>IF(AND(AG$3&gt;=$E14,AG$3&lt;=$F14),"■","")</f>
        <v/>
      </c>
      <c r="AH14" s="23">
        <f>IF(AND(AH$3&gt;=$E14,AH$3&lt;=$F14),"■","")</f>
        <v/>
      </c>
      <c r="AI14" s="23">
        <f>IF(AND(AI$3&gt;=$E14,AI$3&lt;=$F14),"■","")</f>
        <v/>
      </c>
      <c r="AJ14" s="23">
        <f>IF(AND(AJ$3&gt;=$E14,AJ$3&lt;=$F14),"■","")</f>
        <v/>
      </c>
      <c r="AK14" s="23">
        <f>IF(AND(AK$3&gt;=$E14,AK$3&lt;=$F14),"■","")</f>
        <v/>
      </c>
      <c r="AL14" s="23">
        <f>IF(AND(AL$3&gt;=$E14,AL$3&lt;=$F14),"■","")</f>
        <v/>
      </c>
      <c r="AM14" s="23">
        <f>IF(AND(AM$3&gt;=$E14,AM$3&lt;=$F14),"■","")</f>
        <v/>
      </c>
    </row>
    <row r="15">
      <c r="A15" s="2">
        <f>IFERROR(INDEX(tblTasks[Task ID],12),"")</f>
        <v/>
      </c>
      <c r="B15" s="2">
        <f>IFERROR(INDEX(tblTasks[Project ID],12),"")</f>
        <v/>
      </c>
      <c r="C15" s="2">
        <f>IFERROR(INDEX(tblTasks[Task Name],12),"")</f>
        <v/>
      </c>
      <c r="D15" s="2">
        <f>IFERROR(INDEX(tblTasks[Assigned User],12),"")</f>
        <v/>
      </c>
      <c r="E15" s="2">
        <f>IFERROR(INDEX(tblTasks[Start Date],12),"")</f>
        <v/>
      </c>
      <c r="F15" s="2">
        <f>IFERROR(INDEX(tblTasks[Due Date],12),"")</f>
        <v/>
      </c>
      <c r="G15" s="2">
        <f>IFERROR(INDEX(tblTasks[Manual Status],12),"")</f>
        <v/>
      </c>
      <c r="H15" s="16">
        <f>IFERROR(INDEX(tblTasks[Progress %],12),"")</f>
        <v/>
      </c>
      <c r="I15" s="23">
        <f>IF(AND(I$3&gt;=$E15,I$3&lt;=$F15),"■","")</f>
        <v/>
      </c>
      <c r="J15" s="23">
        <f>IF(AND(J$3&gt;=$E15,J$3&lt;=$F15),"■","")</f>
        <v/>
      </c>
      <c r="K15" s="23">
        <f>IF(AND(K$3&gt;=$E15,K$3&lt;=$F15),"■","")</f>
        <v/>
      </c>
      <c r="L15" s="23">
        <f>IF(AND(L$3&gt;=$E15,L$3&lt;=$F15),"■","")</f>
        <v/>
      </c>
      <c r="M15" s="23">
        <f>IF(AND(M$3&gt;=$E15,M$3&lt;=$F15),"■","")</f>
        <v/>
      </c>
      <c r="N15" s="23">
        <f>IF(AND(N$3&gt;=$E15,N$3&lt;=$F15),"■","")</f>
        <v/>
      </c>
      <c r="O15" s="23">
        <f>IF(AND(O$3&gt;=$E15,O$3&lt;=$F15),"■","")</f>
        <v/>
      </c>
      <c r="P15" s="23">
        <f>IF(AND(P$3&gt;=$E15,P$3&lt;=$F15),"■","")</f>
        <v/>
      </c>
      <c r="Q15" s="23">
        <f>IF(AND(Q$3&gt;=$E15,Q$3&lt;=$F15),"■","")</f>
        <v/>
      </c>
      <c r="R15" s="23">
        <f>IF(AND(R$3&gt;=$E15,R$3&lt;=$F15),"■","")</f>
        <v/>
      </c>
      <c r="S15" s="23">
        <f>IF(AND(S$3&gt;=$E15,S$3&lt;=$F15),"■","")</f>
        <v/>
      </c>
      <c r="T15" s="23">
        <f>IF(AND(T$3&gt;=$E15,T$3&lt;=$F15),"■","")</f>
        <v/>
      </c>
      <c r="U15" s="23">
        <f>IF(AND(U$3&gt;=$E15,U$3&lt;=$F15),"■","")</f>
        <v/>
      </c>
      <c r="V15" s="23">
        <f>IF(AND(V$3&gt;=$E15,V$3&lt;=$F15),"■","")</f>
        <v/>
      </c>
      <c r="W15" s="23">
        <f>IF(AND(W$3&gt;=$E15,W$3&lt;=$F15),"■","")</f>
        <v/>
      </c>
      <c r="X15" s="23">
        <f>IF(AND(X$3&gt;=$E15,X$3&lt;=$F15),"■","")</f>
        <v/>
      </c>
      <c r="Y15" s="23">
        <f>IF(AND(Y$3&gt;=$E15,Y$3&lt;=$F15),"■","")</f>
        <v/>
      </c>
      <c r="Z15" s="23">
        <f>IF(AND(Z$3&gt;=$E15,Z$3&lt;=$F15),"■","")</f>
        <v/>
      </c>
      <c r="AA15" s="23">
        <f>IF(AND(AA$3&gt;=$E15,AA$3&lt;=$F15),"■","")</f>
        <v/>
      </c>
      <c r="AB15" s="23">
        <f>IF(AND(AB$3&gt;=$E15,AB$3&lt;=$F15),"■","")</f>
        <v/>
      </c>
      <c r="AC15" s="23">
        <f>IF(AND(AC$3&gt;=$E15,AC$3&lt;=$F15),"■","")</f>
        <v/>
      </c>
      <c r="AD15" s="23">
        <f>IF(AND(AD$3&gt;=$E15,AD$3&lt;=$F15),"■","")</f>
        <v/>
      </c>
      <c r="AE15" s="23">
        <f>IF(AND(AE$3&gt;=$E15,AE$3&lt;=$F15),"■","")</f>
        <v/>
      </c>
      <c r="AF15" s="23">
        <f>IF(AND(AF$3&gt;=$E15,AF$3&lt;=$F15),"■","")</f>
        <v/>
      </c>
      <c r="AG15" s="23">
        <f>IF(AND(AG$3&gt;=$E15,AG$3&lt;=$F15),"■","")</f>
        <v/>
      </c>
      <c r="AH15" s="23">
        <f>IF(AND(AH$3&gt;=$E15,AH$3&lt;=$F15),"■","")</f>
        <v/>
      </c>
      <c r="AI15" s="23">
        <f>IF(AND(AI$3&gt;=$E15,AI$3&lt;=$F15),"■","")</f>
        <v/>
      </c>
      <c r="AJ15" s="23">
        <f>IF(AND(AJ$3&gt;=$E15,AJ$3&lt;=$F15),"■","")</f>
        <v/>
      </c>
      <c r="AK15" s="23">
        <f>IF(AND(AK$3&gt;=$E15,AK$3&lt;=$F15),"■","")</f>
        <v/>
      </c>
      <c r="AL15" s="23">
        <f>IF(AND(AL$3&gt;=$E15,AL$3&lt;=$F15),"■","")</f>
        <v/>
      </c>
      <c r="AM15" s="23">
        <f>IF(AND(AM$3&gt;=$E15,AM$3&lt;=$F15),"■","")</f>
        <v/>
      </c>
    </row>
    <row r="16">
      <c r="A16" s="2">
        <f>IFERROR(INDEX(tblTasks[Task ID],13),"")</f>
        <v/>
      </c>
      <c r="B16" s="2">
        <f>IFERROR(INDEX(tblTasks[Project ID],13),"")</f>
        <v/>
      </c>
      <c r="C16" s="2">
        <f>IFERROR(INDEX(tblTasks[Task Name],13),"")</f>
        <v/>
      </c>
      <c r="D16" s="2">
        <f>IFERROR(INDEX(tblTasks[Assigned User],13),"")</f>
        <v/>
      </c>
      <c r="E16" s="2">
        <f>IFERROR(INDEX(tblTasks[Start Date],13),"")</f>
        <v/>
      </c>
      <c r="F16" s="2">
        <f>IFERROR(INDEX(tblTasks[Due Date],13),"")</f>
        <v/>
      </c>
      <c r="G16" s="2">
        <f>IFERROR(INDEX(tblTasks[Manual Status],13),"")</f>
        <v/>
      </c>
      <c r="H16" s="16">
        <f>IFERROR(INDEX(tblTasks[Progress %],13),"")</f>
        <v/>
      </c>
      <c r="I16" s="23">
        <f>IF(AND(I$3&gt;=$E16,I$3&lt;=$F16),"■","")</f>
        <v/>
      </c>
      <c r="J16" s="23">
        <f>IF(AND(J$3&gt;=$E16,J$3&lt;=$F16),"■","")</f>
        <v/>
      </c>
      <c r="K16" s="23">
        <f>IF(AND(K$3&gt;=$E16,K$3&lt;=$F16),"■","")</f>
        <v/>
      </c>
      <c r="L16" s="23">
        <f>IF(AND(L$3&gt;=$E16,L$3&lt;=$F16),"■","")</f>
        <v/>
      </c>
      <c r="M16" s="23">
        <f>IF(AND(M$3&gt;=$E16,M$3&lt;=$F16),"■","")</f>
        <v/>
      </c>
      <c r="N16" s="23">
        <f>IF(AND(N$3&gt;=$E16,N$3&lt;=$F16),"■","")</f>
        <v/>
      </c>
      <c r="O16" s="23">
        <f>IF(AND(O$3&gt;=$E16,O$3&lt;=$F16),"■","")</f>
        <v/>
      </c>
      <c r="P16" s="23">
        <f>IF(AND(P$3&gt;=$E16,P$3&lt;=$F16),"■","")</f>
        <v/>
      </c>
      <c r="Q16" s="23">
        <f>IF(AND(Q$3&gt;=$E16,Q$3&lt;=$F16),"■","")</f>
        <v/>
      </c>
      <c r="R16" s="23">
        <f>IF(AND(R$3&gt;=$E16,R$3&lt;=$F16),"■","")</f>
        <v/>
      </c>
      <c r="S16" s="23">
        <f>IF(AND(S$3&gt;=$E16,S$3&lt;=$F16),"■","")</f>
        <v/>
      </c>
      <c r="T16" s="23">
        <f>IF(AND(T$3&gt;=$E16,T$3&lt;=$F16),"■","")</f>
        <v/>
      </c>
      <c r="U16" s="23">
        <f>IF(AND(U$3&gt;=$E16,U$3&lt;=$F16),"■","")</f>
        <v/>
      </c>
      <c r="V16" s="23">
        <f>IF(AND(V$3&gt;=$E16,V$3&lt;=$F16),"■","")</f>
        <v/>
      </c>
      <c r="W16" s="23">
        <f>IF(AND(W$3&gt;=$E16,W$3&lt;=$F16),"■","")</f>
        <v/>
      </c>
      <c r="X16" s="23">
        <f>IF(AND(X$3&gt;=$E16,X$3&lt;=$F16),"■","")</f>
        <v/>
      </c>
      <c r="Y16" s="23">
        <f>IF(AND(Y$3&gt;=$E16,Y$3&lt;=$F16),"■","")</f>
        <v/>
      </c>
      <c r="Z16" s="23">
        <f>IF(AND(Z$3&gt;=$E16,Z$3&lt;=$F16),"■","")</f>
        <v/>
      </c>
      <c r="AA16" s="23">
        <f>IF(AND(AA$3&gt;=$E16,AA$3&lt;=$F16),"■","")</f>
        <v/>
      </c>
      <c r="AB16" s="23">
        <f>IF(AND(AB$3&gt;=$E16,AB$3&lt;=$F16),"■","")</f>
        <v/>
      </c>
      <c r="AC16" s="23">
        <f>IF(AND(AC$3&gt;=$E16,AC$3&lt;=$F16),"■","")</f>
        <v/>
      </c>
      <c r="AD16" s="23">
        <f>IF(AND(AD$3&gt;=$E16,AD$3&lt;=$F16),"■","")</f>
        <v/>
      </c>
      <c r="AE16" s="23">
        <f>IF(AND(AE$3&gt;=$E16,AE$3&lt;=$F16),"■","")</f>
        <v/>
      </c>
      <c r="AF16" s="23">
        <f>IF(AND(AF$3&gt;=$E16,AF$3&lt;=$F16),"■","")</f>
        <v/>
      </c>
      <c r="AG16" s="23">
        <f>IF(AND(AG$3&gt;=$E16,AG$3&lt;=$F16),"■","")</f>
        <v/>
      </c>
      <c r="AH16" s="23">
        <f>IF(AND(AH$3&gt;=$E16,AH$3&lt;=$F16),"■","")</f>
        <v/>
      </c>
      <c r="AI16" s="23">
        <f>IF(AND(AI$3&gt;=$E16,AI$3&lt;=$F16),"■","")</f>
        <v/>
      </c>
      <c r="AJ16" s="23">
        <f>IF(AND(AJ$3&gt;=$E16,AJ$3&lt;=$F16),"■","")</f>
        <v/>
      </c>
      <c r="AK16" s="23">
        <f>IF(AND(AK$3&gt;=$E16,AK$3&lt;=$F16),"■","")</f>
        <v/>
      </c>
      <c r="AL16" s="23">
        <f>IF(AND(AL$3&gt;=$E16,AL$3&lt;=$F16),"■","")</f>
        <v/>
      </c>
      <c r="AM16" s="23">
        <f>IF(AND(AM$3&gt;=$E16,AM$3&lt;=$F16),"■","")</f>
        <v/>
      </c>
    </row>
    <row r="17">
      <c r="A17" s="2">
        <f>IFERROR(INDEX(tblTasks[Task ID],14),"")</f>
        <v/>
      </c>
      <c r="B17" s="2">
        <f>IFERROR(INDEX(tblTasks[Project ID],14),"")</f>
        <v/>
      </c>
      <c r="C17" s="2">
        <f>IFERROR(INDEX(tblTasks[Task Name],14),"")</f>
        <v/>
      </c>
      <c r="D17" s="2">
        <f>IFERROR(INDEX(tblTasks[Assigned User],14),"")</f>
        <v/>
      </c>
      <c r="E17" s="2">
        <f>IFERROR(INDEX(tblTasks[Start Date],14),"")</f>
        <v/>
      </c>
      <c r="F17" s="2">
        <f>IFERROR(INDEX(tblTasks[Due Date],14),"")</f>
        <v/>
      </c>
      <c r="G17" s="2">
        <f>IFERROR(INDEX(tblTasks[Manual Status],14),"")</f>
        <v/>
      </c>
      <c r="H17" s="16">
        <f>IFERROR(INDEX(tblTasks[Progress %],14),"")</f>
        <v/>
      </c>
      <c r="I17" s="23">
        <f>IF(AND(I$3&gt;=$E17,I$3&lt;=$F17),"■","")</f>
        <v/>
      </c>
      <c r="J17" s="23">
        <f>IF(AND(J$3&gt;=$E17,J$3&lt;=$F17),"■","")</f>
        <v/>
      </c>
      <c r="K17" s="23">
        <f>IF(AND(K$3&gt;=$E17,K$3&lt;=$F17),"■","")</f>
        <v/>
      </c>
      <c r="L17" s="23">
        <f>IF(AND(L$3&gt;=$E17,L$3&lt;=$F17),"■","")</f>
        <v/>
      </c>
      <c r="M17" s="23">
        <f>IF(AND(M$3&gt;=$E17,M$3&lt;=$F17),"■","")</f>
        <v/>
      </c>
      <c r="N17" s="23">
        <f>IF(AND(N$3&gt;=$E17,N$3&lt;=$F17),"■","")</f>
        <v/>
      </c>
      <c r="O17" s="23">
        <f>IF(AND(O$3&gt;=$E17,O$3&lt;=$F17),"■","")</f>
        <v/>
      </c>
      <c r="P17" s="23">
        <f>IF(AND(P$3&gt;=$E17,P$3&lt;=$F17),"■","")</f>
        <v/>
      </c>
      <c r="Q17" s="23">
        <f>IF(AND(Q$3&gt;=$E17,Q$3&lt;=$F17),"■","")</f>
        <v/>
      </c>
      <c r="R17" s="23">
        <f>IF(AND(R$3&gt;=$E17,R$3&lt;=$F17),"■","")</f>
        <v/>
      </c>
      <c r="S17" s="23">
        <f>IF(AND(S$3&gt;=$E17,S$3&lt;=$F17),"■","")</f>
        <v/>
      </c>
      <c r="T17" s="23">
        <f>IF(AND(T$3&gt;=$E17,T$3&lt;=$F17),"■","")</f>
        <v/>
      </c>
      <c r="U17" s="23">
        <f>IF(AND(U$3&gt;=$E17,U$3&lt;=$F17),"■","")</f>
        <v/>
      </c>
      <c r="V17" s="23">
        <f>IF(AND(V$3&gt;=$E17,V$3&lt;=$F17),"■","")</f>
        <v/>
      </c>
      <c r="W17" s="23">
        <f>IF(AND(W$3&gt;=$E17,W$3&lt;=$F17),"■","")</f>
        <v/>
      </c>
      <c r="X17" s="23">
        <f>IF(AND(X$3&gt;=$E17,X$3&lt;=$F17),"■","")</f>
        <v/>
      </c>
      <c r="Y17" s="23">
        <f>IF(AND(Y$3&gt;=$E17,Y$3&lt;=$F17),"■","")</f>
        <v/>
      </c>
      <c r="Z17" s="23">
        <f>IF(AND(Z$3&gt;=$E17,Z$3&lt;=$F17),"■","")</f>
        <v/>
      </c>
      <c r="AA17" s="23">
        <f>IF(AND(AA$3&gt;=$E17,AA$3&lt;=$F17),"■","")</f>
        <v/>
      </c>
      <c r="AB17" s="23">
        <f>IF(AND(AB$3&gt;=$E17,AB$3&lt;=$F17),"■","")</f>
        <v/>
      </c>
      <c r="AC17" s="23">
        <f>IF(AND(AC$3&gt;=$E17,AC$3&lt;=$F17),"■","")</f>
        <v/>
      </c>
      <c r="AD17" s="23">
        <f>IF(AND(AD$3&gt;=$E17,AD$3&lt;=$F17),"■","")</f>
        <v/>
      </c>
      <c r="AE17" s="23">
        <f>IF(AND(AE$3&gt;=$E17,AE$3&lt;=$F17),"■","")</f>
        <v/>
      </c>
      <c r="AF17" s="23">
        <f>IF(AND(AF$3&gt;=$E17,AF$3&lt;=$F17),"■","")</f>
        <v/>
      </c>
      <c r="AG17" s="23">
        <f>IF(AND(AG$3&gt;=$E17,AG$3&lt;=$F17),"■","")</f>
        <v/>
      </c>
      <c r="AH17" s="23">
        <f>IF(AND(AH$3&gt;=$E17,AH$3&lt;=$F17),"■","")</f>
        <v/>
      </c>
      <c r="AI17" s="23">
        <f>IF(AND(AI$3&gt;=$E17,AI$3&lt;=$F17),"■","")</f>
        <v/>
      </c>
      <c r="AJ17" s="23">
        <f>IF(AND(AJ$3&gt;=$E17,AJ$3&lt;=$F17),"■","")</f>
        <v/>
      </c>
      <c r="AK17" s="23">
        <f>IF(AND(AK$3&gt;=$E17,AK$3&lt;=$F17),"■","")</f>
        <v/>
      </c>
      <c r="AL17" s="23">
        <f>IF(AND(AL$3&gt;=$E17,AL$3&lt;=$F17),"■","")</f>
        <v/>
      </c>
      <c r="AM17" s="23">
        <f>IF(AND(AM$3&gt;=$E17,AM$3&lt;=$F17),"■","")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0" customHeight="1">
      <c r="A1" s="13" t="inlineStr">
        <is>
          <t>How To Use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Operating notes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8" t="inlineStr">
        <is>
          <t>1</t>
        </is>
      </c>
      <c r="B4" s="2" t="inlineStr">
        <is>
          <t>Add dropdown values in Master_Management first if your company needs custom lists.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8" t="inlineStr">
        <is>
          <t>2</t>
        </is>
      </c>
      <c r="B5" s="2" t="inlineStr">
        <is>
          <t>Add or update users in Users. Use User ID values when assigning projects/tasks.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3</t>
        </is>
      </c>
      <c r="B6" s="2" t="inlineStr">
        <is>
          <t>Create projects in Projects, then add tasks and subtasks using Project ID and Task ID dropdowns.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8" t="inlineStr">
        <is>
          <t>4</t>
        </is>
      </c>
      <c r="B7" s="2" t="inlineStr">
        <is>
          <t>Use Manual Status for human tracking. Auto Health calculates schedule risk without overwriting manual status.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8" t="inlineStr">
        <is>
          <t>5</t>
        </is>
      </c>
      <c r="B8" s="2" t="inlineStr">
        <is>
          <t>Dashboard, Reports, and Timeline update from the source tables. In Excel, formulas recalculate automatically.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8" t="inlineStr">
        <is>
          <t>6</t>
        </is>
      </c>
      <c r="B9" s="2" t="inlineStr">
        <is>
          <t>Expand any table by typing in the first blank row below it; formulas and dropdowns can be copied down as needed.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2026-06-09T06:14:30Z</dcterms:created>
  <dcterms:modified xmlns:dcterms="http://purl.org/dc/terms/" xmlns:xsi="http://www.w3.org/2001/XMLSchema-instance" xsi:type="dcterms:W3CDTF">2026-06-09T06:14:31Z</dcterms:modified>
</cp:coreProperties>
</file>