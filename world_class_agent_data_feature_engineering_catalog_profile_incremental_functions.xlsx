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Feature Expressions" sheetId="1" state="visible" r:id="rId1"/>
  </sheets>
  <definedNames>
    <definedName name="_xlnm._FilterDatabase" localSheetId="0" hidden="1">'Unified Feature Expressions'!$A$1:$I$54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D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1" fillId="2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40" customWidth="1" min="4" max="4"/>
    <col width="72" customWidth="1" min="5" max="5"/>
    <col width="22" customWidth="1" min="6" max="6"/>
    <col width="58" customWidth="1" min="7" max="7"/>
    <col width="42" customWidth="1" min="8" max="8"/>
    <col width="44" customWidth="1" min="9" max="9"/>
  </cols>
  <sheetData>
    <row r="1">
      <c r="A1" s="7" t="inlineStr">
        <is>
          <t>Section</t>
        </is>
      </c>
      <c r="B1" s="7" t="inlineStr">
        <is>
          <t>Feature / Alias Name</t>
        </is>
      </c>
      <c r="C1" s="7" t="inlineStr">
        <is>
          <t>Category</t>
        </is>
      </c>
      <c r="D1" s="7" t="inlineStr">
        <is>
          <t>Description</t>
        </is>
      </c>
      <c r="E1" s="7" t="inlineStr">
        <is>
          <t>Expression (Uniform)</t>
        </is>
      </c>
      <c r="F1" s="7" t="inlineStr">
        <is>
          <t>Function</t>
        </is>
      </c>
      <c r="G1" s="7" t="inlineStr">
        <is>
          <t>Generic Unique Incremental Function (3-4 Params)</t>
        </is>
      </c>
      <c r="H1" s="7" t="inlineStr">
        <is>
          <t>Expected Output</t>
        </is>
      </c>
      <c r="I1" s="7" t="inlineStr">
        <is>
          <t>Notes</t>
        </is>
      </c>
    </row>
    <row r="2">
      <c r="A2" t="inlineStr">
        <is>
          <t>INPUT_ALIAS</t>
        </is>
      </c>
      <c r="B2" t="inlineStr">
        <is>
          <t>txn_id</t>
        </is>
      </c>
      <c r="C2" t="inlineStr">
        <is>
          <t>Input Mapping</t>
        </is>
      </c>
      <c r="D2" s="3" t="inlineStr">
        <is>
          <t>Base alias used by feature expressions</t>
        </is>
      </c>
      <c r="E2" s="3">
        <f>field('TRANSACTIONID')</f>
        <v/>
      </c>
      <c r="F2" t="inlineStr">
        <is>
          <t>field/num/str/upper helper</t>
        </is>
      </c>
      <c r="G2" t="inlineStr"/>
      <c r="H2" t="inlineStr">
        <is>
          <t>scalar (derived input alias)</t>
        </is>
      </c>
      <c r="I2" s="3" t="inlineStr">
        <is>
          <t>Recommended to define once and reuse</t>
        </is>
      </c>
    </row>
    <row r="3">
      <c r="A3" t="inlineStr">
        <is>
          <t>INPUT_ALIAS</t>
        </is>
      </c>
      <c r="B3" t="inlineStr">
        <is>
          <t>txn_time</t>
        </is>
      </c>
      <c r="C3" t="inlineStr">
        <is>
          <t>Input Mapping</t>
        </is>
      </c>
      <c r="D3" s="3" t="inlineStr">
        <is>
          <t>Base alias used by feature expressions</t>
        </is>
      </c>
      <c r="E3" s="3">
        <f>field('MIS_TXNDATE')</f>
        <v/>
      </c>
      <c r="F3" t="inlineStr">
        <is>
          <t>field/num/str/upper helper</t>
        </is>
      </c>
      <c r="G3" t="inlineStr"/>
      <c r="H3" t="inlineStr">
        <is>
          <t>scalar (derived input alias)</t>
        </is>
      </c>
      <c r="I3" s="3" t="inlineStr">
        <is>
          <t>Recommended to define once and reuse</t>
        </is>
      </c>
    </row>
    <row r="4">
      <c r="A4" t="inlineStr">
        <is>
          <t>INPUT_ALIAS</t>
        </is>
      </c>
      <c r="B4" t="inlineStr">
        <is>
          <t>amount</t>
        </is>
      </c>
      <c r="C4" t="inlineStr">
        <is>
          <t>Input Mapping</t>
        </is>
      </c>
      <c r="D4" s="3" t="inlineStr">
        <is>
          <t>Base alias used by feature expressions</t>
        </is>
      </c>
      <c r="E4" s="3">
        <f>num(field('AMOUNT'),0)</f>
        <v/>
      </c>
      <c r="F4" t="inlineStr">
        <is>
          <t>field/num/str/upper helper</t>
        </is>
      </c>
      <c r="G4" t="inlineStr"/>
      <c r="H4" t="inlineStr">
        <is>
          <t>scalar (derived input alias)</t>
        </is>
      </c>
      <c r="I4" s="3" t="inlineStr">
        <is>
          <t>Recommended to define once and reuse</t>
        </is>
      </c>
    </row>
    <row r="5">
      <c r="A5" t="inlineStr">
        <is>
          <t>INPUT_ALIAS</t>
        </is>
      </c>
      <c r="B5" t="inlineStr">
        <is>
          <t>customer</t>
        </is>
      </c>
      <c r="C5" t="inlineStr">
        <is>
          <t>Input Mapping</t>
        </is>
      </c>
      <c r="D5" s="3" t="inlineStr">
        <is>
          <t>Base alias used by feature expressions</t>
        </is>
      </c>
      <c r="E5" s="3">
        <f>field('CUSTACCOUNTNUMBER')</f>
        <v/>
      </c>
      <c r="F5" t="inlineStr">
        <is>
          <t>field/num/str/upper helper</t>
        </is>
      </c>
      <c r="G5" t="inlineStr"/>
      <c r="H5" t="inlineStr">
        <is>
          <t>scalar (derived input alias)</t>
        </is>
      </c>
      <c r="I5" s="3" t="inlineStr">
        <is>
          <t>Recommended to define once and reuse</t>
        </is>
      </c>
    </row>
    <row r="6">
      <c r="A6" t="inlineStr">
        <is>
          <t>INPUT_ALIAS</t>
        </is>
      </c>
      <c r="B6" t="inlineStr">
        <is>
          <t>service</t>
        </is>
      </c>
      <c r="C6" t="inlineStr">
        <is>
          <t>Input Mapping</t>
        </is>
      </c>
      <c r="D6" s="3" t="inlineStr">
        <is>
          <t>Base alias used by feature expressions</t>
        </is>
      </c>
      <c r="E6" s="3">
        <f>field('SERVICENAME')</f>
        <v/>
      </c>
      <c r="F6" t="inlineStr">
        <is>
          <t>field/num/str/upper helper</t>
        </is>
      </c>
      <c r="G6" t="inlineStr"/>
      <c r="H6" t="inlineStr">
        <is>
          <t>scalar (derived input alias)</t>
        </is>
      </c>
      <c r="I6" s="3" t="inlineStr">
        <is>
          <t>Recommended to define once and reuse</t>
        </is>
      </c>
    </row>
    <row r="7">
      <c r="A7" t="inlineStr">
        <is>
          <t>INPUT_ALIAS</t>
        </is>
      </c>
      <c r="B7" t="inlineStr">
        <is>
          <t>status</t>
        </is>
      </c>
      <c r="C7" t="inlineStr">
        <is>
          <t>Input Mapping</t>
        </is>
      </c>
      <c r="D7" s="3" t="inlineStr">
        <is>
          <t>Base alias used by feature expressions</t>
        </is>
      </c>
      <c r="E7" s="3">
        <f>upper(str(field('TXN_STATUS')))</f>
        <v/>
      </c>
      <c r="F7" t="inlineStr">
        <is>
          <t>field/num/str/upper helper</t>
        </is>
      </c>
      <c r="G7" t="inlineStr"/>
      <c r="H7" t="inlineStr">
        <is>
          <t>scalar (derived input alias)</t>
        </is>
      </c>
      <c r="I7" s="3" t="inlineStr">
        <is>
          <t>Recommended to define once and reuse</t>
        </is>
      </c>
    </row>
    <row r="8">
      <c r="A8" t="inlineStr">
        <is>
          <t>INPUT_ALIAS</t>
        </is>
      </c>
      <c r="B8" t="inlineStr">
        <is>
          <t>hour</t>
        </is>
      </c>
      <c r="C8" t="inlineStr">
        <is>
          <t>Input Mapping</t>
        </is>
      </c>
      <c r="D8" s="3" t="inlineStr">
        <is>
          <t>Base alias used by feature expressions</t>
        </is>
      </c>
      <c r="E8" s="3">
        <f>field('TXN_HOUR')</f>
        <v/>
      </c>
      <c r="F8" t="inlineStr">
        <is>
          <t>field/num/str/upper helper</t>
        </is>
      </c>
      <c r="G8" t="inlineStr"/>
      <c r="H8" t="inlineStr">
        <is>
          <t>scalar (derived input alias)</t>
        </is>
      </c>
      <c r="I8" s="3" t="inlineStr">
        <is>
          <t>Recommended to define once and reuse</t>
        </is>
      </c>
    </row>
    <row r="9">
      <c r="A9" t="inlineStr">
        <is>
          <t>INPUT_ALIAS</t>
        </is>
      </c>
      <c r="B9" t="inlineStr">
        <is>
          <t>slot</t>
        </is>
      </c>
      <c r="C9" t="inlineStr">
        <is>
          <t>Input Mapping</t>
        </is>
      </c>
      <c r="D9" s="3" t="inlineStr">
        <is>
          <t>Base alias used by feature expressions</t>
        </is>
      </c>
      <c r="E9" s="3">
        <f>field('TXN_SLOT')</f>
        <v/>
      </c>
      <c r="F9" t="inlineStr">
        <is>
          <t>field/num/str/upper helper</t>
        </is>
      </c>
      <c r="G9" t="inlineStr"/>
      <c r="H9" t="inlineStr">
        <is>
          <t>scalar (derived input alias)</t>
        </is>
      </c>
      <c r="I9" s="3" t="inlineStr">
        <is>
          <t>Recommended to define once and reuse</t>
        </is>
      </c>
    </row>
    <row r="10">
      <c r="A10" t="inlineStr">
        <is>
          <t>INPUT_ALIAS</t>
        </is>
      </c>
      <c r="B10" t="inlineStr">
        <is>
          <t>day</t>
        </is>
      </c>
      <c r="C10" t="inlineStr">
        <is>
          <t>Input Mapping</t>
        </is>
      </c>
      <c r="D10" s="3" t="inlineStr">
        <is>
          <t>Base alias used by feature expressions</t>
        </is>
      </c>
      <c r="E10" s="3">
        <f>field('TXNDATE')</f>
        <v/>
      </c>
      <c r="F10" t="inlineStr">
        <is>
          <t>field/num/str/upper helper</t>
        </is>
      </c>
      <c r="G10" t="inlineStr"/>
      <c r="H10" t="inlineStr">
        <is>
          <t>scalar (derived input alias)</t>
        </is>
      </c>
      <c r="I10" s="3" t="inlineStr">
        <is>
          <t>Recommended to define once and reuse</t>
        </is>
      </c>
    </row>
    <row r="11">
      <c r="A11" t="inlineStr">
        <is>
          <t>FEATURE</t>
        </is>
      </c>
      <c r="B11" t="inlineStr">
        <is>
          <t>total_txn_count</t>
        </is>
      </c>
      <c r="C11" t="inlineStr">
        <is>
          <t>Transaction Behavior</t>
        </is>
      </c>
      <c r="D11" s="3" t="inlineStr">
        <is>
          <t>Total number of transactions performed by agent</t>
        </is>
      </c>
      <c r="E11" s="3">
        <f>unique_count('total_txn_count', txn_id)</f>
        <v/>
      </c>
      <c r="F11" t="inlineStr">
        <is>
          <t>unique_count</t>
        </is>
      </c>
      <c r="G11" t="inlineStr">
        <is>
          <t>unique_count('&lt;profile_path&gt;', &lt;unique_key&gt;, &lt;value&gt;)</t>
        </is>
      </c>
      <c r="H11" t="inlineStr">
        <is>
          <t>number (cumulative unique count)</t>
        </is>
      </c>
      <c r="I11" s="3" t="inlineStr">
        <is>
          <t>Unified naming: path starts without PROFILE prefix (as requested)</t>
        </is>
      </c>
    </row>
    <row r="12">
      <c r="A12" t="inlineStr">
        <is>
          <t>FEATURE</t>
        </is>
      </c>
      <c r="B12" t="inlineStr">
        <is>
          <t>unique_customer_count</t>
        </is>
      </c>
      <c r="C12" t="inlineStr">
        <is>
          <t>Customer Interaction</t>
        </is>
      </c>
      <c r="D12" s="3" t="inlineStr">
        <is>
          <t>Unique customers served by agent</t>
        </is>
      </c>
      <c r="E12" s="3">
        <f>unique_count('unique_customer_count', customer)</f>
        <v/>
      </c>
      <c r="F12" t="inlineStr">
        <is>
          <t>unique_count</t>
        </is>
      </c>
      <c r="G12" t="inlineStr">
        <is>
          <t>unique_count('&lt;profile_path&gt;', &lt;unique_key&gt;, &lt;value&gt;)</t>
        </is>
      </c>
      <c r="H12" t="inlineStr">
        <is>
          <t>number (cumulative unique count)</t>
        </is>
      </c>
      <c r="I12" s="3" t="inlineStr">
        <is>
          <t>Unified naming: path starts without PROFILE prefix (as requested)</t>
        </is>
      </c>
    </row>
    <row r="13">
      <c r="A13" t="inlineStr">
        <is>
          <t>FEATURE</t>
        </is>
      </c>
      <c r="B13" t="inlineStr">
        <is>
          <t>service_mix</t>
        </is>
      </c>
      <c r="C13" t="inlineStr">
        <is>
          <t>C. Service Mix</t>
        </is>
      </c>
      <c r="D13" s="3" t="inlineStr">
        <is>
          <t>Service distribution</t>
        </is>
      </c>
      <c r="E13" s="3">
        <f>unique_map('service_mix', txn_id, service)</f>
        <v/>
      </c>
      <c r="F13" t="inlineStr">
        <is>
          <t>unique_map</t>
        </is>
      </c>
      <c r="G13" t="inlineStr">
        <is>
          <t>unique_map('PROFILE.service_mix', txn_id, service)</t>
        </is>
      </c>
      <c r="H13" t="inlineStr">
        <is>
          <t>object map {bucket: count}</t>
        </is>
      </c>
      <c r="I13" s="3" t="inlineStr">
        <is>
          <t>Unified naming: path starts without PROFILE prefix (as requested)</t>
        </is>
      </c>
    </row>
    <row r="14">
      <c r="A14" t="inlineStr">
        <is>
          <t>FEATURE</t>
        </is>
      </c>
      <c r="B14" t="inlineStr">
        <is>
          <t>service_mix_alt</t>
        </is>
      </c>
      <c r="C14" t="inlineStr">
        <is>
          <t>C. Service Mix</t>
        </is>
      </c>
      <c r="D14" s="3" t="inlineStr">
        <is>
          <t>Service distribution</t>
        </is>
      </c>
      <c r="E14" s="3">
        <f>unique_map('service_mix', field('TRANSACTIONID'), field('SERVICENAME'))</f>
        <v/>
      </c>
      <c r="F14" t="inlineStr">
        <is>
          <t>unique_map</t>
        </is>
      </c>
      <c r="G14" t="inlineStr">
        <is>
          <t>unique_map('PROFILE.service_mix', txn_id, service)</t>
        </is>
      </c>
      <c r="H14" t="inlineStr">
        <is>
          <t>object map {bucket: count}</t>
        </is>
      </c>
      <c r="I14" s="3" t="inlineStr">
        <is>
          <t>Unified naming: path starts without PROFILE prefix (as requested)</t>
        </is>
      </c>
    </row>
    <row r="15">
      <c r="A15" t="inlineStr">
        <is>
          <t>FEATURE</t>
        </is>
      </c>
      <c r="B15" t="inlineStr">
        <is>
          <t>reversal_rate</t>
        </is>
      </c>
      <c r="C15" t="inlineStr">
        <is>
          <t>Risk &amp; Fraud</t>
        </is>
      </c>
      <c r="D15" s="3" t="inlineStr">
        <is>
          <t>Reversed transaction ratio</t>
        </is>
      </c>
      <c r="E15" s="3">
        <f>unique_rate('reversal_rate', txn_id, if_(status=='REVERSAL',1,0))</f>
        <v/>
      </c>
      <c r="F15" t="inlineStr">
        <is>
          <t>unique_rate</t>
        </is>
      </c>
      <c r="G15" t="inlineStr">
        <is>
          <t>unique_rate('PROFILE.service_completion_rate', txn_id, if_(status=='COMPLETED',1,0))</t>
        </is>
      </c>
      <c r="H15" t="inlineStr">
        <is>
          <t>object {ratio,num,den}</t>
        </is>
      </c>
      <c r="I15" s="3" t="inlineStr">
        <is>
          <t>Unified naming: path starts without PROFILE prefix (as requested)</t>
        </is>
      </c>
    </row>
    <row r="16">
      <c r="A16" t="inlineStr">
        <is>
          <t>FEATURE</t>
        </is>
      </c>
      <c r="B16" t="inlineStr">
        <is>
          <t>rolling_txn_count</t>
        </is>
      </c>
      <c r="C16" t="inlineStr">
        <is>
          <t>I. Rolling / Window</t>
        </is>
      </c>
      <c r="D16" s="3" t="inlineStr">
        <is>
          <t>Rolling txn counts from full datetime</t>
        </is>
      </c>
      <c r="E16" s="3">
        <f>unique_rolling('rolling_txn_count', txn_id, obj(value=1,time=txn_time,windows='0.0035,0.0417,1',retention=30))</f>
        <v/>
      </c>
      <c r="F16" t="inlineStr">
        <is>
          <t>unique_rolling</t>
        </is>
      </c>
      <c r="G16" t="inlineStr">
        <is>
          <t>unique_rolling('PROFILE.rolling_txn_count', txn_id, obj(value=1,time=txn_time,windows='0.0035,0.0417,1',retention=30))</t>
        </is>
      </c>
      <c r="H16" t="inlineStr">
        <is>
          <t>object windows (count,sum,avg,min,max,last)</t>
        </is>
      </c>
      <c r="I16" s="3" t="inlineStr">
        <is>
          <t>Unified naming: path starts without PROFILE prefix (as requested)</t>
        </is>
      </c>
    </row>
    <row r="17">
      <c r="A17" t="inlineStr">
        <is>
          <t>FEATURE</t>
        </is>
      </c>
      <c r="B17" t="inlineStr">
        <is>
          <t>amount_stats</t>
        </is>
      </c>
      <c r="C17" t="inlineStr"/>
      <c r="D17" s="3" t="inlineStr"/>
      <c r="E17" s="3">
        <f>unique_stats('amount_stats', txn_id, amount)</f>
        <v/>
      </c>
      <c r="F17" t="inlineStr">
        <is>
          <t>unique_stats</t>
        </is>
      </c>
      <c r="G17" t="inlineStr">
        <is>
          <t>unique_stats('&lt;profile_path&gt;', &lt;unique_key&gt;, &lt;value&gt;, &lt;metric&gt;)</t>
        </is>
      </c>
      <c r="H17" t="inlineStr">
        <is>
          <t>object {count,sum,avg,min,max,var,std}</t>
        </is>
      </c>
      <c r="I17" s="3" t="inlineStr">
        <is>
          <t>Unified naming: path starts without PROFILE prefix (as requested)</t>
        </is>
      </c>
    </row>
    <row r="18">
      <c r="A18" t="inlineStr">
        <is>
          <t>FEATURE</t>
        </is>
      </c>
      <c r="B18" t="inlineStr">
        <is>
          <t>txn_per_day</t>
        </is>
      </c>
      <c r="C18" t="inlineStr">
        <is>
          <t>Transaction Behavior</t>
        </is>
      </c>
      <c r="D18" s="3" t="inlineStr">
        <is>
          <t>Average transactions per active day</t>
        </is>
      </c>
      <c r="E18" s="3">
        <f>unique_map('txn_per_day', txn_id, day)</f>
        <v/>
      </c>
      <c r="F18" t="inlineStr">
        <is>
          <t>unique_map</t>
        </is>
      </c>
      <c r="G18" t="inlineStr">
        <is>
          <t>unique_map('PROFILE.service_mix', txn_id, service)</t>
        </is>
      </c>
      <c r="H18" t="inlineStr">
        <is>
          <t>object map {bucket: count}</t>
        </is>
      </c>
      <c r="I18" s="3" t="inlineStr">
        <is>
          <t>Unified naming: path starts without PROFILE prefix (as requested)</t>
        </is>
      </c>
    </row>
    <row r="19">
      <c r="A19" t="inlineStr">
        <is>
          <t>FEATURE</t>
        </is>
      </c>
      <c r="B19" t="inlineStr">
        <is>
          <t>txn_per_hour</t>
        </is>
      </c>
      <c r="C19" t="inlineStr">
        <is>
          <t>Transaction Behavior</t>
        </is>
      </c>
      <c r="D19" s="3" t="inlineStr">
        <is>
          <t>Average transactions per hour</t>
        </is>
      </c>
      <c r="E19" s="3">
        <f>unique_map('txn_per_hour', txn_id, hour)</f>
        <v/>
      </c>
      <c r="F19" t="inlineStr">
        <is>
          <t>unique_map</t>
        </is>
      </c>
      <c r="G19" t="inlineStr">
        <is>
          <t>unique_map('PROFILE.service_mix', txn_id, service)</t>
        </is>
      </c>
      <c r="H19" t="inlineStr">
        <is>
          <t>object map {bucket: count}</t>
        </is>
      </c>
      <c r="I19" s="3" t="inlineStr">
        <is>
          <t>Unified naming: path starts without PROFILE prefix (as requested)</t>
        </is>
      </c>
    </row>
    <row r="20">
      <c r="A20" t="inlineStr">
        <is>
          <t>FEATURE</t>
        </is>
      </c>
      <c r="B20" t="inlineStr">
        <is>
          <t>txn_per_slot</t>
        </is>
      </c>
      <c r="C20" t="inlineStr">
        <is>
          <t>Transaction Behavior</t>
        </is>
      </c>
      <c r="D20" s="3" t="inlineStr">
        <is>
          <t>Transactions by configured business slot</t>
        </is>
      </c>
      <c r="E20" s="3">
        <f>unique_map('txn_per_slot', txn_id, slot)</f>
        <v/>
      </c>
      <c r="F20" t="inlineStr">
        <is>
          <t>unique_map</t>
        </is>
      </c>
      <c r="G20" t="inlineStr">
        <is>
          <t>unique_map('PROFILE.service_mix', txn_id, service)</t>
        </is>
      </c>
      <c r="H20" t="inlineStr">
        <is>
          <t>object map {bucket: count}</t>
        </is>
      </c>
      <c r="I20" s="3" t="inlineStr">
        <is>
          <t>Unified naming: path starts without PROFILE prefix (as requested)</t>
        </is>
      </c>
    </row>
    <row r="21">
      <c r="A21" t="inlineStr">
        <is>
          <t>FEATURE</t>
        </is>
      </c>
      <c r="B21" t="inlineStr">
        <is>
          <t>peak_hour_activity</t>
        </is>
      </c>
      <c r="C21" t="inlineStr">
        <is>
          <t>Transaction Behavior</t>
        </is>
      </c>
      <c r="D21" s="3" t="inlineStr">
        <is>
          <t>Most active transaction hour</t>
        </is>
      </c>
      <c r="E21" s="3">
        <f>top_key('txn_per_hour')</f>
        <v/>
      </c>
      <c r="F21" t="inlineStr">
        <is>
          <t>top_key</t>
        </is>
      </c>
      <c r="G21" t="inlineStr">
        <is>
          <t>top_key('PROFILE.service_mix')</t>
        </is>
      </c>
      <c r="H21" t="inlineStr">
        <is>
          <t>object {value,count}</t>
        </is>
      </c>
      <c r="I21" s="3" t="inlineStr">
        <is>
          <t>Unified naming: path starts without PROFILE prefix (as requested)</t>
        </is>
      </c>
    </row>
    <row r="22">
      <c r="A22" t="inlineStr">
        <is>
          <t>FEATURE</t>
        </is>
      </c>
      <c r="B22" t="inlineStr">
        <is>
          <t>avg_txn_interval</t>
        </is>
      </c>
      <c r="C22" t="inlineStr">
        <is>
          <t>Transaction Behavior</t>
        </is>
      </c>
      <c r="D22" s="3" t="inlineStr">
        <is>
          <t>Average gap between two transactions</t>
        </is>
      </c>
      <c r="E22" s="3">
        <f>unique_interval('avg_txn_interval', txn_id, txn_time)</f>
        <v/>
      </c>
      <c r="F22" t="inlineStr">
        <is>
          <t>unique_interval</t>
        </is>
      </c>
      <c r="G22" t="inlineStr">
        <is>
          <t>unique_interval('PROFILE.avg_txn_interval', txn_id, txn_time)</t>
        </is>
      </c>
      <c r="H22" t="inlineStr">
        <is>
          <t>object {avg_sec,avg_min,sum_sec,count,last_epoch_sec}</t>
        </is>
      </c>
      <c r="I22" s="3" t="inlineStr">
        <is>
          <t>Unified naming: path starts without PROFILE prefix (as requested)</t>
        </is>
      </c>
    </row>
    <row r="23">
      <c r="A23" t="inlineStr">
        <is>
          <t>FEATURE</t>
        </is>
      </c>
      <c r="B23" t="inlineStr">
        <is>
          <t>txn_velocity</t>
        </is>
      </c>
      <c r="C23" t="inlineStr">
        <is>
          <t>Transaction Behavior</t>
        </is>
      </c>
      <c r="D23" s="3" t="inlineStr">
        <is>
          <t>Transaction speed per minute</t>
        </is>
      </c>
      <c r="E23" s="3">
        <f>unique_velocity('txn_velocity', txn_id, obj(time=txn_time,window_min=5))</f>
        <v/>
      </c>
      <c r="F23" t="inlineStr">
        <is>
          <t>unique_velocity</t>
        </is>
      </c>
      <c r="G23" t="inlineStr">
        <is>
          <t>unique_velocity('PROFILE.txn_velocity', txn_id, obj(time=txn_time,window_min=5))</t>
        </is>
      </c>
      <c r="H23" t="inlineStr">
        <is>
          <t>object {window_min,count,per_min}</t>
        </is>
      </c>
      <c r="I23" s="3" t="inlineStr">
        <is>
          <t>Unified naming: path starts without PROFILE prefix (as requested)</t>
        </is>
      </c>
    </row>
    <row r="24">
      <c r="A24" t="inlineStr">
        <is>
          <t>FEATURE</t>
        </is>
      </c>
      <c r="B24" t="inlineStr">
        <is>
          <t>burst_txn_flag</t>
        </is>
      </c>
      <c r="C24" t="inlineStr">
        <is>
          <t>Transaction Behavior</t>
        </is>
      </c>
      <c r="D24" s="3" t="inlineStr">
        <is>
          <t>Sudden spike beyond threshold</t>
        </is>
      </c>
      <c r="E24" s="3">
        <f>burst_flag('burst_txn_flag', obj(curr='txn_velocity',base='rolling_txn_count.d1.avg',factor=2))</f>
        <v/>
      </c>
      <c r="F24" t="inlineStr">
        <is>
          <t>burst_flag</t>
        </is>
      </c>
      <c r="G24" t="inlineStr">
        <is>
          <t>burst_flag('PROFILE.burst_txn_flag', obj(curr='PROFILE.txn_velocity',base='PROFILE.rolling_txn_count.d1.avg',factor=2))</t>
        </is>
      </c>
      <c r="H24" t="inlineStr">
        <is>
          <t>object {value,curr,base,factor}</t>
        </is>
      </c>
      <c r="I24" s="3" t="inlineStr">
        <is>
          <t>Unified naming: path starts without PROFILE prefix (as requested)</t>
        </is>
      </c>
    </row>
    <row r="25">
      <c r="A25" t="inlineStr">
        <is>
          <t>FEATURE</t>
        </is>
      </c>
      <c r="B25" t="inlineStr">
        <is>
          <t>total_amount</t>
        </is>
      </c>
      <c r="C25" t="inlineStr">
        <is>
          <t>Financial Movement</t>
        </is>
      </c>
      <c r="D25" s="3" t="inlineStr">
        <is>
          <t>Total transaction value handled</t>
        </is>
      </c>
      <c r="E25" s="3">
        <f>metric_get('amount_stats','sum')</f>
        <v/>
      </c>
      <c r="F25" t="inlineStr">
        <is>
          <t>metric_get</t>
        </is>
      </c>
      <c r="G25" t="inlineStr">
        <is>
          <t>metric_get('PROFILE.amount_stats','var')</t>
        </is>
      </c>
      <c r="H25" t="inlineStr">
        <is>
          <t>scalar metric value</t>
        </is>
      </c>
      <c r="I25" s="3" t="inlineStr">
        <is>
          <t>Unified naming: path starts without PROFILE prefix (as requested)</t>
        </is>
      </c>
    </row>
    <row r="26">
      <c r="A26" t="inlineStr">
        <is>
          <t>FEATURE</t>
        </is>
      </c>
      <c r="B26" t="inlineStr">
        <is>
          <t>avg_txn_amount</t>
        </is>
      </c>
      <c r="C26" t="inlineStr">
        <is>
          <t>Financial Movement</t>
        </is>
      </c>
      <c r="D26" s="3" t="inlineStr">
        <is>
          <t>Average transaction amount</t>
        </is>
      </c>
      <c r="E26" s="3">
        <f>metric_get('amount_stats','avg')</f>
        <v/>
      </c>
      <c r="F26" t="inlineStr">
        <is>
          <t>metric_get</t>
        </is>
      </c>
      <c r="G26" t="inlineStr">
        <is>
          <t>metric_get('PROFILE.amount_stats','var')</t>
        </is>
      </c>
      <c r="H26" t="inlineStr">
        <is>
          <t>scalar metric value</t>
        </is>
      </c>
      <c r="I26" s="3" t="inlineStr">
        <is>
          <t>Unified naming: path starts without PROFILE prefix (as requested)</t>
        </is>
      </c>
    </row>
    <row r="27">
      <c r="A27" t="inlineStr">
        <is>
          <t>FEATURE</t>
        </is>
      </c>
      <c r="B27" t="inlineStr">
        <is>
          <t>min_txn_amount</t>
        </is>
      </c>
      <c r="C27" t="inlineStr">
        <is>
          <t>Financial Movement</t>
        </is>
      </c>
      <c r="D27" s="3" t="inlineStr">
        <is>
          <t>Minimum transaction amount</t>
        </is>
      </c>
      <c r="E27" s="3">
        <f>metric_get('amount_stats','min')</f>
        <v/>
      </c>
      <c r="F27" t="inlineStr">
        <is>
          <t>metric_get</t>
        </is>
      </c>
      <c r="G27" t="inlineStr">
        <is>
          <t>metric_get('PROFILE.amount_stats','var')</t>
        </is>
      </c>
      <c r="H27" t="inlineStr">
        <is>
          <t>scalar metric value</t>
        </is>
      </c>
      <c r="I27" s="3" t="inlineStr">
        <is>
          <t>Unified naming: path starts without PROFILE prefix (as requested)</t>
        </is>
      </c>
    </row>
    <row r="28">
      <c r="A28" t="inlineStr">
        <is>
          <t>FEATURE</t>
        </is>
      </c>
      <c r="B28" t="inlineStr">
        <is>
          <t>max_txn_amount</t>
        </is>
      </c>
      <c r="C28" t="inlineStr">
        <is>
          <t>Financial Movement</t>
        </is>
      </c>
      <c r="D28" s="3" t="inlineStr">
        <is>
          <t>Maximum transaction amount</t>
        </is>
      </c>
      <c r="E28" s="3">
        <f>metric_get('amount_stats','max')</f>
        <v/>
      </c>
      <c r="F28" t="inlineStr">
        <is>
          <t>metric_get</t>
        </is>
      </c>
      <c r="G28" t="inlineStr">
        <is>
          <t>metric_get('PROFILE.amount_stats','var')</t>
        </is>
      </c>
      <c r="H28" t="inlineStr">
        <is>
          <t>scalar metric value</t>
        </is>
      </c>
      <c r="I28" s="3" t="inlineStr">
        <is>
          <t>Unified naming: path starts without PROFILE prefix (as requested)</t>
        </is>
      </c>
    </row>
    <row r="29">
      <c r="A29" t="inlineStr">
        <is>
          <t>FEATURE</t>
        </is>
      </c>
      <c r="B29" t="inlineStr">
        <is>
          <t>std_dev_amount</t>
        </is>
      </c>
      <c r="C29" t="inlineStr">
        <is>
          <t>Financial Movement</t>
        </is>
      </c>
      <c r="D29" s="3" t="inlineStr">
        <is>
          <t>Variance in transaction amount</t>
        </is>
      </c>
      <c r="E29" s="3">
        <f>metric_get('amount_stats','std')</f>
        <v/>
      </c>
      <c r="F29" t="inlineStr">
        <is>
          <t>metric_get</t>
        </is>
      </c>
      <c r="G29" t="inlineStr">
        <is>
          <t>metric_get('PROFILE.amount_stats','var')</t>
        </is>
      </c>
      <c r="H29" t="inlineStr">
        <is>
          <t>scalar metric value</t>
        </is>
      </c>
      <c r="I29" s="3" t="inlineStr">
        <is>
          <t>Unified naming: path starts without PROFILE prefix (as requested)</t>
        </is>
      </c>
    </row>
    <row r="30">
      <c r="A30" t="inlineStr">
        <is>
          <t>FEATURE</t>
        </is>
      </c>
      <c r="B30" t="inlineStr">
        <is>
          <t>amount_variance</t>
        </is>
      </c>
      <c r="C30" t="inlineStr">
        <is>
          <t>B. Financial Movement</t>
        </is>
      </c>
      <c r="D30" s="3" t="inlineStr">
        <is>
          <t>Variance</t>
        </is>
      </c>
      <c r="E30" s="3">
        <f>metric_get('amount_stats','var')</f>
        <v/>
      </c>
      <c r="F30" t="inlineStr">
        <is>
          <t>metric_get</t>
        </is>
      </c>
      <c r="G30" t="inlineStr">
        <is>
          <t>metric_get('PROFILE.amount_stats','var')</t>
        </is>
      </c>
      <c r="H30" t="inlineStr">
        <is>
          <t>scalar metric value</t>
        </is>
      </c>
      <c r="I30" s="3" t="inlineStr">
        <is>
          <t>Unified naming: path starts without PROFILE prefix (as requested)</t>
        </is>
      </c>
    </row>
    <row r="31">
      <c r="A31" t="inlineStr">
        <is>
          <t>FEATURE</t>
        </is>
      </c>
      <c r="B31" t="inlineStr">
        <is>
          <t>high_value_txn_ratio</t>
        </is>
      </c>
      <c r="C31" t="inlineStr">
        <is>
          <t>Financial Movement</t>
        </is>
      </c>
      <c r="D31" s="3" t="inlineStr">
        <is>
          <t>Share of high-value transactions</t>
        </is>
      </c>
      <c r="E31" s="3">
        <f>unique_rate('high_value_txn_ratio', txn_id, if_(amount&gt;10000,1,0))</f>
        <v/>
      </c>
      <c r="F31" t="inlineStr">
        <is>
          <t>unique_rate</t>
        </is>
      </c>
      <c r="G31" t="inlineStr">
        <is>
          <t>unique_rate('PROFILE.service_completion_rate', txn_id, if_(status=='COMPLETED',1,0))</t>
        </is>
      </c>
      <c r="H31" t="inlineStr">
        <is>
          <t>object {ratio,num,den}</t>
        </is>
      </c>
      <c r="I31" s="3" t="inlineStr">
        <is>
          <t>Unified naming: path starts without PROFILE prefix (as requested)</t>
        </is>
      </c>
    </row>
    <row r="32">
      <c r="A32" t="inlineStr">
        <is>
          <t>FEATURE</t>
        </is>
      </c>
      <c r="B32" t="inlineStr">
        <is>
          <t>first_txn_time</t>
        </is>
      </c>
      <c r="C32" t="inlineStr">
        <is>
          <t>Time Intelligence</t>
        </is>
      </c>
      <c r="D32" s="3" t="inlineStr">
        <is>
          <t>First transaction timestamp</t>
        </is>
      </c>
      <c r="E32" s="3">
        <f>min_update('first_txn_time', txn_time)</f>
        <v/>
      </c>
      <c r="F32" t="inlineStr">
        <is>
          <t>min_update</t>
        </is>
      </c>
      <c r="G32" t="inlineStr">
        <is>
          <t>min_update('PROFILE.first_txn_time', txn_time)</t>
        </is>
      </c>
      <c r="H32" t="inlineStr">
        <is>
          <t>scalar minimum value</t>
        </is>
      </c>
      <c r="I32" s="3" t="inlineStr">
        <is>
          <t>Unified naming: path starts without PROFILE prefix (as requested)</t>
        </is>
      </c>
    </row>
    <row r="33">
      <c r="A33" t="inlineStr">
        <is>
          <t>FEATURE</t>
        </is>
      </c>
      <c r="B33" t="inlineStr">
        <is>
          <t>last_txn_time</t>
        </is>
      </c>
      <c r="C33" t="inlineStr">
        <is>
          <t>Time Intelligence</t>
        </is>
      </c>
      <c r="D33" s="3" t="inlineStr">
        <is>
          <t>Latest transaction timestamp</t>
        </is>
      </c>
      <c r="E33" s="3">
        <f>max_update('last_txn_time', txn_time)</f>
        <v/>
      </c>
      <c r="F33" t="inlineStr">
        <is>
          <t>max_update</t>
        </is>
      </c>
      <c r="G33" t="inlineStr">
        <is>
          <t>max_update('PROFILE.last_txn_time', txn_time)</t>
        </is>
      </c>
      <c r="H33" t="inlineStr">
        <is>
          <t>scalar maximum value</t>
        </is>
      </c>
      <c r="I33" s="3" t="inlineStr">
        <is>
          <t>Unified naming: path starts without PROFILE prefix (as requested)</t>
        </is>
      </c>
    </row>
    <row r="34">
      <c r="A34" t="inlineStr">
        <is>
          <t>FEATURE</t>
        </is>
      </c>
      <c r="B34" t="inlineStr">
        <is>
          <t>active_days_count</t>
        </is>
      </c>
      <c r="C34" t="inlineStr">
        <is>
          <t>Time Intelligence</t>
        </is>
      </c>
      <c r="D34" s="3" t="inlineStr">
        <is>
          <t>Number of days with activity</t>
        </is>
      </c>
      <c r="E34" s="3">
        <f>unique_count('active_days_count', day)</f>
        <v/>
      </c>
      <c r="F34" t="inlineStr">
        <is>
          <t>unique_count</t>
        </is>
      </c>
      <c r="G34" t="inlineStr">
        <is>
          <t>unique_count('&lt;profile_path&gt;', &lt;unique_key&gt;, &lt;value&gt;)</t>
        </is>
      </c>
      <c r="H34" t="inlineStr">
        <is>
          <t>number (cumulative unique count)</t>
        </is>
      </c>
      <c r="I34" s="3" t="inlineStr">
        <is>
          <t>Unified naming: path starts without PROFILE prefix (as requested)</t>
        </is>
      </c>
    </row>
    <row r="35">
      <c r="A35" t="inlineStr">
        <is>
          <t>FEATURE</t>
        </is>
      </c>
      <c r="B35" t="inlineStr">
        <is>
          <t>weekend_txn_ratio</t>
        </is>
      </c>
      <c r="C35" t="inlineStr">
        <is>
          <t>Time Intelligence</t>
        </is>
      </c>
      <c r="D35" s="3" t="inlineStr">
        <is>
          <t>Weekend transaction share</t>
        </is>
      </c>
      <c r="E35" s="3">
        <f>unique_rate('weekend_txn_ratio', txn_id, if_(day_of_week(field('MIS_TXNDATE')) in array(0,6), 1, 0))</f>
        <v/>
      </c>
      <c r="F35" t="inlineStr">
        <is>
          <t>unique_rate</t>
        </is>
      </c>
      <c r="G35" t="inlineStr">
        <is>
          <t>unique_rate('PROFILE.service_completion_rate', txn_id, if_(status=='COMPLETED',1,0))</t>
        </is>
      </c>
      <c r="H35" t="inlineStr">
        <is>
          <t>object {ratio,num,den}</t>
        </is>
      </c>
      <c r="I35" s="3" t="inlineStr">
        <is>
          <t>Unified naming: path starts without PROFILE prefix (as requested)</t>
        </is>
      </c>
    </row>
    <row r="36">
      <c r="A36" t="inlineStr">
        <is>
          <t>FEATURE</t>
        </is>
      </c>
      <c r="B36" t="inlineStr">
        <is>
          <t>weekend_txn_ratio_alt</t>
        </is>
      </c>
      <c r="C36" t="inlineStr">
        <is>
          <t>Time Intelligence</t>
        </is>
      </c>
      <c r="D36" s="3" t="inlineStr">
        <is>
          <t>Weekend transaction share</t>
        </is>
      </c>
      <c r="E36" s="3">
        <f>unique_rate('weekend_txn_ratio', txn_id, if_(field('IS_WEEKEND')==1,1,0))</f>
        <v/>
      </c>
      <c r="F36" t="inlineStr">
        <is>
          <t>unique_rate</t>
        </is>
      </c>
      <c r="G36" t="inlineStr">
        <is>
          <t>unique_rate('PROFILE.service_completion_rate', txn_id, if_(status=='COMPLETED',1,0))</t>
        </is>
      </c>
      <c r="H36" t="inlineStr">
        <is>
          <t>object {ratio,num,den}</t>
        </is>
      </c>
      <c r="I36" s="3" t="inlineStr">
        <is>
          <t>Unified naming: path starts without PROFILE prefix (as requested)</t>
        </is>
      </c>
    </row>
    <row r="37">
      <c r="A37" t="inlineStr">
        <is>
          <t>FEATURE</t>
        </is>
      </c>
      <c r="B37" t="inlineStr">
        <is>
          <t>after_hours_txn_ratio</t>
        </is>
      </c>
      <c r="C37" t="inlineStr">
        <is>
          <t>Time Intelligence</t>
        </is>
      </c>
      <c r="D37" s="3" t="inlineStr">
        <is>
          <t>Transactions outside business hours</t>
        </is>
      </c>
      <c r="E37" s="3">
        <f>unique_rate('after_hours_txn_ratio', txn_id, if_(field('IS_AFTER_HOURS')==1,1,0))</f>
        <v/>
      </c>
      <c r="F37" t="inlineStr">
        <is>
          <t>unique_rate</t>
        </is>
      </c>
      <c r="G37" t="inlineStr">
        <is>
          <t>unique_rate('PROFILE.service_completion_rate', txn_id, if_(status=='COMPLETED',1,0))</t>
        </is>
      </c>
      <c r="H37" t="inlineStr">
        <is>
          <t>object {ratio,num,den}</t>
        </is>
      </c>
      <c r="I37" s="3" t="inlineStr">
        <is>
          <t>Unified naming: path starts without PROFILE prefix (as requested)</t>
        </is>
      </c>
    </row>
    <row r="38">
      <c r="A38" t="inlineStr">
        <is>
          <t>FEATURE</t>
        </is>
      </c>
      <c r="B38" t="inlineStr">
        <is>
          <t>time_entropy</t>
        </is>
      </c>
      <c r="C38" t="inlineStr">
        <is>
          <t>Time Intelligence</t>
        </is>
      </c>
      <c r="D38" s="3" t="inlineStr">
        <is>
          <t>Randomness of transaction time distribution</t>
        </is>
      </c>
      <c r="E38" s="3">
        <f>entropy_update('time_entropy', txn_id, hour)</f>
        <v/>
      </c>
      <c r="F38" t="inlineStr">
        <is>
          <t>entropy_update</t>
        </is>
      </c>
      <c r="G38" t="inlineStr">
        <is>
          <t>entropy_update('PROFILE.service_entropy', txn_id, service)</t>
        </is>
      </c>
      <c r="H38" t="inlineStr">
        <is>
          <t>object {entropy,total,counts}</t>
        </is>
      </c>
      <c r="I38" s="3" t="inlineStr">
        <is>
          <t>Unified naming: path starts without PROFILE prefix (as requested)</t>
        </is>
      </c>
    </row>
    <row r="39">
      <c r="A39" t="inlineStr">
        <is>
          <t>FEATURE</t>
        </is>
      </c>
      <c r="B39" t="inlineStr">
        <is>
          <t>failed_txn_rate</t>
        </is>
      </c>
      <c r="C39" t="inlineStr">
        <is>
          <t>Risk &amp; Fraud</t>
        </is>
      </c>
      <c r="D39" s="3" t="inlineStr">
        <is>
          <t>Failed transaction ratio</t>
        </is>
      </c>
      <c r="E39" s="3">
        <f>unique_rate('failed_txn_rate', txn_id, if_(status=='FAILED',1,0))</f>
        <v/>
      </c>
      <c r="F39" t="inlineStr">
        <is>
          <t>unique_rate</t>
        </is>
      </c>
      <c r="G39" t="inlineStr">
        <is>
          <t>unique_rate('PROFILE.service_completion_rate', txn_id, if_(status=='COMPLETED',1,0))</t>
        </is>
      </c>
      <c r="H39" t="inlineStr">
        <is>
          <t>object {ratio,num,den}</t>
        </is>
      </c>
      <c r="I39" s="3" t="inlineStr">
        <is>
          <t>Unified naming: path starts without PROFILE prefix (as requested)</t>
        </is>
      </c>
    </row>
    <row r="40">
      <c r="A40" t="inlineStr">
        <is>
          <t>FEATURE</t>
        </is>
      </c>
      <c r="B40" t="inlineStr">
        <is>
          <t>timeout_rate</t>
        </is>
      </c>
      <c r="C40" t="inlineStr">
        <is>
          <t>Risk &amp; Fraud</t>
        </is>
      </c>
      <c r="D40" s="3" t="inlineStr">
        <is>
          <t>Timed-out transaction ratio</t>
        </is>
      </c>
      <c r="E40" s="3">
        <f>unique_rate('timeout_rate', txn_id, if_(status=='TIMEOUT',1,0))</f>
        <v/>
      </c>
      <c r="F40" t="inlineStr">
        <is>
          <t>unique_rate</t>
        </is>
      </c>
      <c r="G40" t="inlineStr">
        <is>
          <t>unique_rate('PROFILE.service_completion_rate', txn_id, if_(status=='COMPLETED',1,0))</t>
        </is>
      </c>
      <c r="H40" t="inlineStr">
        <is>
          <t>object {ratio,num,den}</t>
        </is>
      </c>
      <c r="I40" s="3" t="inlineStr">
        <is>
          <t>Unified naming: path starts without PROFILE prefix (as requested)</t>
        </is>
      </c>
    </row>
    <row r="41">
      <c r="A41" t="inlineStr">
        <is>
          <t>FEATURE</t>
        </is>
      </c>
      <c r="B41" t="inlineStr">
        <is>
          <t>same_amount_repetition</t>
        </is>
      </c>
      <c r="C41" t="inlineStr">
        <is>
          <t>Risk &amp; Fraud</t>
        </is>
      </c>
      <c r="D41" s="3" t="inlineStr">
        <is>
          <t>Repeated same amount count</t>
        </is>
      </c>
      <c r="E41" s="3">
        <f>repetition_rate('same_amount_repetition', txn_id, amount)</f>
        <v/>
      </c>
      <c r="F41" t="inlineStr">
        <is>
          <t>repetition_rate</t>
        </is>
      </c>
      <c r="G41" t="inlineStr">
        <is>
          <t>repetition_rate('PROFILE.same_amount_repetition', txn_id, amount)</t>
        </is>
      </c>
      <c r="H41" t="inlineStr">
        <is>
          <t>object {repeat_rate,repeat_events,total,counts}</t>
        </is>
      </c>
      <c r="I41" s="3" t="inlineStr">
        <is>
          <t>Unified naming: path starts without PROFILE prefix (as requested)</t>
        </is>
      </c>
    </row>
    <row r="42">
      <c r="A42" t="inlineStr">
        <is>
          <t>FEATURE</t>
        </is>
      </c>
      <c r="B42" t="inlineStr">
        <is>
          <t>device_change_frequency</t>
        </is>
      </c>
      <c r="C42" t="inlineStr">
        <is>
          <t>Geo &amp; Device</t>
        </is>
      </c>
      <c r="D42" s="3" t="inlineStr">
        <is>
          <t>Frequency of device changes</t>
        </is>
      </c>
      <c r="E42" s="3">
        <f>change_rate('device_change_frequency', txn_id, field('DEVICE_ID'))</f>
        <v/>
      </c>
      <c r="F42" t="inlineStr">
        <is>
          <t>change_rate</t>
        </is>
      </c>
      <c r="G42" t="inlineStr">
        <is>
          <t>change_rate('PROFILE.device_change_frequency', txn_id, field('DEVICE_ID'))</t>
        </is>
      </c>
      <c r="H42" t="inlineStr">
        <is>
          <t>object {change_rate,changes,total,last_value}</t>
        </is>
      </c>
      <c r="I42" s="3" t="inlineStr">
        <is>
          <t>Unified naming: path starts without PROFILE prefix (as requested)</t>
        </is>
      </c>
    </row>
    <row r="43">
      <c r="A43" t="inlineStr">
        <is>
          <t>FEATURE</t>
        </is>
      </c>
      <c r="B43" t="inlineStr">
        <is>
          <t>location_variance</t>
        </is>
      </c>
      <c r="C43" t="inlineStr">
        <is>
          <t>Geo &amp; Device</t>
        </is>
      </c>
      <c r="D43" s="3" t="inlineStr">
        <is>
          <t>Variance of transaction locations</t>
        </is>
      </c>
      <c r="E43" s="3">
        <f>geo_variance('location_variance', txn_id, obj(lat=field('LAT'),lon=field('LON'),time=txn_time))</f>
        <v/>
      </c>
      <c r="F43" t="inlineStr">
        <is>
          <t>geo_variance</t>
        </is>
      </c>
      <c r="G43" t="inlineStr">
        <is>
          <t>geo_variance('PROFILE.location_variance', txn_id, obj(lat=field('LAT'),lon=field('LON'),time=txn_time))</t>
        </is>
      </c>
      <c r="H43" t="inlineStr">
        <is>
          <t>object {variance_km,count,points}</t>
        </is>
      </c>
      <c r="I43" s="3" t="inlineStr">
        <is>
          <t>Unified naming: path starts without PROFILE prefix (as requested)</t>
        </is>
      </c>
    </row>
    <row r="44">
      <c r="A44" t="inlineStr">
        <is>
          <t>FEATURE</t>
        </is>
      </c>
      <c r="B44" t="inlineStr">
        <is>
          <t>multi_location_same_time_flag</t>
        </is>
      </c>
      <c r="C44" t="inlineStr">
        <is>
          <t>Geo &amp; Device</t>
        </is>
      </c>
      <c r="D44" s="3" t="inlineStr">
        <is>
          <t>Same agent active in multiple locations in impossible time</t>
        </is>
      </c>
      <c r="E44" s="3">
        <f>geo_conflict_flag('multi_location_same_time_flag', txn_id, obj(customer=customer,time=txn_time,lat=field('LAT'),lon=field('LON')))</f>
        <v/>
      </c>
      <c r="F44" t="inlineStr">
        <is>
          <t>geo_conflict_flag</t>
        </is>
      </c>
      <c r="G44" t="inlineStr">
        <is>
          <t>geo_conflict_flag('PROFILE.multi_location_same_time_flag', txn_id, obj(customer=customer,time=txn_time,lat=field('LAT'),lon=field('LON')))</t>
        </is>
      </c>
      <c r="H44" t="inlineStr">
        <is>
          <t>object {value,conflicts,last_by_customer}</t>
        </is>
      </c>
      <c r="I44" s="3" t="inlineStr">
        <is>
          <t>Unified naming: path starts without PROFILE prefix (as requested)</t>
        </is>
      </c>
    </row>
    <row r="45">
      <c r="A45" t="inlineStr">
        <is>
          <t>FEATURE</t>
        </is>
      </c>
      <c r="B45" t="inlineStr">
        <is>
          <t>txn_success_rate</t>
        </is>
      </c>
      <c r="C45" t="inlineStr">
        <is>
          <t>Agent Performance</t>
        </is>
      </c>
      <c r="D45" s="3" t="inlineStr">
        <is>
          <t>Successful transaction ratio</t>
        </is>
      </c>
      <c r="E45" s="3">
        <f>unique_rate('txn_success_rate', txn_id, if_(status=='SUCCESS',1,0))</f>
        <v/>
      </c>
      <c r="F45" t="inlineStr">
        <is>
          <t>unique_rate</t>
        </is>
      </c>
      <c r="G45" t="inlineStr">
        <is>
          <t>unique_rate('PROFILE.service_completion_rate', txn_id, if_(status=='COMPLETED',1,0))</t>
        </is>
      </c>
      <c r="H45" t="inlineStr">
        <is>
          <t>object {ratio,num,den}</t>
        </is>
      </c>
      <c r="I45" s="3" t="inlineStr">
        <is>
          <t>Unified naming: path starts without PROFILE prefix (as requested)</t>
        </is>
      </c>
    </row>
    <row r="46">
      <c r="A46" t="inlineStr">
        <is>
          <t>FEATURE</t>
        </is>
      </c>
      <c r="B46" t="inlineStr">
        <is>
          <t>avg_processing_time</t>
        </is>
      </c>
      <c r="C46" t="inlineStr">
        <is>
          <t>Agent Performance</t>
        </is>
      </c>
      <c r="D46" s="3" t="inlineStr">
        <is>
          <t>Average processing duration</t>
        </is>
      </c>
      <c r="E46" s="3">
        <f>unique_avg('avg_processing_time', txn_id, num(field('PROCESSING_SEC'),0))</f>
        <v/>
      </c>
      <c r="F46" t="inlineStr">
        <is>
          <t>unique_avg</t>
        </is>
      </c>
      <c r="G46" t="inlineStr">
        <is>
          <t>unique_avg('PROFILE.avg_processing_time', txn_id, num(field('PROCESSING_SEC'),0))</t>
        </is>
      </c>
      <c r="H46" t="inlineStr">
        <is>
          <t>object {value,sum,count}</t>
        </is>
      </c>
      <c r="I46" s="3" t="inlineStr">
        <is>
          <t>Unified naming: path starts without PROFILE prefix (as requested)</t>
        </is>
      </c>
    </row>
    <row r="47">
      <c r="A47" t="inlineStr">
        <is>
          <t>FEATURE</t>
        </is>
      </c>
      <c r="B47" t="inlineStr">
        <is>
          <t>customer_wait_time</t>
        </is>
      </c>
      <c r="C47" t="inlineStr">
        <is>
          <t>Agent Performance</t>
        </is>
      </c>
      <c r="D47" s="3" t="inlineStr">
        <is>
          <t>Estimated customer wait time</t>
        </is>
      </c>
      <c r="E47" s="3">
        <f>unique_avg('customer_wait_time', txn_id, num(field('WAIT_SEC'),0))</f>
        <v/>
      </c>
      <c r="F47" t="inlineStr">
        <is>
          <t>unique_avg</t>
        </is>
      </c>
      <c r="G47" t="inlineStr">
        <is>
          <t>unique_avg('PROFILE.avg_processing_time', txn_id, num(field('PROCESSING_SEC'),0))</t>
        </is>
      </c>
      <c r="H47" t="inlineStr">
        <is>
          <t>object {value,sum,count}</t>
        </is>
      </c>
      <c r="I47" s="3" t="inlineStr">
        <is>
          <t>Unified naming: path starts without PROFILE prefix (as requested)</t>
        </is>
      </c>
    </row>
    <row r="48">
      <c r="A48" t="inlineStr">
        <is>
          <t>FEATURE</t>
        </is>
      </c>
      <c r="B48" t="inlineStr">
        <is>
          <t>service_completion_rate</t>
        </is>
      </c>
      <c r="C48" t="inlineStr">
        <is>
          <t>Agent Performance</t>
        </is>
      </c>
      <c r="D48" s="3" t="inlineStr">
        <is>
          <t>Service completion ratio</t>
        </is>
      </c>
      <c r="E48" s="3">
        <f>unique_rate('service_completion_rate', txn_id, if_(status=='COMPLETED',1,0))</f>
        <v/>
      </c>
      <c r="F48" t="inlineStr">
        <is>
          <t>unique_rate</t>
        </is>
      </c>
      <c r="G48" t="inlineStr">
        <is>
          <t>unique_rate('PROFILE.service_completion_rate', txn_id, if_(status=='COMPLETED',1,0))</t>
        </is>
      </c>
      <c r="H48" t="inlineStr">
        <is>
          <t>object {ratio,num,den}</t>
        </is>
      </c>
      <c r="I48" s="3" t="inlineStr">
        <is>
          <t>Unified naming: path starts without PROFILE prefix (as requested)</t>
        </is>
      </c>
    </row>
    <row r="49">
      <c r="A49" t="inlineStr">
        <is>
          <t>FEATURE</t>
        </is>
      </c>
      <c r="B49" t="inlineStr">
        <is>
          <t>amount_last_7_days</t>
        </is>
      </c>
      <c r="C49" t="inlineStr">
        <is>
          <t>Rolling / Window</t>
        </is>
      </c>
      <c r="D49" s="3" t="inlineStr">
        <is>
          <t>Total amount in last 7 days</t>
        </is>
      </c>
      <c r="E49" s="3">
        <f>window_sum('amount_stats', '7d')</f>
        <v/>
      </c>
      <c r="F49" t="inlineStr">
        <is>
          <t>window_sum</t>
        </is>
      </c>
      <c r="G49" t="inlineStr">
        <is>
          <t>window_sum('PROFILE.amount_stats', '7d')</t>
        </is>
      </c>
      <c r="H49" t="inlineStr">
        <is>
          <t>number</t>
        </is>
      </c>
      <c r="I49" s="3" t="inlineStr">
        <is>
          <t>Unified naming: path starts without PROFILE prefix (as requested)</t>
        </is>
      </c>
    </row>
    <row r="50">
      <c r="A50" t="inlineStr">
        <is>
          <t>FEATURE</t>
        </is>
      </c>
      <c r="B50" t="inlineStr">
        <is>
          <t>rolling_avg_amount</t>
        </is>
      </c>
      <c r="C50" t="inlineStr">
        <is>
          <t>Rolling / Window</t>
        </is>
      </c>
      <c r="D50" s="3" t="inlineStr">
        <is>
          <t>Moving average amount</t>
        </is>
      </c>
      <c r="E50" s="3">
        <f>window_avg('amount_stats', '7d')</f>
        <v/>
      </c>
      <c r="F50" t="inlineStr">
        <is>
          <t>window_avg</t>
        </is>
      </c>
      <c r="G50" t="inlineStr">
        <is>
          <t>window_avg('PROFILE.amount_stats', '7d')</t>
        </is>
      </c>
      <c r="H50" t="inlineStr">
        <is>
          <t>number</t>
        </is>
      </c>
      <c r="I50" s="3" t="inlineStr">
        <is>
          <t>Unified naming: path starts without PROFILE prefix (as requested)</t>
        </is>
      </c>
    </row>
    <row r="51">
      <c r="A51" t="inlineStr">
        <is>
          <t>FEATURE</t>
        </is>
      </c>
      <c r="B51" t="inlineStr">
        <is>
          <t>trend_increase_flag</t>
        </is>
      </c>
      <c r="C51" t="inlineStr">
        <is>
          <t>Rolling / Window</t>
        </is>
      </c>
      <c r="D51" s="3" t="inlineStr">
        <is>
          <t>Current trend increasing beyond threshold</t>
        </is>
      </c>
      <c r="E51" s="3">
        <f>trend_flag('trend_increase_flag', obj(short='1d',long='7d',metric='avg',source='amount_stats'))</f>
        <v/>
      </c>
      <c r="F51" t="inlineStr">
        <is>
          <t>trend_flag</t>
        </is>
      </c>
      <c r="G51" t="inlineStr">
        <is>
          <t>trend_flag('PROFILE.trend_increase_flag', obj(short='1d',long='7d',metric='avg',source='PROFILE.amount_stats'))</t>
        </is>
      </c>
      <c r="H51" t="inlineStr">
        <is>
          <t>object {value,short,long}</t>
        </is>
      </c>
      <c r="I51" s="3" t="inlineStr">
        <is>
          <t>Unified naming: path starts without PROFILE prefix (as requested)</t>
        </is>
      </c>
    </row>
    <row r="52">
      <c r="A52" t="inlineStr">
        <is>
          <t>FEATURE</t>
        </is>
      </c>
      <c r="B52" t="inlineStr">
        <is>
          <t>txn_sequence_pattern</t>
        </is>
      </c>
      <c r="C52" t="inlineStr">
        <is>
          <t>Pattern / Sequence</t>
        </is>
      </c>
      <c r="D52" s="3" t="inlineStr">
        <is>
          <t>Observed sequence such as withdraw -&gt; reversal -&gt; withdraw</t>
        </is>
      </c>
      <c r="E52" s="3">
        <f>sequence_update('txn_sequence_pattern', txn_id, obj(event=service,time=txn_time,pattern='A&gt;B&gt;A'))</f>
        <v/>
      </c>
      <c r="F52" t="inlineStr">
        <is>
          <t>sequence_update</t>
        </is>
      </c>
      <c r="G52" t="inlineStr">
        <is>
          <t>sequence_update('PROFILE.txn_sequence_pattern', txn_id, obj(event=service,time=txn_time,pattern='A&gt;B&gt;A'))</t>
        </is>
      </c>
      <c r="H52" t="inlineStr">
        <is>
          <t>object sequence state (tail,total,matched,...)</t>
        </is>
      </c>
      <c r="I52" s="3" t="inlineStr">
        <is>
          <t>Unified naming: path starts without PROFILE prefix (as requested)</t>
        </is>
      </c>
    </row>
    <row r="53">
      <c r="A53" t="inlineStr">
        <is>
          <t>FEATURE</t>
        </is>
      </c>
      <c r="B53" t="inlineStr">
        <is>
          <t>loop_pattern_flag</t>
        </is>
      </c>
      <c r="C53" t="inlineStr">
        <is>
          <t>Pattern / Sequence</t>
        </is>
      </c>
      <c r="D53" s="3" t="inlineStr">
        <is>
          <t>Repeated loop pattern in services/transactions</t>
        </is>
      </c>
      <c r="E53" s="3">
        <f>loop_flag('loop_pattern_flag', 'txn_sequence_pattern')</f>
        <v/>
      </c>
      <c r="F53" t="inlineStr">
        <is>
          <t>loop_flag</t>
        </is>
      </c>
      <c r="G53" t="inlineStr">
        <is>
          <t>loop_flag('PROFILE.loop_pattern_flag', 'PROFILE.txn_sequence_pattern')</t>
        </is>
      </c>
      <c r="H53" t="inlineStr">
        <is>
          <t>object {value,loops}</t>
        </is>
      </c>
      <c r="I53" s="3" t="inlineStr">
        <is>
          <t>Unified naming: path starts without PROFILE prefix (as requested)</t>
        </is>
      </c>
    </row>
    <row r="54">
      <c r="A54" t="inlineStr">
        <is>
          <t>FEATURE</t>
        </is>
      </c>
      <c r="B54" t="inlineStr">
        <is>
          <t>repeated_service_sequence</t>
        </is>
      </c>
      <c r="C54" t="inlineStr">
        <is>
          <t>Pattern / Sequence</t>
        </is>
      </c>
      <c r="D54" s="3" t="inlineStr">
        <is>
          <t>Same service sequence repeated abnormally</t>
        </is>
      </c>
      <c r="E54" s="3">
        <f>repeated_sequence('repeated_service_sequence', txn_id, service)</f>
        <v/>
      </c>
      <c r="F54" t="inlineStr">
        <is>
          <t>repeated_sequence</t>
        </is>
      </c>
      <c r="G54" t="inlineStr">
        <is>
          <t>repeated_sequence('PROFILE.repeated_service_sequence', txn_id, service)</t>
        </is>
      </c>
      <c r="H54" t="inlineStr">
        <is>
          <t>object {repeat_rate,streak,counts,tail,...}</t>
        </is>
      </c>
      <c r="I54" s="3" t="inlineStr">
        <is>
          <t>Unified naming: path starts without PROFILE prefix (as requested)</t>
        </is>
      </c>
    </row>
  </sheetData>
  <autoFilter ref="A1:I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2026-04-27T08:29:18Z</dcterms:created>
  <dcterms:modified xmlns:dcterms="http://purl.org/dc/terms/" xmlns:xsi="http://www.w3.org/2001/XMLSchema-instance" xsi:type="dcterms:W3CDTF">2026-04-27T11:29:28Z</dcterms:modified>
</cp:coreProperties>
</file>