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Task Tracker" sheetId="4" state="visible" r:id="rId4"/>
    <sheet xmlns:r="http://schemas.openxmlformats.org/officeDocument/2006/relationships" name="Milestone Tracker" sheetId="5" state="visible" r:id="rId5"/>
    <sheet xmlns:r="http://schemas.openxmlformats.org/officeDocument/2006/relationships" name="Issue Tracker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source Tracker" sheetId="8" state="visible" r:id="rId8"/>
    <sheet xmlns:r="http://schemas.openxmlformats.org/officeDocument/2006/relationships" name="Change Request Tracker" sheetId="9" state="visible" r:id="rId9"/>
    <sheet xmlns:r="http://schemas.openxmlformats.org/officeDocument/2006/relationships" name="UAT Testing Tracker" sheetId="10" state="visible" r:id="rId10"/>
    <sheet xmlns:r="http://schemas.openxmlformats.org/officeDocument/2006/relationships" name="Deployment Tracker" sheetId="11" state="visible" r:id="rId11"/>
    <sheet xmlns:r="http://schemas.openxmlformats.org/officeDocument/2006/relationships" name="Data - Project Master" sheetId="12" state="hidden" r:id="rId12"/>
    <sheet xmlns:r="http://schemas.openxmlformats.org/officeDocument/2006/relationships" name="Data - Task Tracker" sheetId="13" state="hidden" r:id="rId13"/>
    <sheet xmlns:r="http://schemas.openxmlformats.org/officeDocument/2006/relationships" name="Data - Milestone Tracker" sheetId="14" state="hidden" r:id="rId14"/>
    <sheet xmlns:r="http://schemas.openxmlformats.org/officeDocument/2006/relationships" name="Data - Issue Tracker" sheetId="15" state="hidden" r:id="rId15"/>
    <sheet xmlns:r="http://schemas.openxmlformats.org/officeDocument/2006/relationships" name="Data - Risk Register" sheetId="16" state="hidden" r:id="rId16"/>
    <sheet xmlns:r="http://schemas.openxmlformats.org/officeDocument/2006/relationships" name="Data - Resource Tracker" sheetId="17" state="hidden" r:id="rId17"/>
    <sheet xmlns:r="http://schemas.openxmlformats.org/officeDocument/2006/relationships" name="Data - Change Request Tracker" sheetId="18" state="hidden" r:id="rId18"/>
    <sheet xmlns:r="http://schemas.openxmlformats.org/officeDocument/2006/relationships" name="Data - UAT Testing Tracker" sheetId="19" state="hidden" r:id="rId19"/>
    <sheet xmlns:r="http://schemas.openxmlformats.org/officeDocument/2006/relationships" name="Data - Deployment Tracker" sheetId="20" state="hidden" r:id="rId20"/>
    <sheet xmlns:r="http://schemas.openxmlformats.org/officeDocument/2006/relationships" name="Lists" sheetId="21" state="hidden" r:id="rId21"/>
  </sheets>
  <definedNames>
    <definedName name="_xlnm._FilterDatabase" localSheetId="11" hidden="1">'Data - Project Master'!$A$1:$N$350</definedName>
    <definedName name="_xlnm._FilterDatabase" localSheetId="12" hidden="1">'Data - Task Tracker'!$A$1:$N$600</definedName>
    <definedName name="_xlnm._FilterDatabase" localSheetId="13" hidden="1">'Data - Milestone Tracker'!$A$1:$I$350</definedName>
    <definedName name="_xlnm._FilterDatabase" localSheetId="14" hidden="1">'Data - Issue Tracker'!$A$1:$L$400</definedName>
    <definedName name="_xlnm._FilterDatabase" localSheetId="15" hidden="1">'Data - Risk Register'!$A$1:$K$350</definedName>
    <definedName name="_xlnm._FilterDatabase" localSheetId="16" hidden="1">'Data - Resource Tracker'!$A$1:$I$350</definedName>
    <definedName name="_xlnm._FilterDatabase" localSheetId="17" hidden="1">'Data - Change Request Tracker'!$A$1:$K$350</definedName>
    <definedName name="_xlnm._FilterDatabase" localSheetId="18" hidden="1">'Data - UAT Testing Tracker'!$A$1:$J$350</definedName>
    <definedName name="_xlnm._FilterDatabase" localSheetId="19" hidden="1">'Data - Deployment Tracker'!$A$1:$I$250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-mmm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F4E78"/>
    </font>
    <font>
      <b val="1"/>
      <color rgb="001F4E78"/>
      <sz val="9"/>
    </font>
    <font>
      <i val="1"/>
      <color rgb="00666666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/>
    </xf>
    <xf numFmtId="9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3" borderId="1" pivotButton="0" quotePrefix="0" xfId="0"/>
    <xf numFmtId="164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2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/>
    </xf>
    <xf numFmtId="165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Dashboard'!$A$14:$A$19</f>
            </numRef>
          </cat>
          <val>
            <numRef>
              <f>'Project Dashboard'!$B$14:$B$19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Mix</a:t>
            </a:r>
          </a:p>
        </rich>
      </tx>
    </title>
    <plotArea>
      <doughnutChart>
        <varyColors val="1"/>
        <ser>
          <idx val="0"/>
          <order val="0"/>
          <tx>
            <strRef>
              <f>'Project 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Dashboard'!$D$14:$D$17</f>
            </numRef>
          </cat>
          <val>
            <numRef>
              <f>'Project Dashboard'!$E$14:$E$17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Software Delivery Portfolio Dashboard - No Script</t>
        </is>
      </c>
    </row>
    <row r="2"/>
    <row r="3">
      <c r="A3" s="2" t="inlineStr">
        <is>
          <t>Project ID</t>
        </is>
      </c>
      <c r="B3" s="3" t="inlineStr">
        <is>
          <t>All</t>
        </is>
      </c>
      <c r="D3" s="2" t="inlineStr">
        <is>
          <t>Status</t>
        </is>
      </c>
      <c r="E3" s="3" t="inlineStr">
        <is>
          <t>All</t>
        </is>
      </c>
      <c r="G3" s="2" t="inlineStr">
        <is>
          <t>Priority</t>
        </is>
      </c>
      <c r="H3" s="3" t="inlineStr">
        <is>
          <t>All</t>
        </is>
      </c>
      <c r="J3" s="2" t="inlineStr">
        <is>
          <t>Risk</t>
        </is>
      </c>
      <c r="K3" s="3" t="inlineStr">
        <is>
          <t>All</t>
        </is>
      </c>
      <c r="M3" s="2" t="inlineStr">
        <is>
          <t>PM</t>
        </is>
      </c>
      <c r="N3" s="3" t="inlineStr">
        <is>
          <t>All</t>
        </is>
      </c>
    </row>
    <row r="4"/>
    <row r="5">
      <c r="A5" s="4" t="inlineStr">
        <is>
          <t>Total Projects</t>
        </is>
      </c>
      <c r="B5" s="20" t="n"/>
      <c r="C5" s="4" t="inlineStr">
        <is>
          <t>Active</t>
        </is>
      </c>
      <c r="D5" s="20" t="n"/>
      <c r="E5" s="5" t="inlineStr">
        <is>
          <t>Completed</t>
        </is>
      </c>
      <c r="F5" s="20" t="n"/>
      <c r="G5" s="6" t="inlineStr">
        <is>
          <t>Delayed</t>
        </is>
      </c>
      <c r="H5" s="20" t="n"/>
      <c r="I5" s="5" t="inlineStr">
        <is>
          <t>Overall Completion</t>
        </is>
      </c>
      <c r="J5" s="20" t="n"/>
      <c r="K5" s="6" t="inlineStr">
        <is>
          <t>High Risk</t>
        </is>
      </c>
      <c r="L5" s="20" t="n"/>
      <c r="M5" s="7" t="inlineStr">
        <is>
          <t>Open Issues</t>
        </is>
      </c>
      <c r="N5" s="20" t="n"/>
    </row>
    <row r="6">
      <c r="A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</f>
        <v/>
      </c>
      <c r="B6" s="21" t="n"/>
      <c r="C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Master'!$I$2:$I$350="Active"))</f>
        <v/>
      </c>
      <c r="D6" s="21" t="n"/>
      <c r="E6" s="5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Master'!$I$2:$I$350="Completed"))</f>
        <v/>
      </c>
      <c r="F6" s="21" t="n"/>
      <c r="G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Master'!$I$2:$I$350="Delayed"))</f>
        <v/>
      </c>
      <c r="H6" s="21" t="n"/>
      <c r="I6" s="8">
        <f>IFERROR(AVERAGE(FILTER('Data - Project Master'!$K$2:$K$350,('Data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Master'!$D$2:$D$350=$N$3)))),0)</f>
        <v/>
      </c>
      <c r="J6" s="21" t="n"/>
      <c r="K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Master'!$D$2:$D$350=$N$3))*--((('Data - Project Master'!$M$2:$M$350="High")+('Data - Project Master'!$M$2:$M$350="Critical"))&gt;0))</f>
        <v/>
      </c>
      <c r="L6" s="21" t="n"/>
      <c r="M6" s="7">
        <f>COUNTIFS('Data - Issue Tracker'!H:H,"&lt;&gt;Closed",'Data - Issue Tracker'!A:A,"&lt;&gt;")</f>
        <v/>
      </c>
      <c r="N6" s="21" t="n"/>
    </row>
    <row r="7">
      <c r="A7" s="22" t="n"/>
      <c r="B7" s="23" t="n"/>
      <c r="C7" s="22" t="n"/>
      <c r="D7" s="23" t="n"/>
      <c r="E7" s="22" t="n"/>
      <c r="F7" s="23" t="n"/>
      <c r="G7" s="22" t="n"/>
      <c r="H7" s="23" t="n"/>
      <c r="I7" s="22" t="n"/>
      <c r="J7" s="23" t="n"/>
      <c r="K7" s="22" t="n"/>
      <c r="L7" s="23" t="n"/>
      <c r="M7" s="22" t="n"/>
      <c r="N7" s="23" t="n"/>
    </row>
    <row r="8"/>
    <row r="9">
      <c r="A9" s="7" t="inlineStr">
        <is>
          <t>Pending Tasks</t>
        </is>
      </c>
      <c r="B9" s="20" t="n"/>
      <c r="C9" s="6" t="inlineStr">
        <is>
          <t>Blocked Tasks</t>
        </is>
      </c>
      <c r="D9" s="20" t="n"/>
      <c r="E9" s="6" t="inlineStr">
        <is>
          <t>Critical Risks</t>
        </is>
      </c>
      <c r="F9" s="20" t="n"/>
      <c r="G9" s="7" t="inlineStr">
        <is>
          <t>CR Pending</t>
        </is>
      </c>
      <c r="H9" s="20" t="n"/>
      <c r="I9" s="6" t="inlineStr">
        <is>
          <t>Failed Tests</t>
        </is>
      </c>
      <c r="J9" s="20" t="n"/>
      <c r="K9" s="4" t="inlineStr">
        <is>
          <t>Avg Workload</t>
        </is>
      </c>
      <c r="L9" s="20" t="n"/>
      <c r="M9" s="7" t="inlineStr">
        <is>
          <t>Next 30D Milestones</t>
        </is>
      </c>
      <c r="N9" s="20" t="n"/>
    </row>
    <row r="10">
      <c r="A10" s="7">
        <f>COUNTIFS('Data - Task Tracker'!I:I,"&lt;&gt;Completed",'Data - Task Tracker'!A:A,"&lt;&gt;")</f>
        <v/>
      </c>
      <c r="B10" s="21" t="n"/>
      <c r="C10" s="6">
        <f>COUNTIF('Data - Task Tracker'!I:I,"Blocked")</f>
        <v/>
      </c>
      <c r="D10" s="21" t="n"/>
      <c r="E10" s="6">
        <f>COUNTIF('Data - Risk Register'!G:G,"Critical")</f>
        <v/>
      </c>
      <c r="F10" s="21" t="n"/>
      <c r="G10" s="7">
        <f>COUNTIF('Data - Change Request Tracker'!H:H,"Pending")</f>
        <v/>
      </c>
      <c r="H10" s="21" t="n"/>
      <c r="I10" s="6">
        <f>COUNTIF('Data - UAT Testing Tracker'!G:G,"Fail")</f>
        <v/>
      </c>
      <c r="J10" s="21" t="n"/>
      <c r="K10" s="9">
        <f>IFERROR(AVERAGE('Data - Resource Tracker'!H:H),0)</f>
        <v/>
      </c>
      <c r="L10" s="21" t="n"/>
      <c r="M10" s="25">
        <f>COUNTIFS('Data - Milestone Tracker'!D:D,"&gt;="&amp;TODAY(),'Data - Milestone Tracker'!D:D,"&lt;="&amp;TODAY()+30,'Data - Milestone Tracker'!F:F,"&lt;&gt;Completed")</f>
        <v/>
      </c>
      <c r="N10" s="21" t="n"/>
    </row>
    <row r="11">
      <c r="A11" s="22" t="n"/>
      <c r="B11" s="23" t="n"/>
      <c r="C11" s="22" t="n"/>
      <c r="D11" s="23" t="n"/>
      <c r="E11" s="22" t="n"/>
      <c r="F11" s="23" t="n"/>
      <c r="G11" s="22" t="n"/>
      <c r="H11" s="23" t="n"/>
      <c r="I11" s="22" t="n"/>
      <c r="J11" s="23" t="n"/>
      <c r="K11" s="22" t="n"/>
      <c r="L11" s="23" t="n"/>
      <c r="M11" s="22" t="n"/>
      <c r="N11" s="23" t="n"/>
    </row>
    <row r="12"/>
    <row r="13">
      <c r="A13" s="10" t="inlineStr">
        <is>
          <t>Status</t>
        </is>
      </c>
      <c r="B13" s="10" t="inlineStr">
        <is>
          <t>Count</t>
        </is>
      </c>
      <c r="D13" s="10" t="inlineStr">
        <is>
          <t>Risk</t>
        </is>
      </c>
      <c r="E13" s="10" t="inlineStr">
        <is>
          <t>Count</t>
        </is>
      </c>
    </row>
    <row r="14">
      <c r="A14" t="inlineStr">
        <is>
          <t>Not Started</t>
        </is>
      </c>
      <c r="B14">
        <f>COUNTIF('Data - Project Master'!I:I,A14)</f>
        <v/>
      </c>
      <c r="D14" t="inlineStr">
        <is>
          <t>Low</t>
        </is>
      </c>
      <c r="E14">
        <f>COUNTIF('Data - Project Master'!M:M,D14)</f>
        <v/>
      </c>
    </row>
    <row r="15">
      <c r="A15" t="inlineStr">
        <is>
          <t>Active</t>
        </is>
      </c>
      <c r="B15">
        <f>COUNTIF('Data - Project Master'!I:I,A15)</f>
        <v/>
      </c>
      <c r="D15" t="inlineStr">
        <is>
          <t>Medium</t>
        </is>
      </c>
      <c r="E15">
        <f>COUNTIF('Data - Project Master'!M:M,D15)</f>
        <v/>
      </c>
    </row>
    <row r="16">
      <c r="A16" t="inlineStr">
        <is>
          <t>On Hold</t>
        </is>
      </c>
      <c r="B16">
        <f>COUNTIF('Data - Project Master'!I:I,A16)</f>
        <v/>
      </c>
      <c r="D16" t="inlineStr">
        <is>
          <t>High</t>
        </is>
      </c>
      <c r="E16">
        <f>COUNTIF('Data - Project Master'!M:M,D16)</f>
        <v/>
      </c>
    </row>
    <row r="17">
      <c r="A17" t="inlineStr">
        <is>
          <t>Completed</t>
        </is>
      </c>
      <c r="B17">
        <f>COUNTIF('Data - Project Master'!I:I,A17)</f>
        <v/>
      </c>
      <c r="D17" t="inlineStr">
        <is>
          <t>Critical</t>
        </is>
      </c>
      <c r="E17">
        <f>COUNTIF('Data - Project Master'!M:M,D17)</f>
        <v/>
      </c>
    </row>
    <row r="18">
      <c r="A18" t="inlineStr">
        <is>
          <t>Delayed</t>
        </is>
      </c>
      <c r="B18">
        <f>COUNTIF('Data - Project Master'!I:I,A18)</f>
        <v/>
      </c>
    </row>
    <row r="19">
      <c r="A19" t="inlineStr">
        <is>
          <t>Cancelled</t>
        </is>
      </c>
      <c r="B19">
        <f>COUNTIF('Data - Project Master'!I:I,A19)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9">
    <mergeCell ref="E6:F7"/>
    <mergeCell ref="G6:H7"/>
    <mergeCell ref="M6:N7"/>
    <mergeCell ref="C5:D5"/>
    <mergeCell ref="K9:L9"/>
    <mergeCell ref="E5:F5"/>
    <mergeCell ref="K5:L5"/>
    <mergeCell ref="M9:N9"/>
    <mergeCell ref="M5:N5"/>
    <mergeCell ref="A1:N1"/>
    <mergeCell ref="I10:J11"/>
    <mergeCell ref="A10:B11"/>
    <mergeCell ref="K10:L11"/>
    <mergeCell ref="C9:D9"/>
    <mergeCell ref="E9:F9"/>
    <mergeCell ref="C6:D7"/>
    <mergeCell ref="I6:J7"/>
    <mergeCell ref="K6:L7"/>
    <mergeCell ref="A5:B5"/>
    <mergeCell ref="G5:H5"/>
    <mergeCell ref="I5:J5"/>
    <mergeCell ref="C10:D11"/>
    <mergeCell ref="E10:F11"/>
    <mergeCell ref="G10:H11"/>
    <mergeCell ref="A6:B7"/>
    <mergeCell ref="M10:N11"/>
    <mergeCell ref="A9:B9"/>
    <mergeCell ref="G9:H9"/>
    <mergeCell ref="I9:J9"/>
  </mergeCells>
  <dataValidations count="5">
    <dataValidation sqref="B3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3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H3" showDropDown="0" showInputMessage="0" showErrorMessage="1" allowBlank="1" errorTitle="Invalid selection" error="Select from dropdown." type="list">
      <formula1>"All,Low,Medium,High,Critical"</formula1>
    </dataValidation>
    <dataValidation sqref="K3" showDropDown="0" showInputMessage="0" showErrorMessage="1" allowBlank="1" errorTitle="Invalid selection" error="Select from dropdown." type="list">
      <formula1>"All,Low,Medium,High,Critical"</formula1>
    </dataValidation>
    <dataValidation sqref="N3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00"/>
  <sheetViews>
    <sheetView showGridLines="0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>
      <c r="A1" s="11" t="inlineStr">
        <is>
          <t>Gantt Chart - No Script Filtered View</t>
        </is>
      </c>
    </row>
    <row r="2">
      <c r="B2" s="2" t="inlineStr">
        <is>
          <t>Project ID</t>
        </is>
      </c>
      <c r="C2" s="12" t="inlineStr">
        <is>
          <t>All</t>
        </is>
      </c>
      <c r="D2" s="2" t="inlineStr">
        <is>
          <t>Status</t>
        </is>
      </c>
      <c r="E2" s="12" t="inlineStr">
        <is>
          <t>All</t>
        </is>
      </c>
      <c r="F2" s="2" t="inlineStr">
        <is>
          <t>Assigned To</t>
        </is>
      </c>
      <c r="G2" s="12" t="inlineStr">
        <is>
          <t>All</t>
        </is>
      </c>
      <c r="H2" s="2" t="inlineStr">
        <is>
          <t>Priority</t>
        </is>
      </c>
      <c r="I2" s="12" t="inlineStr">
        <is>
          <t>All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24">
        <f>TODAY()-WEEKDAY(TODAY(),2)-28</f>
        <v/>
      </c>
      <c r="L4" s="24">
        <f>K4+7</f>
        <v/>
      </c>
      <c r="M4" s="24">
        <f>L4+7</f>
        <v/>
      </c>
      <c r="N4" s="24">
        <f>M4+7</f>
        <v/>
      </c>
      <c r="O4" s="24">
        <f>N4+7</f>
        <v/>
      </c>
      <c r="P4" s="24">
        <f>O4+7</f>
        <v/>
      </c>
      <c r="Q4" s="24">
        <f>P4+7</f>
        <v/>
      </c>
      <c r="R4" s="24">
        <f>Q4+7</f>
        <v/>
      </c>
      <c r="S4" s="24">
        <f>R4+7</f>
        <v/>
      </c>
      <c r="T4" s="24">
        <f>S4+7</f>
        <v/>
      </c>
      <c r="U4" s="24">
        <f>T4+7</f>
        <v/>
      </c>
      <c r="V4" s="24">
        <f>U4+7</f>
        <v/>
      </c>
      <c r="W4" s="24">
        <f>V4+7</f>
        <v/>
      </c>
      <c r="X4" s="24">
        <f>W4+7</f>
        <v/>
      </c>
      <c r="Y4" s="24">
        <f>X4+7</f>
        <v/>
      </c>
      <c r="Z4" s="24">
        <f>Y4+7</f>
        <v/>
      </c>
      <c r="AA4" s="24">
        <f>Z4+7</f>
        <v/>
      </c>
      <c r="AB4" s="24">
        <f>AA4+7</f>
        <v/>
      </c>
      <c r="AC4" s="24">
        <f>AB4+7</f>
        <v/>
      </c>
      <c r="AD4" s="24">
        <f>AC4+7</f>
        <v/>
      </c>
      <c r="AE4" s="24">
        <f>AD4+7</f>
        <v/>
      </c>
      <c r="AF4" s="24">
        <f>AE4+7</f>
        <v/>
      </c>
      <c r="AG4" s="24">
        <f>AF4+7</f>
        <v/>
      </c>
      <c r="AH4" s="24">
        <f>AG4+7</f>
        <v/>
      </c>
      <c r="AI4" s="24">
        <f>AH4+7</f>
        <v/>
      </c>
      <c r="AJ4" s="24">
        <f>AI4+7</f>
        <v/>
      </c>
      <c r="AK4" s="24">
        <f>AJ4+7</f>
        <v/>
      </c>
      <c r="AL4" s="24">
        <f>AK4+7</f>
        <v/>
      </c>
      <c r="AM4" s="24">
        <f>AL4+7</f>
        <v/>
      </c>
      <c r="AN4" s="24">
        <f>AM4+7</f>
        <v/>
      </c>
      <c r="AO4" s="24">
        <f>AN4+7</f>
        <v/>
      </c>
      <c r="AP4" s="24">
        <f>AO4+7</f>
        <v/>
      </c>
      <c r="AQ4" s="24">
        <f>AP4+7</f>
        <v/>
      </c>
      <c r="AR4" s="24">
        <f>AQ4+7</f>
        <v/>
      </c>
      <c r="AS4" s="24">
        <f>AR4+7</f>
        <v/>
      </c>
      <c r="AT4" s="24">
        <f>AS4+7</f>
        <v/>
      </c>
      <c r="AU4" s="24">
        <f>AT4+7</f>
        <v/>
      </c>
      <c r="AV4" s="24">
        <f>AU4+7</f>
        <v/>
      </c>
      <c r="AW4" s="24">
        <f>AV4+7</f>
        <v/>
      </c>
      <c r="AX4" s="24">
        <f>AW4+7</f>
        <v/>
      </c>
      <c r="AY4" s="24">
        <f>AX4+7</f>
        <v/>
      </c>
      <c r="AZ4" s="24">
        <f>AY4+7</f>
        <v/>
      </c>
      <c r="BA4" s="24">
        <f>AZ4+7</f>
        <v/>
      </c>
      <c r="BB4" s="24">
        <f>BA4+7</f>
        <v/>
      </c>
      <c r="BC4" s="24">
        <f>BB4+7</f>
        <v/>
      </c>
      <c r="BD4" s="24">
        <f>BC4+7</f>
        <v/>
      </c>
      <c r="BE4" s="24">
        <f>BD4+7</f>
        <v/>
      </c>
      <c r="BF4" s="24">
        <f>BE4+7</f>
        <v/>
      </c>
      <c r="BG4" s="24">
        <f>BF4+7</f>
        <v/>
      </c>
      <c r="BH4" s="24">
        <f>BG4+7</f>
        <v/>
      </c>
      <c r="BI4" s="24">
        <f>BH4+7</f>
        <v/>
      </c>
      <c r="BJ4" s="24">
        <f>BI4+7</f>
        <v/>
      </c>
    </row>
    <row r="5">
      <c r="A5" s="14">
        <f>IFERROR(FILTER('Data - Task Tracker'!A2:J600,('Data - Task Tracker'!A2:A600&lt;&gt;"")*(IF(C2="All",TRUE,'Data - Task Tracker'!$B$2:$B$600=C2))*(IF(E2="All",TRUE,'Data - Task Tracker'!$I$2:$I$600=E2))*(IF(G2="All",TRUE,'Data - Task Tracker'!$E$2:$E$600=G2))*(IF(I2="All",TRUE,'Data - Task Tracker'!$J$2:$J$600=I2))),"No matching tasks")</f>
        <v/>
      </c>
      <c r="B5" s="14" t="n"/>
      <c r="C5" s="14" t="n"/>
      <c r="D5" s="14" t="n"/>
      <c r="E5" s="14" t="n"/>
      <c r="F5" s="26" t="n"/>
      <c r="G5" s="26" t="n"/>
      <c r="H5" s="26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</row>
    <row r="6">
      <c r="A6" s="14" t="n"/>
      <c r="B6" s="14" t="n"/>
      <c r="C6" s="14" t="n"/>
      <c r="D6" s="14" t="n"/>
      <c r="E6" s="14" t="n"/>
      <c r="F6" s="26" t="n"/>
      <c r="G6" s="26" t="n"/>
      <c r="H6" s="26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</row>
    <row r="7">
      <c r="A7" s="14" t="n"/>
      <c r="B7" s="14" t="n"/>
      <c r="C7" s="14" t="n"/>
      <c r="D7" s="14" t="n"/>
      <c r="E7" s="14" t="n"/>
      <c r="F7" s="26" t="n"/>
      <c r="G7" s="26" t="n"/>
      <c r="H7" s="26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</row>
    <row r="8">
      <c r="A8" s="14" t="n"/>
      <c r="B8" s="14" t="n"/>
      <c r="C8" s="14" t="n"/>
      <c r="D8" s="14" t="n"/>
      <c r="E8" s="14" t="n"/>
      <c r="F8" s="26" t="n"/>
      <c r="G8" s="26" t="n"/>
      <c r="H8" s="26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</row>
    <row r="9">
      <c r="A9" s="14" t="n"/>
      <c r="B9" s="14" t="n"/>
      <c r="C9" s="14" t="n"/>
      <c r="D9" s="14" t="n"/>
      <c r="E9" s="14" t="n"/>
      <c r="F9" s="26" t="n"/>
      <c r="G9" s="26" t="n"/>
      <c r="H9" s="26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</row>
    <row r="10">
      <c r="A10" s="14" t="n"/>
      <c r="B10" s="14" t="n"/>
      <c r="C10" s="14" t="n"/>
      <c r="D10" s="14" t="n"/>
      <c r="E10" s="14" t="n"/>
      <c r="F10" s="26" t="n"/>
      <c r="G10" s="26" t="n"/>
      <c r="H10" s="26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</row>
    <row r="11">
      <c r="A11" s="14" t="n"/>
      <c r="B11" s="14" t="n"/>
      <c r="C11" s="14" t="n"/>
      <c r="D11" s="14" t="n"/>
      <c r="E11" s="14" t="n"/>
      <c r="F11" s="26" t="n"/>
      <c r="G11" s="26" t="n"/>
      <c r="H11" s="26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</row>
    <row r="12">
      <c r="A12" s="14" t="n"/>
      <c r="B12" s="14" t="n"/>
      <c r="C12" s="14" t="n"/>
      <c r="D12" s="14" t="n"/>
      <c r="E12" s="14" t="n"/>
      <c r="F12" s="26" t="n"/>
      <c r="G12" s="26" t="n"/>
      <c r="H12" s="26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</row>
    <row r="13">
      <c r="A13" s="14" t="n"/>
      <c r="B13" s="14" t="n"/>
      <c r="C13" s="14" t="n"/>
      <c r="D13" s="14" t="n"/>
      <c r="E13" s="14" t="n"/>
      <c r="F13" s="26" t="n"/>
      <c r="G13" s="26" t="n"/>
      <c r="H13" s="26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</row>
    <row r="14">
      <c r="A14" s="14" t="n"/>
      <c r="B14" s="14" t="n"/>
      <c r="C14" s="14" t="n"/>
      <c r="D14" s="14" t="n"/>
      <c r="E14" s="14" t="n"/>
      <c r="F14" s="26" t="n"/>
      <c r="G14" s="26" t="n"/>
      <c r="H14" s="26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</row>
    <row r="15">
      <c r="A15" s="14" t="n"/>
      <c r="B15" s="14" t="n"/>
      <c r="C15" s="14" t="n"/>
      <c r="D15" s="14" t="n"/>
      <c r="E15" s="14" t="n"/>
      <c r="F15" s="26" t="n"/>
      <c r="G15" s="26" t="n"/>
      <c r="H15" s="26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</row>
    <row r="16">
      <c r="A16" s="14" t="n"/>
      <c r="B16" s="14" t="n"/>
      <c r="C16" s="14" t="n"/>
      <c r="D16" s="14" t="n"/>
      <c r="E16" s="14" t="n"/>
      <c r="F16" s="26" t="n"/>
      <c r="G16" s="26" t="n"/>
      <c r="H16" s="26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</row>
    <row r="17">
      <c r="A17" s="14" t="n"/>
      <c r="B17" s="14" t="n"/>
      <c r="C17" s="14" t="n"/>
      <c r="D17" s="14" t="n"/>
      <c r="E17" s="14" t="n"/>
      <c r="F17" s="26" t="n"/>
      <c r="G17" s="26" t="n"/>
      <c r="H17" s="26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</row>
    <row r="18">
      <c r="A18" s="14" t="n"/>
      <c r="B18" s="14" t="n"/>
      <c r="C18" s="14" t="n"/>
      <c r="D18" s="14" t="n"/>
      <c r="E18" s="14" t="n"/>
      <c r="F18" s="26" t="n"/>
      <c r="G18" s="26" t="n"/>
      <c r="H18" s="26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</row>
    <row r="19">
      <c r="A19" s="14" t="n"/>
      <c r="B19" s="14" t="n"/>
      <c r="C19" s="14" t="n"/>
      <c r="D19" s="14" t="n"/>
      <c r="E19" s="14" t="n"/>
      <c r="F19" s="26" t="n"/>
      <c r="G19" s="26" t="n"/>
      <c r="H19" s="26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</row>
    <row r="20">
      <c r="A20" s="14" t="n"/>
      <c r="B20" s="14" t="n"/>
      <c r="C20" s="14" t="n"/>
      <c r="D20" s="14" t="n"/>
      <c r="E20" s="14" t="n"/>
      <c r="F20" s="26" t="n"/>
      <c r="G20" s="26" t="n"/>
      <c r="H20" s="26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</row>
    <row r="21">
      <c r="A21" s="14" t="n"/>
      <c r="B21" s="14" t="n"/>
      <c r="C21" s="14" t="n"/>
      <c r="D21" s="14" t="n"/>
      <c r="E21" s="14" t="n"/>
      <c r="F21" s="26" t="n"/>
      <c r="G21" s="26" t="n"/>
      <c r="H21" s="26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</row>
    <row r="22">
      <c r="A22" s="14" t="n"/>
      <c r="B22" s="14" t="n"/>
      <c r="C22" s="14" t="n"/>
      <c r="D22" s="14" t="n"/>
      <c r="E22" s="14" t="n"/>
      <c r="F22" s="26" t="n"/>
      <c r="G22" s="26" t="n"/>
      <c r="H22" s="26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</row>
    <row r="23">
      <c r="A23" s="14" t="n"/>
      <c r="B23" s="14" t="n"/>
      <c r="C23" s="14" t="n"/>
      <c r="D23" s="14" t="n"/>
      <c r="E23" s="14" t="n"/>
      <c r="F23" s="26" t="n"/>
      <c r="G23" s="26" t="n"/>
      <c r="H23" s="26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</row>
    <row r="24">
      <c r="A24" s="14" t="n"/>
      <c r="B24" s="14" t="n"/>
      <c r="C24" s="14" t="n"/>
      <c r="D24" s="14" t="n"/>
      <c r="E24" s="14" t="n"/>
      <c r="F24" s="26" t="n"/>
      <c r="G24" s="26" t="n"/>
      <c r="H24" s="26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</row>
    <row r="25">
      <c r="A25" s="14" t="n"/>
      <c r="B25" s="14" t="n"/>
      <c r="C25" s="14" t="n"/>
      <c r="D25" s="14" t="n"/>
      <c r="E25" s="14" t="n"/>
      <c r="F25" s="26" t="n"/>
      <c r="G25" s="26" t="n"/>
      <c r="H25" s="26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</row>
    <row r="26">
      <c r="A26" s="14" t="n"/>
      <c r="B26" s="14" t="n"/>
      <c r="C26" s="14" t="n"/>
      <c r="D26" s="14" t="n"/>
      <c r="E26" s="14" t="n"/>
      <c r="F26" s="26" t="n"/>
      <c r="G26" s="26" t="n"/>
      <c r="H26" s="26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</row>
    <row r="27">
      <c r="A27" s="14" t="n"/>
      <c r="B27" s="14" t="n"/>
      <c r="C27" s="14" t="n"/>
      <c r="D27" s="14" t="n"/>
      <c r="E27" s="14" t="n"/>
      <c r="F27" s="26" t="n"/>
      <c r="G27" s="26" t="n"/>
      <c r="H27" s="26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</row>
    <row r="28">
      <c r="A28" s="14" t="n"/>
      <c r="B28" s="14" t="n"/>
      <c r="C28" s="14" t="n"/>
      <c r="D28" s="14" t="n"/>
      <c r="E28" s="14" t="n"/>
      <c r="F28" s="26" t="n"/>
      <c r="G28" s="26" t="n"/>
      <c r="H28" s="26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</row>
    <row r="29">
      <c r="A29" s="14" t="n"/>
      <c r="B29" s="14" t="n"/>
      <c r="C29" s="14" t="n"/>
      <c r="D29" s="14" t="n"/>
      <c r="E29" s="14" t="n"/>
      <c r="F29" s="26" t="n"/>
      <c r="G29" s="26" t="n"/>
      <c r="H29" s="26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</row>
    <row r="30">
      <c r="A30" s="14" t="n"/>
      <c r="B30" s="14" t="n"/>
      <c r="C30" s="14" t="n"/>
      <c r="D30" s="14" t="n"/>
      <c r="E30" s="14" t="n"/>
      <c r="F30" s="26" t="n"/>
      <c r="G30" s="26" t="n"/>
      <c r="H30" s="26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</row>
    <row r="31">
      <c r="A31" s="14" t="n"/>
      <c r="B31" s="14" t="n"/>
      <c r="C31" s="14" t="n"/>
      <c r="D31" s="14" t="n"/>
      <c r="E31" s="14" t="n"/>
      <c r="F31" s="26" t="n"/>
      <c r="G31" s="26" t="n"/>
      <c r="H31" s="26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</row>
    <row r="32">
      <c r="A32" s="14" t="n"/>
      <c r="B32" s="14" t="n"/>
      <c r="C32" s="14" t="n"/>
      <c r="D32" s="14" t="n"/>
      <c r="E32" s="14" t="n"/>
      <c r="F32" s="26" t="n"/>
      <c r="G32" s="26" t="n"/>
      <c r="H32" s="26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</row>
    <row r="33">
      <c r="A33" s="14" t="n"/>
      <c r="B33" s="14" t="n"/>
      <c r="C33" s="14" t="n"/>
      <c r="D33" s="14" t="n"/>
      <c r="E33" s="14" t="n"/>
      <c r="F33" s="26" t="n"/>
      <c r="G33" s="26" t="n"/>
      <c r="H33" s="26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</row>
    <row r="34">
      <c r="A34" s="14" t="n"/>
      <c r="B34" s="14" t="n"/>
      <c r="C34" s="14" t="n"/>
      <c r="D34" s="14" t="n"/>
      <c r="E34" s="14" t="n"/>
      <c r="F34" s="26" t="n"/>
      <c r="G34" s="26" t="n"/>
      <c r="H34" s="26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</row>
    <row r="35">
      <c r="A35" s="14" t="n"/>
      <c r="B35" s="14" t="n"/>
      <c r="C35" s="14" t="n"/>
      <c r="D35" s="14" t="n"/>
      <c r="E35" s="14" t="n"/>
      <c r="F35" s="26" t="n"/>
      <c r="G35" s="26" t="n"/>
      <c r="H35" s="26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</row>
    <row r="36">
      <c r="A36" s="14" t="n"/>
      <c r="B36" s="14" t="n"/>
      <c r="C36" s="14" t="n"/>
      <c r="D36" s="14" t="n"/>
      <c r="E36" s="14" t="n"/>
      <c r="F36" s="26" t="n"/>
      <c r="G36" s="26" t="n"/>
      <c r="H36" s="26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</row>
    <row r="37">
      <c r="A37" s="14" t="n"/>
      <c r="B37" s="14" t="n"/>
      <c r="C37" s="14" t="n"/>
      <c r="D37" s="14" t="n"/>
      <c r="E37" s="14" t="n"/>
      <c r="F37" s="26" t="n"/>
      <c r="G37" s="26" t="n"/>
      <c r="H37" s="26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</row>
    <row r="38">
      <c r="A38" s="14" t="n"/>
      <c r="B38" s="14" t="n"/>
      <c r="C38" s="14" t="n"/>
      <c r="D38" s="14" t="n"/>
      <c r="E38" s="14" t="n"/>
      <c r="F38" s="26" t="n"/>
      <c r="G38" s="26" t="n"/>
      <c r="H38" s="26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</row>
    <row r="39">
      <c r="A39" s="14" t="n"/>
      <c r="B39" s="14" t="n"/>
      <c r="C39" s="14" t="n"/>
      <c r="D39" s="14" t="n"/>
      <c r="E39" s="14" t="n"/>
      <c r="F39" s="26" t="n"/>
      <c r="G39" s="26" t="n"/>
      <c r="H39" s="26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</row>
    <row r="40">
      <c r="A40" s="14" t="n"/>
      <c r="B40" s="14" t="n"/>
      <c r="C40" s="14" t="n"/>
      <c r="D40" s="14" t="n"/>
      <c r="E40" s="14" t="n"/>
      <c r="F40" s="26" t="n"/>
      <c r="G40" s="26" t="n"/>
      <c r="H40" s="26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</row>
    <row r="41">
      <c r="A41" s="14" t="n"/>
      <c r="B41" s="14" t="n"/>
      <c r="C41" s="14" t="n"/>
      <c r="D41" s="14" t="n"/>
      <c r="E41" s="14" t="n"/>
      <c r="F41" s="26" t="n"/>
      <c r="G41" s="26" t="n"/>
      <c r="H41" s="26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</row>
    <row r="42">
      <c r="A42" s="14" t="n"/>
      <c r="B42" s="14" t="n"/>
      <c r="C42" s="14" t="n"/>
      <c r="D42" s="14" t="n"/>
      <c r="E42" s="14" t="n"/>
      <c r="F42" s="26" t="n"/>
      <c r="G42" s="26" t="n"/>
      <c r="H42" s="26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</row>
    <row r="43">
      <c r="A43" s="14" t="n"/>
      <c r="B43" s="14" t="n"/>
      <c r="C43" s="14" t="n"/>
      <c r="D43" s="14" t="n"/>
      <c r="E43" s="14" t="n"/>
      <c r="F43" s="26" t="n"/>
      <c r="G43" s="26" t="n"/>
      <c r="H43" s="26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</row>
    <row r="44">
      <c r="A44" s="14" t="n"/>
      <c r="B44" s="14" t="n"/>
      <c r="C44" s="14" t="n"/>
      <c r="D44" s="14" t="n"/>
      <c r="E44" s="14" t="n"/>
      <c r="F44" s="26" t="n"/>
      <c r="G44" s="26" t="n"/>
      <c r="H44" s="26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</row>
    <row r="45">
      <c r="A45" s="14" t="n"/>
      <c r="B45" s="14" t="n"/>
      <c r="C45" s="14" t="n"/>
      <c r="D45" s="14" t="n"/>
      <c r="E45" s="14" t="n"/>
      <c r="F45" s="26" t="n"/>
      <c r="G45" s="26" t="n"/>
      <c r="H45" s="26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</row>
    <row r="46">
      <c r="A46" s="14" t="n"/>
      <c r="B46" s="14" t="n"/>
      <c r="C46" s="14" t="n"/>
      <c r="D46" s="14" t="n"/>
      <c r="E46" s="14" t="n"/>
      <c r="F46" s="26" t="n"/>
      <c r="G46" s="26" t="n"/>
      <c r="H46" s="26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</row>
    <row r="47">
      <c r="A47" s="14" t="n"/>
      <c r="B47" s="14" t="n"/>
      <c r="C47" s="14" t="n"/>
      <c r="D47" s="14" t="n"/>
      <c r="E47" s="14" t="n"/>
      <c r="F47" s="26" t="n"/>
      <c r="G47" s="26" t="n"/>
      <c r="H47" s="26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</row>
    <row r="48">
      <c r="A48" s="14" t="n"/>
      <c r="B48" s="14" t="n"/>
      <c r="C48" s="14" t="n"/>
      <c r="D48" s="14" t="n"/>
      <c r="E48" s="14" t="n"/>
      <c r="F48" s="26" t="n"/>
      <c r="G48" s="26" t="n"/>
      <c r="H48" s="26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</row>
    <row r="49">
      <c r="A49" s="14" t="n"/>
      <c r="B49" s="14" t="n"/>
      <c r="C49" s="14" t="n"/>
      <c r="D49" s="14" t="n"/>
      <c r="E49" s="14" t="n"/>
      <c r="F49" s="26" t="n"/>
      <c r="G49" s="26" t="n"/>
      <c r="H49" s="26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</row>
    <row r="50">
      <c r="A50" s="14" t="n"/>
      <c r="B50" s="14" t="n"/>
      <c r="C50" s="14" t="n"/>
      <c r="D50" s="14" t="n"/>
      <c r="E50" s="14" t="n"/>
      <c r="F50" s="26" t="n"/>
      <c r="G50" s="26" t="n"/>
      <c r="H50" s="26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</row>
    <row r="51">
      <c r="A51" s="14" t="n"/>
      <c r="B51" s="14" t="n"/>
      <c r="C51" s="14" t="n"/>
      <c r="D51" s="14" t="n"/>
      <c r="E51" s="14" t="n"/>
      <c r="F51" s="26" t="n"/>
      <c r="G51" s="26" t="n"/>
      <c r="H51" s="26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</row>
    <row r="52">
      <c r="A52" s="14" t="n"/>
      <c r="B52" s="14" t="n"/>
      <c r="C52" s="14" t="n"/>
      <c r="D52" s="14" t="n"/>
      <c r="E52" s="14" t="n"/>
      <c r="F52" s="26" t="n"/>
      <c r="G52" s="26" t="n"/>
      <c r="H52" s="26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</row>
    <row r="53">
      <c r="A53" s="14" t="n"/>
      <c r="B53" s="14" t="n"/>
      <c r="C53" s="14" t="n"/>
      <c r="D53" s="14" t="n"/>
      <c r="E53" s="14" t="n"/>
      <c r="F53" s="26" t="n"/>
      <c r="G53" s="26" t="n"/>
      <c r="H53" s="26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</row>
    <row r="54">
      <c r="A54" s="14" t="n"/>
      <c r="B54" s="14" t="n"/>
      <c r="C54" s="14" t="n"/>
      <c r="D54" s="14" t="n"/>
      <c r="E54" s="14" t="n"/>
      <c r="F54" s="26" t="n"/>
      <c r="G54" s="26" t="n"/>
      <c r="H54" s="26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</row>
    <row r="55">
      <c r="A55" s="14" t="n"/>
      <c r="B55" s="14" t="n"/>
      <c r="C55" s="14" t="n"/>
      <c r="D55" s="14" t="n"/>
      <c r="E55" s="14" t="n"/>
      <c r="F55" s="26" t="n"/>
      <c r="G55" s="26" t="n"/>
      <c r="H55" s="26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</row>
    <row r="56">
      <c r="A56" s="14" t="n"/>
      <c r="B56" s="14" t="n"/>
      <c r="C56" s="14" t="n"/>
      <c r="D56" s="14" t="n"/>
      <c r="E56" s="14" t="n"/>
      <c r="F56" s="26" t="n"/>
      <c r="G56" s="26" t="n"/>
      <c r="H56" s="26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</row>
    <row r="57">
      <c r="A57" s="14" t="n"/>
      <c r="B57" s="14" t="n"/>
      <c r="C57" s="14" t="n"/>
      <c r="D57" s="14" t="n"/>
      <c r="E57" s="14" t="n"/>
      <c r="F57" s="26" t="n"/>
      <c r="G57" s="26" t="n"/>
      <c r="H57" s="26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</row>
    <row r="58">
      <c r="A58" s="14" t="n"/>
      <c r="B58" s="14" t="n"/>
      <c r="C58" s="14" t="n"/>
      <c r="D58" s="14" t="n"/>
      <c r="E58" s="14" t="n"/>
      <c r="F58" s="26" t="n"/>
      <c r="G58" s="26" t="n"/>
      <c r="H58" s="26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</row>
    <row r="59">
      <c r="A59" s="14" t="n"/>
      <c r="B59" s="14" t="n"/>
      <c r="C59" s="14" t="n"/>
      <c r="D59" s="14" t="n"/>
      <c r="E59" s="14" t="n"/>
      <c r="F59" s="26" t="n"/>
      <c r="G59" s="26" t="n"/>
      <c r="H59" s="26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</row>
    <row r="60">
      <c r="A60" s="14" t="n"/>
      <c r="B60" s="14" t="n"/>
      <c r="C60" s="14" t="n"/>
      <c r="D60" s="14" t="n"/>
      <c r="E60" s="14" t="n"/>
      <c r="F60" s="26" t="n"/>
      <c r="G60" s="26" t="n"/>
      <c r="H60" s="26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</row>
    <row r="61">
      <c r="A61" s="14" t="n"/>
      <c r="B61" s="14" t="n"/>
      <c r="C61" s="14" t="n"/>
      <c r="D61" s="14" t="n"/>
      <c r="E61" s="14" t="n"/>
      <c r="F61" s="26" t="n"/>
      <c r="G61" s="26" t="n"/>
      <c r="H61" s="26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</row>
    <row r="62">
      <c r="A62" s="14" t="n"/>
      <c r="B62" s="14" t="n"/>
      <c r="C62" s="14" t="n"/>
      <c r="D62" s="14" t="n"/>
      <c r="E62" s="14" t="n"/>
      <c r="F62" s="26" t="n"/>
      <c r="G62" s="26" t="n"/>
      <c r="H62" s="26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</row>
    <row r="63">
      <c r="A63" s="14" t="n"/>
      <c r="B63" s="14" t="n"/>
      <c r="C63" s="14" t="n"/>
      <c r="D63" s="14" t="n"/>
      <c r="E63" s="14" t="n"/>
      <c r="F63" s="26" t="n"/>
      <c r="G63" s="26" t="n"/>
      <c r="H63" s="26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</row>
    <row r="64">
      <c r="A64" s="14" t="n"/>
      <c r="B64" s="14" t="n"/>
      <c r="C64" s="14" t="n"/>
      <c r="D64" s="14" t="n"/>
      <c r="E64" s="14" t="n"/>
      <c r="F64" s="26" t="n"/>
      <c r="G64" s="26" t="n"/>
      <c r="H64" s="26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</row>
    <row r="65">
      <c r="A65" s="14" t="n"/>
      <c r="B65" s="14" t="n"/>
      <c r="C65" s="14" t="n"/>
      <c r="D65" s="14" t="n"/>
      <c r="E65" s="14" t="n"/>
      <c r="F65" s="26" t="n"/>
      <c r="G65" s="26" t="n"/>
      <c r="H65" s="26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</row>
    <row r="66">
      <c r="A66" s="14" t="n"/>
      <c r="B66" s="14" t="n"/>
      <c r="C66" s="14" t="n"/>
      <c r="D66" s="14" t="n"/>
      <c r="E66" s="14" t="n"/>
      <c r="F66" s="26" t="n"/>
      <c r="G66" s="26" t="n"/>
      <c r="H66" s="26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</row>
    <row r="67">
      <c r="A67" s="14" t="n"/>
      <c r="B67" s="14" t="n"/>
      <c r="C67" s="14" t="n"/>
      <c r="D67" s="14" t="n"/>
      <c r="E67" s="14" t="n"/>
      <c r="F67" s="26" t="n"/>
      <c r="G67" s="26" t="n"/>
      <c r="H67" s="26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</row>
    <row r="68">
      <c r="A68" s="14" t="n"/>
      <c r="B68" s="14" t="n"/>
      <c r="C68" s="14" t="n"/>
      <c r="D68" s="14" t="n"/>
      <c r="E68" s="14" t="n"/>
      <c r="F68" s="26" t="n"/>
      <c r="G68" s="26" t="n"/>
      <c r="H68" s="26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</row>
    <row r="69">
      <c r="A69" s="14" t="n"/>
      <c r="B69" s="14" t="n"/>
      <c r="C69" s="14" t="n"/>
      <c r="D69" s="14" t="n"/>
      <c r="E69" s="14" t="n"/>
      <c r="F69" s="26" t="n"/>
      <c r="G69" s="26" t="n"/>
      <c r="H69" s="26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</row>
    <row r="70">
      <c r="A70" s="14" t="n"/>
      <c r="B70" s="14" t="n"/>
      <c r="C70" s="14" t="n"/>
      <c r="D70" s="14" t="n"/>
      <c r="E70" s="14" t="n"/>
      <c r="F70" s="26" t="n"/>
      <c r="G70" s="26" t="n"/>
      <c r="H70" s="26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</row>
    <row r="71">
      <c r="A71" s="14" t="n"/>
      <c r="B71" s="14" t="n"/>
      <c r="C71" s="14" t="n"/>
      <c r="D71" s="14" t="n"/>
      <c r="E71" s="14" t="n"/>
      <c r="F71" s="26" t="n"/>
      <c r="G71" s="26" t="n"/>
      <c r="H71" s="26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</row>
    <row r="72">
      <c r="A72" s="14" t="n"/>
      <c r="B72" s="14" t="n"/>
      <c r="C72" s="14" t="n"/>
      <c r="D72" s="14" t="n"/>
      <c r="E72" s="14" t="n"/>
      <c r="F72" s="26" t="n"/>
      <c r="G72" s="26" t="n"/>
      <c r="H72" s="26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</row>
    <row r="73">
      <c r="A73" s="14" t="n"/>
      <c r="B73" s="14" t="n"/>
      <c r="C73" s="14" t="n"/>
      <c r="D73" s="14" t="n"/>
      <c r="E73" s="14" t="n"/>
      <c r="F73" s="26" t="n"/>
      <c r="G73" s="26" t="n"/>
      <c r="H73" s="26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</row>
    <row r="74">
      <c r="A74" s="14" t="n"/>
      <c r="B74" s="14" t="n"/>
      <c r="C74" s="14" t="n"/>
      <c r="D74" s="14" t="n"/>
      <c r="E74" s="14" t="n"/>
      <c r="F74" s="26" t="n"/>
      <c r="G74" s="26" t="n"/>
      <c r="H74" s="26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</row>
    <row r="75">
      <c r="A75" s="14" t="n"/>
      <c r="B75" s="14" t="n"/>
      <c r="C75" s="14" t="n"/>
      <c r="D75" s="14" t="n"/>
      <c r="E75" s="14" t="n"/>
      <c r="F75" s="26" t="n"/>
      <c r="G75" s="26" t="n"/>
      <c r="H75" s="26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</row>
    <row r="76">
      <c r="A76" s="14" t="n"/>
      <c r="B76" s="14" t="n"/>
      <c r="C76" s="14" t="n"/>
      <c r="D76" s="14" t="n"/>
      <c r="E76" s="14" t="n"/>
      <c r="F76" s="26" t="n"/>
      <c r="G76" s="26" t="n"/>
      <c r="H76" s="26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</row>
    <row r="77">
      <c r="A77" s="14" t="n"/>
      <c r="B77" s="14" t="n"/>
      <c r="C77" s="14" t="n"/>
      <c r="D77" s="14" t="n"/>
      <c r="E77" s="14" t="n"/>
      <c r="F77" s="26" t="n"/>
      <c r="G77" s="26" t="n"/>
      <c r="H77" s="26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</row>
    <row r="78">
      <c r="A78" s="14" t="n"/>
      <c r="B78" s="14" t="n"/>
      <c r="C78" s="14" t="n"/>
      <c r="D78" s="14" t="n"/>
      <c r="E78" s="14" t="n"/>
      <c r="F78" s="26" t="n"/>
      <c r="G78" s="26" t="n"/>
      <c r="H78" s="26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</row>
    <row r="79">
      <c r="A79" s="14" t="n"/>
      <c r="B79" s="14" t="n"/>
      <c r="C79" s="14" t="n"/>
      <c r="D79" s="14" t="n"/>
      <c r="E79" s="14" t="n"/>
      <c r="F79" s="26" t="n"/>
      <c r="G79" s="26" t="n"/>
      <c r="H79" s="26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</row>
    <row r="80">
      <c r="A80" s="14" t="n"/>
      <c r="B80" s="14" t="n"/>
      <c r="C80" s="14" t="n"/>
      <c r="D80" s="14" t="n"/>
      <c r="E80" s="14" t="n"/>
      <c r="F80" s="26" t="n"/>
      <c r="G80" s="26" t="n"/>
      <c r="H80" s="26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</row>
    <row r="81">
      <c r="A81" s="14" t="n"/>
      <c r="B81" s="14" t="n"/>
      <c r="C81" s="14" t="n"/>
      <c r="D81" s="14" t="n"/>
      <c r="E81" s="14" t="n"/>
      <c r="F81" s="26" t="n"/>
      <c r="G81" s="26" t="n"/>
      <c r="H81" s="26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</row>
    <row r="82">
      <c r="A82" s="14" t="n"/>
      <c r="B82" s="14" t="n"/>
      <c r="C82" s="14" t="n"/>
      <c r="D82" s="14" t="n"/>
      <c r="E82" s="14" t="n"/>
      <c r="F82" s="26" t="n"/>
      <c r="G82" s="26" t="n"/>
      <c r="H82" s="26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</row>
    <row r="83">
      <c r="A83" s="14" t="n"/>
      <c r="B83" s="14" t="n"/>
      <c r="C83" s="14" t="n"/>
      <c r="D83" s="14" t="n"/>
      <c r="E83" s="14" t="n"/>
      <c r="F83" s="26" t="n"/>
      <c r="G83" s="26" t="n"/>
      <c r="H83" s="26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</row>
    <row r="84">
      <c r="A84" s="14" t="n"/>
      <c r="B84" s="14" t="n"/>
      <c r="C84" s="14" t="n"/>
      <c r="D84" s="14" t="n"/>
      <c r="E84" s="14" t="n"/>
      <c r="F84" s="26" t="n"/>
      <c r="G84" s="26" t="n"/>
      <c r="H84" s="26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</row>
    <row r="85">
      <c r="A85" s="14" t="n"/>
      <c r="B85" s="14" t="n"/>
      <c r="C85" s="14" t="n"/>
      <c r="D85" s="14" t="n"/>
      <c r="E85" s="14" t="n"/>
      <c r="F85" s="26" t="n"/>
      <c r="G85" s="26" t="n"/>
      <c r="H85" s="26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</row>
    <row r="86">
      <c r="A86" s="14" t="n"/>
      <c r="B86" s="14" t="n"/>
      <c r="C86" s="14" t="n"/>
      <c r="D86" s="14" t="n"/>
      <c r="E86" s="14" t="n"/>
      <c r="F86" s="26" t="n"/>
      <c r="G86" s="26" t="n"/>
      <c r="H86" s="26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</row>
    <row r="87">
      <c r="A87" s="14" t="n"/>
      <c r="B87" s="14" t="n"/>
      <c r="C87" s="14" t="n"/>
      <c r="D87" s="14" t="n"/>
      <c r="E87" s="14" t="n"/>
      <c r="F87" s="26" t="n"/>
      <c r="G87" s="26" t="n"/>
      <c r="H87" s="26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</row>
    <row r="88">
      <c r="A88" s="14" t="n"/>
      <c r="B88" s="14" t="n"/>
      <c r="C88" s="14" t="n"/>
      <c r="D88" s="14" t="n"/>
      <c r="E88" s="14" t="n"/>
      <c r="F88" s="26" t="n"/>
      <c r="G88" s="26" t="n"/>
      <c r="H88" s="26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</row>
    <row r="89">
      <c r="A89" s="14" t="n"/>
      <c r="B89" s="14" t="n"/>
      <c r="C89" s="14" t="n"/>
      <c r="D89" s="14" t="n"/>
      <c r="E89" s="14" t="n"/>
      <c r="F89" s="26" t="n"/>
      <c r="G89" s="26" t="n"/>
      <c r="H89" s="26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</row>
    <row r="90">
      <c r="A90" s="14" t="n"/>
      <c r="B90" s="14" t="n"/>
      <c r="C90" s="14" t="n"/>
      <c r="D90" s="14" t="n"/>
      <c r="E90" s="14" t="n"/>
      <c r="F90" s="26" t="n"/>
      <c r="G90" s="26" t="n"/>
      <c r="H90" s="26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</row>
    <row r="91">
      <c r="A91" s="14" t="n"/>
      <c r="B91" s="14" t="n"/>
      <c r="C91" s="14" t="n"/>
      <c r="D91" s="14" t="n"/>
      <c r="E91" s="14" t="n"/>
      <c r="F91" s="26" t="n"/>
      <c r="G91" s="26" t="n"/>
      <c r="H91" s="26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</row>
    <row r="92">
      <c r="A92" s="14" t="n"/>
      <c r="B92" s="14" t="n"/>
      <c r="C92" s="14" t="n"/>
      <c r="D92" s="14" t="n"/>
      <c r="E92" s="14" t="n"/>
      <c r="F92" s="26" t="n"/>
      <c r="G92" s="26" t="n"/>
      <c r="H92" s="26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</row>
    <row r="93">
      <c r="A93" s="14" t="n"/>
      <c r="B93" s="14" t="n"/>
      <c r="C93" s="14" t="n"/>
      <c r="D93" s="14" t="n"/>
      <c r="E93" s="14" t="n"/>
      <c r="F93" s="26" t="n"/>
      <c r="G93" s="26" t="n"/>
      <c r="H93" s="26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</row>
    <row r="94">
      <c r="A94" s="14" t="n"/>
      <c r="B94" s="14" t="n"/>
      <c r="C94" s="14" t="n"/>
      <c r="D94" s="14" t="n"/>
      <c r="E94" s="14" t="n"/>
      <c r="F94" s="26" t="n"/>
      <c r="G94" s="26" t="n"/>
      <c r="H94" s="26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</row>
    <row r="95">
      <c r="A95" s="14" t="n"/>
      <c r="B95" s="14" t="n"/>
      <c r="C95" s="14" t="n"/>
      <c r="D95" s="14" t="n"/>
      <c r="E95" s="14" t="n"/>
      <c r="F95" s="26" t="n"/>
      <c r="G95" s="26" t="n"/>
      <c r="H95" s="26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</row>
    <row r="96">
      <c r="A96" s="14" t="n"/>
      <c r="B96" s="14" t="n"/>
      <c r="C96" s="14" t="n"/>
      <c r="D96" s="14" t="n"/>
      <c r="E96" s="14" t="n"/>
      <c r="F96" s="26" t="n"/>
      <c r="G96" s="26" t="n"/>
      <c r="H96" s="26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</row>
    <row r="97">
      <c r="A97" s="14" t="n"/>
      <c r="B97" s="14" t="n"/>
      <c r="C97" s="14" t="n"/>
      <c r="D97" s="14" t="n"/>
      <c r="E97" s="14" t="n"/>
      <c r="F97" s="26" t="n"/>
      <c r="G97" s="26" t="n"/>
      <c r="H97" s="26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</row>
    <row r="98">
      <c r="A98" s="14" t="n"/>
      <c r="B98" s="14" t="n"/>
      <c r="C98" s="14" t="n"/>
      <c r="D98" s="14" t="n"/>
      <c r="E98" s="14" t="n"/>
      <c r="F98" s="26" t="n"/>
      <c r="G98" s="26" t="n"/>
      <c r="H98" s="26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</row>
    <row r="99">
      <c r="A99" s="14" t="n"/>
      <c r="B99" s="14" t="n"/>
      <c r="C99" s="14" t="n"/>
      <c r="D99" s="14" t="n"/>
      <c r="E99" s="14" t="n"/>
      <c r="F99" s="26" t="n"/>
      <c r="G99" s="26" t="n"/>
      <c r="H99" s="26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</row>
    <row r="100">
      <c r="A100" s="14" t="n"/>
      <c r="B100" s="14" t="n"/>
      <c r="C100" s="14" t="n"/>
      <c r="D100" s="14" t="n"/>
      <c r="E100" s="14" t="n"/>
      <c r="F100" s="26" t="n"/>
      <c r="G100" s="26" t="n"/>
      <c r="H100" s="26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</row>
    <row r="101">
      <c r="A101" s="14" t="n"/>
      <c r="B101" s="14" t="n"/>
      <c r="C101" s="14" t="n"/>
      <c r="D101" s="14" t="n"/>
      <c r="E101" s="14" t="n"/>
      <c r="F101" s="26" t="n"/>
      <c r="G101" s="26" t="n"/>
      <c r="H101" s="26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</row>
    <row r="102">
      <c r="A102" s="14" t="n"/>
      <c r="B102" s="14" t="n"/>
      <c r="C102" s="14" t="n"/>
      <c r="D102" s="14" t="n"/>
      <c r="E102" s="14" t="n"/>
      <c r="F102" s="26" t="n"/>
      <c r="G102" s="26" t="n"/>
      <c r="H102" s="26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</row>
    <row r="103">
      <c r="A103" s="14" t="n"/>
      <c r="B103" s="14" t="n"/>
      <c r="C103" s="14" t="n"/>
      <c r="D103" s="14" t="n"/>
      <c r="E103" s="14" t="n"/>
      <c r="F103" s="26" t="n"/>
      <c r="G103" s="26" t="n"/>
      <c r="H103" s="26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</row>
    <row r="104">
      <c r="A104" s="14" t="n"/>
      <c r="B104" s="14" t="n"/>
      <c r="C104" s="14" t="n"/>
      <c r="D104" s="14" t="n"/>
      <c r="E104" s="14" t="n"/>
      <c r="F104" s="26" t="n"/>
      <c r="G104" s="26" t="n"/>
      <c r="H104" s="26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</row>
    <row r="105">
      <c r="A105" s="14" t="n"/>
      <c r="B105" s="14" t="n"/>
      <c r="C105" s="14" t="n"/>
      <c r="D105" s="14" t="n"/>
      <c r="E105" s="14" t="n"/>
      <c r="F105" s="26" t="n"/>
      <c r="G105" s="26" t="n"/>
      <c r="H105" s="26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</row>
    <row r="106">
      <c r="A106" s="14" t="n"/>
      <c r="B106" s="14" t="n"/>
      <c r="C106" s="14" t="n"/>
      <c r="D106" s="14" t="n"/>
      <c r="E106" s="14" t="n"/>
      <c r="F106" s="26" t="n"/>
      <c r="G106" s="26" t="n"/>
      <c r="H106" s="26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</row>
    <row r="107">
      <c r="A107" s="14" t="n"/>
      <c r="B107" s="14" t="n"/>
      <c r="C107" s="14" t="n"/>
      <c r="D107" s="14" t="n"/>
      <c r="E107" s="14" t="n"/>
      <c r="F107" s="26" t="n"/>
      <c r="G107" s="26" t="n"/>
      <c r="H107" s="26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</row>
    <row r="108">
      <c r="A108" s="14" t="n"/>
      <c r="B108" s="14" t="n"/>
      <c r="C108" s="14" t="n"/>
      <c r="D108" s="14" t="n"/>
      <c r="E108" s="14" t="n"/>
      <c r="F108" s="26" t="n"/>
      <c r="G108" s="26" t="n"/>
      <c r="H108" s="26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</row>
    <row r="109">
      <c r="A109" s="14" t="n"/>
      <c r="B109" s="14" t="n"/>
      <c r="C109" s="14" t="n"/>
      <c r="D109" s="14" t="n"/>
      <c r="E109" s="14" t="n"/>
      <c r="F109" s="26" t="n"/>
      <c r="G109" s="26" t="n"/>
      <c r="H109" s="26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</row>
    <row r="110">
      <c r="A110" s="14" t="n"/>
      <c r="B110" s="14" t="n"/>
      <c r="C110" s="14" t="n"/>
      <c r="D110" s="14" t="n"/>
      <c r="E110" s="14" t="n"/>
      <c r="F110" s="26" t="n"/>
      <c r="G110" s="26" t="n"/>
      <c r="H110" s="26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</row>
    <row r="111">
      <c r="A111" s="14" t="n"/>
      <c r="B111" s="14" t="n"/>
      <c r="C111" s="14" t="n"/>
      <c r="D111" s="14" t="n"/>
      <c r="E111" s="14" t="n"/>
      <c r="F111" s="26" t="n"/>
      <c r="G111" s="26" t="n"/>
      <c r="H111" s="26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</row>
    <row r="112">
      <c r="A112" s="14" t="n"/>
      <c r="B112" s="14" t="n"/>
      <c r="C112" s="14" t="n"/>
      <c r="D112" s="14" t="n"/>
      <c r="E112" s="14" t="n"/>
      <c r="F112" s="26" t="n"/>
      <c r="G112" s="26" t="n"/>
      <c r="H112" s="26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</row>
    <row r="113">
      <c r="A113" s="14" t="n"/>
      <c r="B113" s="14" t="n"/>
      <c r="C113" s="14" t="n"/>
      <c r="D113" s="14" t="n"/>
      <c r="E113" s="14" t="n"/>
      <c r="F113" s="26" t="n"/>
      <c r="G113" s="26" t="n"/>
      <c r="H113" s="26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</row>
    <row r="114">
      <c r="A114" s="14" t="n"/>
      <c r="B114" s="14" t="n"/>
      <c r="C114" s="14" t="n"/>
      <c r="D114" s="14" t="n"/>
      <c r="E114" s="14" t="n"/>
      <c r="F114" s="26" t="n"/>
      <c r="G114" s="26" t="n"/>
      <c r="H114" s="26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</row>
    <row r="115">
      <c r="A115" s="14" t="n"/>
      <c r="B115" s="14" t="n"/>
      <c r="C115" s="14" t="n"/>
      <c r="D115" s="14" t="n"/>
      <c r="E115" s="14" t="n"/>
      <c r="F115" s="26" t="n"/>
      <c r="G115" s="26" t="n"/>
      <c r="H115" s="26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</row>
    <row r="116">
      <c r="A116" s="14" t="n"/>
      <c r="B116" s="14" t="n"/>
      <c r="C116" s="14" t="n"/>
      <c r="D116" s="14" t="n"/>
      <c r="E116" s="14" t="n"/>
      <c r="F116" s="26" t="n"/>
      <c r="G116" s="26" t="n"/>
      <c r="H116" s="26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</row>
    <row r="117">
      <c r="A117" s="14" t="n"/>
      <c r="B117" s="14" t="n"/>
      <c r="C117" s="14" t="n"/>
      <c r="D117" s="14" t="n"/>
      <c r="E117" s="14" t="n"/>
      <c r="F117" s="26" t="n"/>
      <c r="G117" s="26" t="n"/>
      <c r="H117" s="26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</row>
    <row r="118">
      <c r="A118" s="14" t="n"/>
      <c r="B118" s="14" t="n"/>
      <c r="C118" s="14" t="n"/>
      <c r="D118" s="14" t="n"/>
      <c r="E118" s="14" t="n"/>
      <c r="F118" s="26" t="n"/>
      <c r="G118" s="26" t="n"/>
      <c r="H118" s="26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</row>
    <row r="119">
      <c r="A119" s="14" t="n"/>
      <c r="B119" s="14" t="n"/>
      <c r="C119" s="14" t="n"/>
      <c r="D119" s="14" t="n"/>
      <c r="E119" s="14" t="n"/>
      <c r="F119" s="26" t="n"/>
      <c r="G119" s="26" t="n"/>
      <c r="H119" s="26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</row>
    <row r="120">
      <c r="F120" s="27" t="n"/>
      <c r="G120" s="27" t="n"/>
      <c r="H120" s="27" t="n"/>
    </row>
    <row r="121">
      <c r="F121" s="27" t="n"/>
      <c r="G121" s="27" t="n"/>
      <c r="H121" s="27" t="n"/>
    </row>
    <row r="122">
      <c r="F122" s="27" t="n"/>
      <c r="G122" s="27" t="n"/>
      <c r="H122" s="27" t="n"/>
    </row>
    <row r="123">
      <c r="F123" s="27" t="n"/>
      <c r="G123" s="27" t="n"/>
      <c r="H123" s="27" t="n"/>
    </row>
    <row r="124">
      <c r="F124" s="27" t="n"/>
      <c r="G124" s="27" t="n"/>
      <c r="H124" s="27" t="n"/>
    </row>
    <row r="125">
      <c r="F125" s="27" t="n"/>
      <c r="G125" s="27" t="n"/>
      <c r="H125" s="27" t="n"/>
    </row>
    <row r="126">
      <c r="F126" s="27" t="n"/>
      <c r="G126" s="27" t="n"/>
      <c r="H126" s="27" t="n"/>
    </row>
    <row r="127">
      <c r="F127" s="27" t="n"/>
      <c r="G127" s="27" t="n"/>
      <c r="H127" s="27" t="n"/>
    </row>
    <row r="128">
      <c r="F128" s="27" t="n"/>
      <c r="G128" s="27" t="n"/>
      <c r="H128" s="27" t="n"/>
    </row>
    <row r="129">
      <c r="F129" s="27" t="n"/>
      <c r="G129" s="27" t="n"/>
      <c r="H129" s="27" t="n"/>
    </row>
    <row r="130">
      <c r="F130" s="27" t="n"/>
      <c r="G130" s="27" t="n"/>
      <c r="H130" s="27" t="n"/>
    </row>
    <row r="131">
      <c r="F131" s="27" t="n"/>
      <c r="G131" s="27" t="n"/>
      <c r="H131" s="27" t="n"/>
    </row>
    <row r="132">
      <c r="F132" s="27" t="n"/>
      <c r="G132" s="27" t="n"/>
      <c r="H132" s="27" t="n"/>
    </row>
    <row r="133">
      <c r="F133" s="27" t="n"/>
      <c r="G133" s="27" t="n"/>
      <c r="H133" s="27" t="n"/>
    </row>
    <row r="134">
      <c r="F134" s="27" t="n"/>
      <c r="G134" s="27" t="n"/>
      <c r="H134" s="27" t="n"/>
    </row>
    <row r="135">
      <c r="F135" s="27" t="n"/>
      <c r="G135" s="27" t="n"/>
      <c r="H135" s="27" t="n"/>
    </row>
    <row r="136">
      <c r="F136" s="27" t="n"/>
      <c r="G136" s="27" t="n"/>
      <c r="H136" s="27" t="n"/>
    </row>
    <row r="137">
      <c r="F137" s="27" t="n"/>
      <c r="G137" s="27" t="n"/>
      <c r="H137" s="27" t="n"/>
    </row>
    <row r="138">
      <c r="F138" s="27" t="n"/>
      <c r="G138" s="27" t="n"/>
      <c r="H138" s="27" t="n"/>
    </row>
    <row r="139">
      <c r="F139" s="27" t="n"/>
      <c r="G139" s="27" t="n"/>
      <c r="H139" s="27" t="n"/>
    </row>
    <row r="140">
      <c r="F140" s="27" t="n"/>
      <c r="G140" s="27" t="n"/>
      <c r="H140" s="27" t="n"/>
    </row>
    <row r="141">
      <c r="F141" s="27" t="n"/>
      <c r="G141" s="27" t="n"/>
      <c r="H141" s="27" t="n"/>
    </row>
    <row r="142">
      <c r="F142" s="27" t="n"/>
      <c r="G142" s="27" t="n"/>
      <c r="H142" s="27" t="n"/>
    </row>
    <row r="143">
      <c r="F143" s="27" t="n"/>
      <c r="G143" s="27" t="n"/>
      <c r="H143" s="27" t="n"/>
    </row>
    <row r="144">
      <c r="F144" s="27" t="n"/>
      <c r="G144" s="27" t="n"/>
      <c r="H144" s="27" t="n"/>
    </row>
    <row r="145">
      <c r="F145" s="27" t="n"/>
      <c r="G145" s="27" t="n"/>
      <c r="H145" s="27" t="n"/>
    </row>
    <row r="146">
      <c r="F146" s="27" t="n"/>
      <c r="G146" s="27" t="n"/>
      <c r="H146" s="27" t="n"/>
    </row>
    <row r="147">
      <c r="F147" s="27" t="n"/>
      <c r="G147" s="27" t="n"/>
      <c r="H147" s="27" t="n"/>
    </row>
    <row r="148">
      <c r="F148" s="27" t="n"/>
      <c r="G148" s="27" t="n"/>
      <c r="H148" s="27" t="n"/>
    </row>
    <row r="149">
      <c r="F149" s="27" t="n"/>
      <c r="G149" s="27" t="n"/>
      <c r="H149" s="27" t="n"/>
    </row>
    <row r="150">
      <c r="F150" s="27" t="n"/>
      <c r="G150" s="27" t="n"/>
      <c r="H150" s="27" t="n"/>
    </row>
    <row r="151">
      <c r="F151" s="27" t="n"/>
      <c r="G151" s="27" t="n"/>
      <c r="H151" s="27" t="n"/>
    </row>
    <row r="152">
      <c r="F152" s="27" t="n"/>
      <c r="G152" s="27" t="n"/>
      <c r="H152" s="27" t="n"/>
    </row>
    <row r="153">
      <c r="F153" s="27" t="n"/>
      <c r="G153" s="27" t="n"/>
      <c r="H153" s="27" t="n"/>
    </row>
    <row r="154">
      <c r="F154" s="27" t="n"/>
      <c r="G154" s="27" t="n"/>
      <c r="H154" s="27" t="n"/>
    </row>
    <row r="155">
      <c r="F155" s="27" t="n"/>
      <c r="G155" s="27" t="n"/>
      <c r="H155" s="27" t="n"/>
    </row>
    <row r="156">
      <c r="F156" s="27" t="n"/>
      <c r="G156" s="27" t="n"/>
      <c r="H156" s="27" t="n"/>
    </row>
    <row r="157">
      <c r="F157" s="27" t="n"/>
      <c r="G157" s="27" t="n"/>
      <c r="H157" s="27" t="n"/>
    </row>
    <row r="158">
      <c r="F158" s="27" t="n"/>
      <c r="G158" s="27" t="n"/>
      <c r="H158" s="27" t="n"/>
    </row>
    <row r="159">
      <c r="F159" s="27" t="n"/>
      <c r="G159" s="27" t="n"/>
      <c r="H159" s="27" t="n"/>
    </row>
    <row r="160">
      <c r="F160" s="27" t="n"/>
      <c r="G160" s="27" t="n"/>
      <c r="H160" s="27" t="n"/>
    </row>
    <row r="161">
      <c r="F161" s="27" t="n"/>
      <c r="G161" s="27" t="n"/>
      <c r="H161" s="27" t="n"/>
    </row>
    <row r="162">
      <c r="F162" s="27" t="n"/>
      <c r="G162" s="27" t="n"/>
      <c r="H162" s="27" t="n"/>
    </row>
    <row r="163">
      <c r="F163" s="27" t="n"/>
      <c r="G163" s="27" t="n"/>
      <c r="H163" s="27" t="n"/>
    </row>
    <row r="164">
      <c r="F164" s="27" t="n"/>
      <c r="G164" s="27" t="n"/>
      <c r="H164" s="27" t="n"/>
    </row>
    <row r="165">
      <c r="F165" s="27" t="n"/>
      <c r="G165" s="27" t="n"/>
      <c r="H165" s="27" t="n"/>
    </row>
    <row r="166">
      <c r="F166" s="27" t="n"/>
      <c r="G166" s="27" t="n"/>
      <c r="H166" s="27" t="n"/>
    </row>
    <row r="167">
      <c r="F167" s="27" t="n"/>
      <c r="G167" s="27" t="n"/>
      <c r="H167" s="27" t="n"/>
    </row>
    <row r="168">
      <c r="F168" s="27" t="n"/>
      <c r="G168" s="27" t="n"/>
      <c r="H168" s="27" t="n"/>
    </row>
    <row r="169">
      <c r="F169" s="27" t="n"/>
      <c r="G169" s="27" t="n"/>
      <c r="H169" s="27" t="n"/>
    </row>
    <row r="170">
      <c r="F170" s="27" t="n"/>
      <c r="G170" s="27" t="n"/>
      <c r="H170" s="27" t="n"/>
    </row>
    <row r="171">
      <c r="F171" s="27" t="n"/>
      <c r="G171" s="27" t="n"/>
      <c r="H171" s="27" t="n"/>
    </row>
    <row r="172">
      <c r="F172" s="27" t="n"/>
      <c r="G172" s="27" t="n"/>
      <c r="H172" s="27" t="n"/>
    </row>
    <row r="173">
      <c r="F173" s="27" t="n"/>
      <c r="G173" s="27" t="n"/>
      <c r="H173" s="27" t="n"/>
    </row>
    <row r="174">
      <c r="F174" s="27" t="n"/>
      <c r="G174" s="27" t="n"/>
      <c r="H174" s="27" t="n"/>
    </row>
    <row r="175">
      <c r="F175" s="27" t="n"/>
      <c r="G175" s="27" t="n"/>
      <c r="H175" s="27" t="n"/>
    </row>
    <row r="176">
      <c r="F176" s="27" t="n"/>
      <c r="G176" s="27" t="n"/>
      <c r="H176" s="27" t="n"/>
    </row>
    <row r="177">
      <c r="F177" s="27" t="n"/>
      <c r="G177" s="27" t="n"/>
      <c r="H177" s="27" t="n"/>
    </row>
    <row r="178">
      <c r="F178" s="27" t="n"/>
      <c r="G178" s="27" t="n"/>
      <c r="H178" s="27" t="n"/>
    </row>
    <row r="179">
      <c r="F179" s="27" t="n"/>
      <c r="G179" s="27" t="n"/>
      <c r="H179" s="27" t="n"/>
    </row>
    <row r="180">
      <c r="F180" s="27" t="n"/>
      <c r="G180" s="27" t="n"/>
      <c r="H180" s="27" t="n"/>
    </row>
    <row r="181">
      <c r="F181" s="27" t="n"/>
      <c r="G181" s="27" t="n"/>
      <c r="H181" s="27" t="n"/>
    </row>
    <row r="182">
      <c r="F182" s="27" t="n"/>
      <c r="G182" s="27" t="n"/>
      <c r="H182" s="27" t="n"/>
    </row>
    <row r="183">
      <c r="F183" s="27" t="n"/>
      <c r="G183" s="27" t="n"/>
      <c r="H183" s="27" t="n"/>
    </row>
    <row r="184">
      <c r="F184" s="27" t="n"/>
      <c r="G184" s="27" t="n"/>
      <c r="H184" s="27" t="n"/>
    </row>
    <row r="185">
      <c r="F185" s="27" t="n"/>
      <c r="G185" s="27" t="n"/>
      <c r="H185" s="27" t="n"/>
    </row>
    <row r="186">
      <c r="F186" s="27" t="n"/>
      <c r="G186" s="27" t="n"/>
      <c r="H186" s="27" t="n"/>
    </row>
    <row r="187">
      <c r="F187" s="27" t="n"/>
      <c r="G187" s="27" t="n"/>
      <c r="H187" s="27" t="n"/>
    </row>
    <row r="188">
      <c r="F188" s="27" t="n"/>
      <c r="G188" s="27" t="n"/>
      <c r="H188" s="27" t="n"/>
    </row>
    <row r="189">
      <c r="F189" s="27" t="n"/>
      <c r="G189" s="27" t="n"/>
      <c r="H189" s="27" t="n"/>
    </row>
    <row r="190">
      <c r="F190" s="27" t="n"/>
      <c r="G190" s="27" t="n"/>
      <c r="H190" s="27" t="n"/>
    </row>
    <row r="191">
      <c r="F191" s="27" t="n"/>
      <c r="G191" s="27" t="n"/>
      <c r="H191" s="27" t="n"/>
    </row>
    <row r="192">
      <c r="F192" s="27" t="n"/>
      <c r="G192" s="27" t="n"/>
      <c r="H192" s="27" t="n"/>
    </row>
    <row r="193">
      <c r="F193" s="27" t="n"/>
      <c r="G193" s="27" t="n"/>
      <c r="H193" s="27" t="n"/>
    </row>
    <row r="194">
      <c r="F194" s="27" t="n"/>
      <c r="G194" s="27" t="n"/>
      <c r="H194" s="27" t="n"/>
    </row>
    <row r="195">
      <c r="F195" s="27" t="n"/>
      <c r="G195" s="27" t="n"/>
      <c r="H195" s="27" t="n"/>
    </row>
    <row r="196">
      <c r="F196" s="27" t="n"/>
      <c r="G196" s="27" t="n"/>
      <c r="H196" s="27" t="n"/>
    </row>
    <row r="197">
      <c r="F197" s="27" t="n"/>
      <c r="G197" s="27" t="n"/>
      <c r="H197" s="27" t="n"/>
    </row>
    <row r="198">
      <c r="F198" s="27" t="n"/>
      <c r="G198" s="27" t="n"/>
      <c r="H198" s="27" t="n"/>
    </row>
    <row r="199">
      <c r="F199" s="27" t="n"/>
      <c r="G199" s="27" t="n"/>
      <c r="H199" s="27" t="n"/>
    </row>
    <row r="200">
      <c r="F200" s="27" t="n"/>
      <c r="G200" s="27" t="n"/>
      <c r="H200" s="27" t="n"/>
    </row>
    <row r="201">
      <c r="F201" s="27" t="n"/>
      <c r="G201" s="27" t="n"/>
      <c r="H201" s="27" t="n"/>
    </row>
    <row r="202">
      <c r="F202" s="27" t="n"/>
      <c r="G202" s="27" t="n"/>
      <c r="H202" s="27" t="n"/>
    </row>
    <row r="203">
      <c r="F203" s="27" t="n"/>
      <c r="G203" s="27" t="n"/>
      <c r="H203" s="27" t="n"/>
    </row>
    <row r="204">
      <c r="F204" s="27" t="n"/>
      <c r="G204" s="27" t="n"/>
      <c r="H204" s="27" t="n"/>
    </row>
    <row r="205">
      <c r="F205" s="27" t="n"/>
      <c r="G205" s="27" t="n"/>
      <c r="H205" s="27" t="n"/>
    </row>
    <row r="206">
      <c r="F206" s="27" t="n"/>
      <c r="G206" s="27" t="n"/>
      <c r="H206" s="27" t="n"/>
    </row>
    <row r="207">
      <c r="F207" s="27" t="n"/>
      <c r="G207" s="27" t="n"/>
      <c r="H207" s="27" t="n"/>
    </row>
    <row r="208">
      <c r="F208" s="27" t="n"/>
      <c r="G208" s="27" t="n"/>
      <c r="H208" s="27" t="n"/>
    </row>
    <row r="209">
      <c r="F209" s="27" t="n"/>
      <c r="G209" s="27" t="n"/>
      <c r="H209" s="27" t="n"/>
    </row>
    <row r="210">
      <c r="F210" s="27" t="n"/>
      <c r="G210" s="27" t="n"/>
      <c r="H210" s="27" t="n"/>
    </row>
    <row r="211">
      <c r="F211" s="27" t="n"/>
      <c r="G211" s="27" t="n"/>
      <c r="H211" s="27" t="n"/>
    </row>
    <row r="212">
      <c r="F212" s="27" t="n"/>
      <c r="G212" s="27" t="n"/>
      <c r="H212" s="27" t="n"/>
    </row>
    <row r="213">
      <c r="F213" s="27" t="n"/>
      <c r="G213" s="27" t="n"/>
      <c r="H213" s="27" t="n"/>
    </row>
    <row r="214">
      <c r="F214" s="27" t="n"/>
      <c r="G214" s="27" t="n"/>
      <c r="H214" s="27" t="n"/>
    </row>
    <row r="215">
      <c r="F215" s="27" t="n"/>
      <c r="G215" s="27" t="n"/>
      <c r="H215" s="27" t="n"/>
    </row>
    <row r="216">
      <c r="F216" s="27" t="n"/>
      <c r="G216" s="27" t="n"/>
      <c r="H216" s="27" t="n"/>
    </row>
    <row r="217">
      <c r="F217" s="27" t="n"/>
      <c r="G217" s="27" t="n"/>
      <c r="H217" s="27" t="n"/>
    </row>
    <row r="218">
      <c r="F218" s="27" t="n"/>
      <c r="G218" s="27" t="n"/>
      <c r="H218" s="27" t="n"/>
    </row>
    <row r="219">
      <c r="F219" s="27" t="n"/>
      <c r="G219" s="27" t="n"/>
      <c r="H219" s="27" t="n"/>
    </row>
    <row r="220">
      <c r="F220" s="27" t="n"/>
      <c r="G220" s="27" t="n"/>
      <c r="H220" s="27" t="n"/>
    </row>
    <row r="221">
      <c r="F221" s="27" t="n"/>
      <c r="G221" s="27" t="n"/>
      <c r="H221" s="27" t="n"/>
    </row>
    <row r="222">
      <c r="F222" s="27" t="n"/>
      <c r="G222" s="27" t="n"/>
      <c r="H222" s="27" t="n"/>
    </row>
    <row r="223">
      <c r="F223" s="27" t="n"/>
      <c r="G223" s="27" t="n"/>
      <c r="H223" s="27" t="n"/>
    </row>
    <row r="224">
      <c r="F224" s="27" t="n"/>
      <c r="G224" s="27" t="n"/>
      <c r="H224" s="27" t="n"/>
    </row>
    <row r="225">
      <c r="F225" s="27" t="n"/>
      <c r="G225" s="27" t="n"/>
      <c r="H225" s="27" t="n"/>
    </row>
    <row r="226">
      <c r="F226" s="27" t="n"/>
      <c r="G226" s="27" t="n"/>
      <c r="H226" s="27" t="n"/>
    </row>
    <row r="227">
      <c r="F227" s="27" t="n"/>
      <c r="G227" s="27" t="n"/>
      <c r="H227" s="27" t="n"/>
    </row>
    <row r="228">
      <c r="F228" s="27" t="n"/>
      <c r="G228" s="27" t="n"/>
      <c r="H228" s="27" t="n"/>
    </row>
    <row r="229">
      <c r="F229" s="27" t="n"/>
      <c r="G229" s="27" t="n"/>
      <c r="H229" s="27" t="n"/>
    </row>
    <row r="230">
      <c r="F230" s="27" t="n"/>
      <c r="G230" s="27" t="n"/>
      <c r="H230" s="27" t="n"/>
    </row>
    <row r="231">
      <c r="F231" s="27" t="n"/>
      <c r="G231" s="27" t="n"/>
      <c r="H231" s="27" t="n"/>
    </row>
    <row r="232">
      <c r="F232" s="27" t="n"/>
      <c r="G232" s="27" t="n"/>
      <c r="H232" s="27" t="n"/>
    </row>
    <row r="233">
      <c r="F233" s="27" t="n"/>
      <c r="G233" s="27" t="n"/>
      <c r="H233" s="27" t="n"/>
    </row>
    <row r="234">
      <c r="F234" s="27" t="n"/>
      <c r="G234" s="27" t="n"/>
      <c r="H234" s="27" t="n"/>
    </row>
    <row r="235">
      <c r="F235" s="27" t="n"/>
      <c r="G235" s="27" t="n"/>
      <c r="H235" s="27" t="n"/>
    </row>
    <row r="236">
      <c r="F236" s="27" t="n"/>
      <c r="G236" s="27" t="n"/>
      <c r="H236" s="27" t="n"/>
    </row>
    <row r="237">
      <c r="F237" s="27" t="n"/>
      <c r="G237" s="27" t="n"/>
      <c r="H237" s="27" t="n"/>
    </row>
    <row r="238">
      <c r="F238" s="27" t="n"/>
      <c r="G238" s="27" t="n"/>
      <c r="H238" s="27" t="n"/>
    </row>
    <row r="239">
      <c r="F239" s="27" t="n"/>
      <c r="G239" s="27" t="n"/>
      <c r="H239" s="27" t="n"/>
    </row>
    <row r="240">
      <c r="F240" s="27" t="n"/>
      <c r="G240" s="27" t="n"/>
      <c r="H240" s="27" t="n"/>
    </row>
    <row r="241">
      <c r="F241" s="27" t="n"/>
      <c r="G241" s="27" t="n"/>
      <c r="H241" s="27" t="n"/>
    </row>
    <row r="242">
      <c r="F242" s="27" t="n"/>
      <c r="G242" s="27" t="n"/>
      <c r="H242" s="27" t="n"/>
    </row>
    <row r="243">
      <c r="F243" s="27" t="n"/>
      <c r="G243" s="27" t="n"/>
      <c r="H243" s="27" t="n"/>
    </row>
    <row r="244">
      <c r="F244" s="27" t="n"/>
      <c r="G244" s="27" t="n"/>
      <c r="H244" s="27" t="n"/>
    </row>
    <row r="245">
      <c r="F245" s="27" t="n"/>
      <c r="G245" s="27" t="n"/>
      <c r="H245" s="27" t="n"/>
    </row>
    <row r="246">
      <c r="F246" s="27" t="n"/>
      <c r="G246" s="27" t="n"/>
      <c r="H246" s="27" t="n"/>
    </row>
    <row r="247">
      <c r="F247" s="27" t="n"/>
      <c r="G247" s="27" t="n"/>
      <c r="H247" s="27" t="n"/>
    </row>
    <row r="248">
      <c r="F248" s="27" t="n"/>
      <c r="G248" s="27" t="n"/>
      <c r="H248" s="27" t="n"/>
    </row>
    <row r="249">
      <c r="F249" s="27" t="n"/>
      <c r="G249" s="27" t="n"/>
      <c r="H249" s="27" t="n"/>
    </row>
    <row r="250">
      <c r="F250" s="27" t="n"/>
      <c r="G250" s="27" t="n"/>
      <c r="H250" s="27" t="n"/>
    </row>
    <row r="251">
      <c r="F251" s="27" t="n"/>
      <c r="G251" s="27" t="n"/>
      <c r="H251" s="27" t="n"/>
    </row>
    <row r="252">
      <c r="F252" s="27" t="n"/>
      <c r="G252" s="27" t="n"/>
      <c r="H252" s="27" t="n"/>
    </row>
    <row r="253">
      <c r="F253" s="27" t="n"/>
      <c r="G253" s="27" t="n"/>
      <c r="H253" s="27" t="n"/>
    </row>
    <row r="254">
      <c r="F254" s="27" t="n"/>
      <c r="G254" s="27" t="n"/>
      <c r="H254" s="27" t="n"/>
    </row>
    <row r="255">
      <c r="F255" s="27" t="n"/>
      <c r="G255" s="27" t="n"/>
      <c r="H255" s="27" t="n"/>
    </row>
    <row r="256">
      <c r="F256" s="27" t="n"/>
      <c r="G256" s="27" t="n"/>
      <c r="H256" s="27" t="n"/>
    </row>
    <row r="257">
      <c r="F257" s="27" t="n"/>
      <c r="G257" s="27" t="n"/>
      <c r="H257" s="27" t="n"/>
    </row>
    <row r="258">
      <c r="F258" s="27" t="n"/>
      <c r="G258" s="27" t="n"/>
      <c r="H258" s="27" t="n"/>
    </row>
    <row r="259">
      <c r="F259" s="27" t="n"/>
      <c r="G259" s="27" t="n"/>
      <c r="H259" s="27" t="n"/>
    </row>
    <row r="260">
      <c r="F260" s="27" t="n"/>
      <c r="G260" s="27" t="n"/>
      <c r="H260" s="27" t="n"/>
    </row>
    <row r="261">
      <c r="F261" s="27" t="n"/>
      <c r="G261" s="27" t="n"/>
      <c r="H261" s="27" t="n"/>
    </row>
    <row r="262">
      <c r="F262" s="27" t="n"/>
      <c r="G262" s="27" t="n"/>
      <c r="H262" s="27" t="n"/>
    </row>
    <row r="263">
      <c r="F263" s="27" t="n"/>
      <c r="G263" s="27" t="n"/>
      <c r="H263" s="27" t="n"/>
    </row>
    <row r="264">
      <c r="F264" s="27" t="n"/>
      <c r="G264" s="27" t="n"/>
      <c r="H264" s="27" t="n"/>
    </row>
    <row r="265">
      <c r="F265" s="27" t="n"/>
      <c r="G265" s="27" t="n"/>
      <c r="H265" s="27" t="n"/>
    </row>
    <row r="266">
      <c r="F266" s="27" t="n"/>
      <c r="G266" s="27" t="n"/>
      <c r="H266" s="27" t="n"/>
    </row>
    <row r="267">
      <c r="F267" s="27" t="n"/>
      <c r="G267" s="27" t="n"/>
      <c r="H267" s="27" t="n"/>
    </row>
    <row r="268">
      <c r="F268" s="27" t="n"/>
      <c r="G268" s="27" t="n"/>
      <c r="H268" s="27" t="n"/>
    </row>
    <row r="269">
      <c r="F269" s="27" t="n"/>
      <c r="G269" s="27" t="n"/>
      <c r="H269" s="27" t="n"/>
    </row>
    <row r="270">
      <c r="F270" s="27" t="n"/>
      <c r="G270" s="27" t="n"/>
      <c r="H270" s="27" t="n"/>
    </row>
    <row r="271">
      <c r="F271" s="27" t="n"/>
      <c r="G271" s="27" t="n"/>
      <c r="H271" s="27" t="n"/>
    </row>
    <row r="272">
      <c r="F272" s="27" t="n"/>
      <c r="G272" s="27" t="n"/>
      <c r="H272" s="27" t="n"/>
    </row>
    <row r="273">
      <c r="F273" s="27" t="n"/>
      <c r="G273" s="27" t="n"/>
      <c r="H273" s="27" t="n"/>
    </row>
    <row r="274">
      <c r="F274" s="27" t="n"/>
      <c r="G274" s="27" t="n"/>
      <c r="H274" s="27" t="n"/>
    </row>
    <row r="275">
      <c r="F275" s="27" t="n"/>
      <c r="G275" s="27" t="n"/>
      <c r="H275" s="27" t="n"/>
    </row>
    <row r="276">
      <c r="F276" s="27" t="n"/>
      <c r="G276" s="27" t="n"/>
      <c r="H276" s="27" t="n"/>
    </row>
    <row r="277">
      <c r="F277" s="27" t="n"/>
      <c r="G277" s="27" t="n"/>
      <c r="H277" s="27" t="n"/>
    </row>
    <row r="278">
      <c r="F278" s="27" t="n"/>
      <c r="G278" s="27" t="n"/>
      <c r="H278" s="27" t="n"/>
    </row>
    <row r="279">
      <c r="F279" s="27" t="n"/>
      <c r="G279" s="27" t="n"/>
      <c r="H279" s="27" t="n"/>
    </row>
    <row r="280">
      <c r="F280" s="27" t="n"/>
      <c r="G280" s="27" t="n"/>
      <c r="H280" s="27" t="n"/>
    </row>
    <row r="281">
      <c r="F281" s="27" t="n"/>
      <c r="G281" s="27" t="n"/>
      <c r="H281" s="27" t="n"/>
    </row>
    <row r="282">
      <c r="F282" s="27" t="n"/>
      <c r="G282" s="27" t="n"/>
      <c r="H282" s="27" t="n"/>
    </row>
    <row r="283">
      <c r="F283" s="27" t="n"/>
      <c r="G283" s="27" t="n"/>
      <c r="H283" s="27" t="n"/>
    </row>
    <row r="284">
      <c r="F284" s="27" t="n"/>
      <c r="G284" s="27" t="n"/>
      <c r="H284" s="27" t="n"/>
    </row>
    <row r="285">
      <c r="F285" s="27" t="n"/>
      <c r="G285" s="27" t="n"/>
      <c r="H285" s="27" t="n"/>
    </row>
    <row r="286">
      <c r="F286" s="27" t="n"/>
      <c r="G286" s="27" t="n"/>
      <c r="H286" s="27" t="n"/>
    </row>
    <row r="287">
      <c r="F287" s="27" t="n"/>
      <c r="G287" s="27" t="n"/>
      <c r="H287" s="27" t="n"/>
    </row>
    <row r="288">
      <c r="F288" s="27" t="n"/>
      <c r="G288" s="27" t="n"/>
      <c r="H288" s="27" t="n"/>
    </row>
    <row r="289">
      <c r="F289" s="27" t="n"/>
      <c r="G289" s="27" t="n"/>
      <c r="H289" s="27" t="n"/>
    </row>
    <row r="290">
      <c r="F290" s="27" t="n"/>
      <c r="G290" s="27" t="n"/>
      <c r="H290" s="27" t="n"/>
    </row>
    <row r="291">
      <c r="F291" s="27" t="n"/>
      <c r="G291" s="27" t="n"/>
      <c r="H291" s="27" t="n"/>
    </row>
    <row r="292">
      <c r="F292" s="27" t="n"/>
      <c r="G292" s="27" t="n"/>
      <c r="H292" s="27" t="n"/>
    </row>
    <row r="293">
      <c r="F293" s="27" t="n"/>
      <c r="G293" s="27" t="n"/>
      <c r="H293" s="27" t="n"/>
    </row>
    <row r="294">
      <c r="F294" s="27" t="n"/>
      <c r="G294" s="27" t="n"/>
      <c r="H294" s="27" t="n"/>
    </row>
    <row r="295">
      <c r="F295" s="27" t="n"/>
      <c r="G295" s="27" t="n"/>
      <c r="H295" s="27" t="n"/>
    </row>
    <row r="296">
      <c r="F296" s="27" t="n"/>
      <c r="G296" s="27" t="n"/>
      <c r="H296" s="27" t="n"/>
    </row>
    <row r="297">
      <c r="F297" s="27" t="n"/>
      <c r="G297" s="27" t="n"/>
      <c r="H297" s="27" t="n"/>
    </row>
    <row r="298">
      <c r="F298" s="27" t="n"/>
      <c r="G298" s="27" t="n"/>
      <c r="H298" s="27" t="n"/>
    </row>
    <row r="299">
      <c r="F299" s="27" t="n"/>
      <c r="G299" s="27" t="n"/>
      <c r="H299" s="27" t="n"/>
    </row>
    <row r="300">
      <c r="F300" s="27" t="n"/>
      <c r="G300" s="27" t="n"/>
      <c r="H300" s="27" t="n"/>
    </row>
    <row r="301">
      <c r="F301" s="27" t="n"/>
      <c r="G301" s="27" t="n"/>
      <c r="H301" s="27" t="n"/>
    </row>
    <row r="302">
      <c r="F302" s="27" t="n"/>
      <c r="G302" s="27" t="n"/>
      <c r="H302" s="27" t="n"/>
    </row>
    <row r="303">
      <c r="F303" s="27" t="n"/>
      <c r="G303" s="27" t="n"/>
      <c r="H303" s="27" t="n"/>
    </row>
    <row r="304">
      <c r="F304" s="27" t="n"/>
      <c r="G304" s="27" t="n"/>
      <c r="H304" s="27" t="n"/>
    </row>
    <row r="305">
      <c r="F305" s="27" t="n"/>
      <c r="G305" s="27" t="n"/>
      <c r="H305" s="27" t="n"/>
    </row>
    <row r="306">
      <c r="F306" s="27" t="n"/>
      <c r="G306" s="27" t="n"/>
      <c r="H306" s="27" t="n"/>
    </row>
    <row r="307">
      <c r="F307" s="27" t="n"/>
      <c r="G307" s="27" t="n"/>
      <c r="H307" s="27" t="n"/>
    </row>
    <row r="308">
      <c r="F308" s="27" t="n"/>
      <c r="G308" s="27" t="n"/>
      <c r="H308" s="27" t="n"/>
    </row>
    <row r="309">
      <c r="F309" s="27" t="n"/>
      <c r="G309" s="27" t="n"/>
      <c r="H309" s="27" t="n"/>
    </row>
    <row r="310">
      <c r="F310" s="27" t="n"/>
      <c r="G310" s="27" t="n"/>
      <c r="H310" s="27" t="n"/>
    </row>
    <row r="311">
      <c r="F311" s="27" t="n"/>
      <c r="G311" s="27" t="n"/>
      <c r="H311" s="27" t="n"/>
    </row>
    <row r="312">
      <c r="F312" s="27" t="n"/>
      <c r="G312" s="27" t="n"/>
      <c r="H312" s="27" t="n"/>
    </row>
    <row r="313">
      <c r="F313" s="27" t="n"/>
      <c r="G313" s="27" t="n"/>
      <c r="H313" s="27" t="n"/>
    </row>
    <row r="314">
      <c r="F314" s="27" t="n"/>
      <c r="G314" s="27" t="n"/>
      <c r="H314" s="27" t="n"/>
    </row>
    <row r="315">
      <c r="F315" s="27" t="n"/>
      <c r="G315" s="27" t="n"/>
      <c r="H315" s="27" t="n"/>
    </row>
    <row r="316">
      <c r="F316" s="27" t="n"/>
      <c r="G316" s="27" t="n"/>
      <c r="H316" s="27" t="n"/>
    </row>
    <row r="317">
      <c r="F317" s="27" t="n"/>
      <c r="G317" s="27" t="n"/>
      <c r="H317" s="27" t="n"/>
    </row>
    <row r="318">
      <c r="F318" s="27" t="n"/>
      <c r="G318" s="27" t="n"/>
      <c r="H318" s="27" t="n"/>
    </row>
    <row r="319">
      <c r="F319" s="27" t="n"/>
      <c r="G319" s="27" t="n"/>
      <c r="H319" s="27" t="n"/>
    </row>
    <row r="320">
      <c r="F320" s="27" t="n"/>
      <c r="G320" s="27" t="n"/>
      <c r="H320" s="27" t="n"/>
    </row>
    <row r="321">
      <c r="F321" s="27" t="n"/>
      <c r="G321" s="27" t="n"/>
      <c r="H321" s="27" t="n"/>
    </row>
    <row r="322">
      <c r="F322" s="27" t="n"/>
      <c r="G322" s="27" t="n"/>
      <c r="H322" s="27" t="n"/>
    </row>
    <row r="323">
      <c r="F323" s="27" t="n"/>
      <c r="G323" s="27" t="n"/>
      <c r="H323" s="27" t="n"/>
    </row>
    <row r="324">
      <c r="F324" s="27" t="n"/>
      <c r="G324" s="27" t="n"/>
      <c r="H324" s="27" t="n"/>
    </row>
    <row r="325">
      <c r="F325" s="27" t="n"/>
      <c r="G325" s="27" t="n"/>
      <c r="H325" s="27" t="n"/>
    </row>
    <row r="326">
      <c r="F326" s="27" t="n"/>
      <c r="G326" s="27" t="n"/>
      <c r="H326" s="27" t="n"/>
    </row>
    <row r="327">
      <c r="F327" s="27" t="n"/>
      <c r="G327" s="27" t="n"/>
      <c r="H327" s="27" t="n"/>
    </row>
    <row r="328">
      <c r="F328" s="27" t="n"/>
      <c r="G328" s="27" t="n"/>
      <c r="H328" s="27" t="n"/>
    </row>
    <row r="329">
      <c r="F329" s="27" t="n"/>
      <c r="G329" s="27" t="n"/>
      <c r="H329" s="27" t="n"/>
    </row>
    <row r="330">
      <c r="F330" s="27" t="n"/>
      <c r="G330" s="27" t="n"/>
      <c r="H330" s="27" t="n"/>
    </row>
    <row r="331">
      <c r="F331" s="27" t="n"/>
      <c r="G331" s="27" t="n"/>
      <c r="H331" s="27" t="n"/>
    </row>
    <row r="332">
      <c r="F332" s="27" t="n"/>
      <c r="G332" s="27" t="n"/>
      <c r="H332" s="27" t="n"/>
    </row>
    <row r="333">
      <c r="F333" s="27" t="n"/>
      <c r="G333" s="27" t="n"/>
      <c r="H333" s="27" t="n"/>
    </row>
    <row r="334">
      <c r="F334" s="27" t="n"/>
      <c r="G334" s="27" t="n"/>
      <c r="H334" s="27" t="n"/>
    </row>
    <row r="335">
      <c r="F335" s="27" t="n"/>
      <c r="G335" s="27" t="n"/>
      <c r="H335" s="27" t="n"/>
    </row>
    <row r="336">
      <c r="F336" s="27" t="n"/>
      <c r="G336" s="27" t="n"/>
      <c r="H336" s="27" t="n"/>
    </row>
    <row r="337">
      <c r="F337" s="27" t="n"/>
      <c r="G337" s="27" t="n"/>
      <c r="H337" s="27" t="n"/>
    </row>
    <row r="338">
      <c r="F338" s="27" t="n"/>
      <c r="G338" s="27" t="n"/>
      <c r="H338" s="27" t="n"/>
    </row>
    <row r="339">
      <c r="F339" s="27" t="n"/>
      <c r="G339" s="27" t="n"/>
      <c r="H339" s="27" t="n"/>
    </row>
    <row r="340">
      <c r="F340" s="27" t="n"/>
      <c r="G340" s="27" t="n"/>
      <c r="H340" s="27" t="n"/>
    </row>
    <row r="341">
      <c r="F341" s="27" t="n"/>
      <c r="G341" s="27" t="n"/>
      <c r="H341" s="27" t="n"/>
    </row>
    <row r="342">
      <c r="F342" s="27" t="n"/>
      <c r="G342" s="27" t="n"/>
      <c r="H342" s="27" t="n"/>
    </row>
    <row r="343">
      <c r="F343" s="27" t="n"/>
      <c r="G343" s="27" t="n"/>
      <c r="H343" s="27" t="n"/>
    </row>
    <row r="344">
      <c r="F344" s="27" t="n"/>
      <c r="G344" s="27" t="n"/>
      <c r="H344" s="27" t="n"/>
    </row>
    <row r="345">
      <c r="F345" s="27" t="n"/>
      <c r="G345" s="27" t="n"/>
      <c r="H345" s="27" t="n"/>
    </row>
    <row r="346">
      <c r="F346" s="27" t="n"/>
      <c r="G346" s="27" t="n"/>
      <c r="H346" s="27" t="n"/>
    </row>
    <row r="347">
      <c r="F347" s="27" t="n"/>
      <c r="G347" s="27" t="n"/>
      <c r="H347" s="27" t="n"/>
    </row>
    <row r="348">
      <c r="F348" s="27" t="n"/>
      <c r="G348" s="27" t="n"/>
      <c r="H348" s="27" t="n"/>
    </row>
    <row r="349">
      <c r="F349" s="27" t="n"/>
      <c r="G349" s="27" t="n"/>
      <c r="H349" s="27" t="n"/>
    </row>
    <row r="350">
      <c r="F350" s="27" t="n"/>
      <c r="G350" s="27" t="n"/>
      <c r="H350" s="27" t="n"/>
    </row>
    <row r="351">
      <c r="F351" s="27" t="n"/>
      <c r="G351" s="27" t="n"/>
      <c r="H351" s="27" t="n"/>
    </row>
    <row r="352">
      <c r="F352" s="27" t="n"/>
      <c r="G352" s="27" t="n"/>
      <c r="H352" s="27" t="n"/>
    </row>
    <row r="353">
      <c r="F353" s="27" t="n"/>
      <c r="G353" s="27" t="n"/>
      <c r="H353" s="27" t="n"/>
    </row>
    <row r="354">
      <c r="F354" s="27" t="n"/>
      <c r="G354" s="27" t="n"/>
      <c r="H354" s="27" t="n"/>
    </row>
    <row r="355">
      <c r="F355" s="27" t="n"/>
      <c r="G355" s="27" t="n"/>
      <c r="H355" s="27" t="n"/>
    </row>
    <row r="356">
      <c r="F356" s="27" t="n"/>
      <c r="G356" s="27" t="n"/>
      <c r="H356" s="27" t="n"/>
    </row>
    <row r="357">
      <c r="F357" s="27" t="n"/>
      <c r="G357" s="27" t="n"/>
      <c r="H357" s="27" t="n"/>
    </row>
    <row r="358">
      <c r="F358" s="27" t="n"/>
      <c r="G358" s="27" t="n"/>
      <c r="H358" s="27" t="n"/>
    </row>
    <row r="359">
      <c r="F359" s="27" t="n"/>
      <c r="G359" s="27" t="n"/>
      <c r="H359" s="27" t="n"/>
    </row>
    <row r="360">
      <c r="F360" s="27" t="n"/>
      <c r="G360" s="27" t="n"/>
      <c r="H360" s="27" t="n"/>
    </row>
    <row r="361">
      <c r="F361" s="27" t="n"/>
      <c r="G361" s="27" t="n"/>
      <c r="H361" s="27" t="n"/>
    </row>
    <row r="362">
      <c r="F362" s="27" t="n"/>
      <c r="G362" s="27" t="n"/>
      <c r="H362" s="27" t="n"/>
    </row>
    <row r="363">
      <c r="F363" s="27" t="n"/>
      <c r="G363" s="27" t="n"/>
      <c r="H363" s="27" t="n"/>
    </row>
    <row r="364">
      <c r="F364" s="27" t="n"/>
      <c r="G364" s="27" t="n"/>
      <c r="H364" s="27" t="n"/>
    </row>
    <row r="365">
      <c r="F365" s="27" t="n"/>
      <c r="G365" s="27" t="n"/>
      <c r="H365" s="27" t="n"/>
    </row>
    <row r="366">
      <c r="F366" s="27" t="n"/>
      <c r="G366" s="27" t="n"/>
      <c r="H366" s="27" t="n"/>
    </row>
    <row r="367">
      <c r="F367" s="27" t="n"/>
      <c r="G367" s="27" t="n"/>
      <c r="H367" s="27" t="n"/>
    </row>
    <row r="368">
      <c r="F368" s="27" t="n"/>
      <c r="G368" s="27" t="n"/>
      <c r="H368" s="27" t="n"/>
    </row>
    <row r="369">
      <c r="F369" s="27" t="n"/>
      <c r="G369" s="27" t="n"/>
      <c r="H369" s="27" t="n"/>
    </row>
    <row r="370">
      <c r="F370" s="27" t="n"/>
      <c r="G370" s="27" t="n"/>
      <c r="H370" s="27" t="n"/>
    </row>
    <row r="371">
      <c r="F371" s="27" t="n"/>
      <c r="G371" s="27" t="n"/>
      <c r="H371" s="27" t="n"/>
    </row>
    <row r="372">
      <c r="F372" s="27" t="n"/>
      <c r="G372" s="27" t="n"/>
      <c r="H372" s="27" t="n"/>
    </row>
    <row r="373">
      <c r="F373" s="27" t="n"/>
      <c r="G373" s="27" t="n"/>
      <c r="H373" s="27" t="n"/>
    </row>
    <row r="374">
      <c r="F374" s="27" t="n"/>
      <c r="G374" s="27" t="n"/>
      <c r="H374" s="27" t="n"/>
    </row>
    <row r="375">
      <c r="F375" s="27" t="n"/>
      <c r="G375" s="27" t="n"/>
      <c r="H375" s="27" t="n"/>
    </row>
    <row r="376">
      <c r="F376" s="27" t="n"/>
      <c r="G376" s="27" t="n"/>
      <c r="H376" s="27" t="n"/>
    </row>
    <row r="377">
      <c r="F377" s="27" t="n"/>
      <c r="G377" s="27" t="n"/>
      <c r="H377" s="27" t="n"/>
    </row>
    <row r="378">
      <c r="F378" s="27" t="n"/>
      <c r="G378" s="27" t="n"/>
      <c r="H378" s="27" t="n"/>
    </row>
    <row r="379">
      <c r="F379" s="27" t="n"/>
      <c r="G379" s="27" t="n"/>
      <c r="H379" s="27" t="n"/>
    </row>
    <row r="380">
      <c r="F380" s="27" t="n"/>
      <c r="G380" s="27" t="n"/>
      <c r="H380" s="27" t="n"/>
    </row>
    <row r="381">
      <c r="F381" s="27" t="n"/>
      <c r="G381" s="27" t="n"/>
      <c r="H381" s="27" t="n"/>
    </row>
    <row r="382">
      <c r="F382" s="27" t="n"/>
      <c r="G382" s="27" t="n"/>
      <c r="H382" s="27" t="n"/>
    </row>
    <row r="383">
      <c r="F383" s="27" t="n"/>
      <c r="G383" s="27" t="n"/>
      <c r="H383" s="27" t="n"/>
    </row>
    <row r="384">
      <c r="F384" s="27" t="n"/>
      <c r="G384" s="27" t="n"/>
      <c r="H384" s="27" t="n"/>
    </row>
    <row r="385">
      <c r="F385" s="27" t="n"/>
      <c r="G385" s="27" t="n"/>
      <c r="H385" s="27" t="n"/>
    </row>
    <row r="386">
      <c r="F386" s="27" t="n"/>
      <c r="G386" s="27" t="n"/>
      <c r="H386" s="27" t="n"/>
    </row>
    <row r="387">
      <c r="F387" s="27" t="n"/>
      <c r="G387" s="27" t="n"/>
      <c r="H387" s="27" t="n"/>
    </row>
    <row r="388">
      <c r="F388" s="27" t="n"/>
      <c r="G388" s="27" t="n"/>
      <c r="H388" s="27" t="n"/>
    </row>
    <row r="389">
      <c r="F389" s="27" t="n"/>
      <c r="G389" s="27" t="n"/>
      <c r="H389" s="27" t="n"/>
    </row>
    <row r="390">
      <c r="F390" s="27" t="n"/>
      <c r="G390" s="27" t="n"/>
      <c r="H390" s="27" t="n"/>
    </row>
    <row r="391">
      <c r="F391" s="27" t="n"/>
      <c r="G391" s="27" t="n"/>
      <c r="H391" s="27" t="n"/>
    </row>
    <row r="392">
      <c r="F392" s="27" t="n"/>
      <c r="G392" s="27" t="n"/>
      <c r="H392" s="27" t="n"/>
    </row>
    <row r="393">
      <c r="F393" s="27" t="n"/>
      <c r="G393" s="27" t="n"/>
      <c r="H393" s="27" t="n"/>
    </row>
    <row r="394">
      <c r="F394" s="27" t="n"/>
      <c r="G394" s="27" t="n"/>
      <c r="H394" s="27" t="n"/>
    </row>
    <row r="395">
      <c r="F395" s="27" t="n"/>
      <c r="G395" s="27" t="n"/>
      <c r="H395" s="27" t="n"/>
    </row>
    <row r="396">
      <c r="F396" s="27" t="n"/>
      <c r="G396" s="27" t="n"/>
      <c r="H396" s="27" t="n"/>
    </row>
    <row r="397">
      <c r="F397" s="27" t="n"/>
      <c r="G397" s="27" t="n"/>
      <c r="H397" s="27" t="n"/>
    </row>
    <row r="398">
      <c r="F398" s="27" t="n"/>
      <c r="G398" s="27" t="n"/>
      <c r="H398" s="27" t="n"/>
    </row>
    <row r="399">
      <c r="F399" s="27" t="n"/>
      <c r="G399" s="27" t="n"/>
      <c r="H399" s="27" t="n"/>
    </row>
    <row r="400">
      <c r="F400" s="27" t="n"/>
      <c r="G400" s="27" t="n"/>
      <c r="H400" s="27" t="n"/>
    </row>
    <row r="401">
      <c r="F401" s="27" t="n"/>
      <c r="G401" s="27" t="n"/>
      <c r="H401" s="27" t="n"/>
    </row>
    <row r="402">
      <c r="F402" s="27" t="n"/>
      <c r="G402" s="27" t="n"/>
      <c r="H402" s="27" t="n"/>
    </row>
    <row r="403">
      <c r="F403" s="27" t="n"/>
      <c r="G403" s="27" t="n"/>
      <c r="H403" s="27" t="n"/>
    </row>
    <row r="404">
      <c r="F404" s="27" t="n"/>
      <c r="G404" s="27" t="n"/>
      <c r="H404" s="27" t="n"/>
    </row>
    <row r="405">
      <c r="F405" s="27" t="n"/>
      <c r="G405" s="27" t="n"/>
      <c r="H405" s="27" t="n"/>
    </row>
    <row r="406">
      <c r="F406" s="27" t="n"/>
      <c r="G406" s="27" t="n"/>
      <c r="H406" s="27" t="n"/>
    </row>
    <row r="407">
      <c r="F407" s="27" t="n"/>
      <c r="G407" s="27" t="n"/>
      <c r="H407" s="27" t="n"/>
    </row>
    <row r="408">
      <c r="F408" s="27" t="n"/>
      <c r="G408" s="27" t="n"/>
      <c r="H408" s="27" t="n"/>
    </row>
    <row r="409">
      <c r="F409" s="27" t="n"/>
      <c r="G409" s="27" t="n"/>
      <c r="H409" s="27" t="n"/>
    </row>
    <row r="410">
      <c r="F410" s="27" t="n"/>
      <c r="G410" s="27" t="n"/>
      <c r="H410" s="27" t="n"/>
    </row>
    <row r="411">
      <c r="F411" s="27" t="n"/>
      <c r="G411" s="27" t="n"/>
      <c r="H411" s="27" t="n"/>
    </row>
    <row r="412">
      <c r="F412" s="27" t="n"/>
      <c r="G412" s="27" t="n"/>
      <c r="H412" s="27" t="n"/>
    </row>
    <row r="413">
      <c r="F413" s="27" t="n"/>
      <c r="G413" s="27" t="n"/>
      <c r="H413" s="27" t="n"/>
    </row>
    <row r="414">
      <c r="F414" s="27" t="n"/>
      <c r="G414" s="27" t="n"/>
      <c r="H414" s="27" t="n"/>
    </row>
    <row r="415">
      <c r="F415" s="27" t="n"/>
      <c r="G415" s="27" t="n"/>
      <c r="H415" s="27" t="n"/>
    </row>
    <row r="416">
      <c r="F416" s="27" t="n"/>
      <c r="G416" s="27" t="n"/>
      <c r="H416" s="27" t="n"/>
    </row>
    <row r="417">
      <c r="F417" s="27" t="n"/>
      <c r="G417" s="27" t="n"/>
      <c r="H417" s="27" t="n"/>
    </row>
    <row r="418">
      <c r="F418" s="27" t="n"/>
      <c r="G418" s="27" t="n"/>
      <c r="H418" s="27" t="n"/>
    </row>
    <row r="419">
      <c r="F419" s="27" t="n"/>
      <c r="G419" s="27" t="n"/>
      <c r="H419" s="27" t="n"/>
    </row>
    <row r="420">
      <c r="F420" s="27" t="n"/>
      <c r="G420" s="27" t="n"/>
      <c r="H420" s="27" t="n"/>
    </row>
    <row r="421">
      <c r="F421" s="27" t="n"/>
      <c r="G421" s="27" t="n"/>
      <c r="H421" s="27" t="n"/>
    </row>
    <row r="422">
      <c r="F422" s="27" t="n"/>
      <c r="G422" s="27" t="n"/>
      <c r="H422" s="27" t="n"/>
    </row>
    <row r="423">
      <c r="F423" s="27" t="n"/>
      <c r="G423" s="27" t="n"/>
      <c r="H423" s="27" t="n"/>
    </row>
    <row r="424">
      <c r="F424" s="27" t="n"/>
      <c r="G424" s="27" t="n"/>
      <c r="H424" s="27" t="n"/>
    </row>
    <row r="425">
      <c r="F425" s="27" t="n"/>
      <c r="G425" s="27" t="n"/>
      <c r="H425" s="27" t="n"/>
    </row>
    <row r="426">
      <c r="F426" s="27" t="n"/>
      <c r="G426" s="27" t="n"/>
      <c r="H426" s="27" t="n"/>
    </row>
    <row r="427">
      <c r="F427" s="27" t="n"/>
      <c r="G427" s="27" t="n"/>
      <c r="H427" s="27" t="n"/>
    </row>
    <row r="428">
      <c r="F428" s="27" t="n"/>
      <c r="G428" s="27" t="n"/>
      <c r="H428" s="27" t="n"/>
    </row>
    <row r="429">
      <c r="F429" s="27" t="n"/>
      <c r="G429" s="27" t="n"/>
      <c r="H429" s="27" t="n"/>
    </row>
    <row r="430">
      <c r="F430" s="27" t="n"/>
      <c r="G430" s="27" t="n"/>
      <c r="H430" s="27" t="n"/>
    </row>
    <row r="431">
      <c r="F431" s="27" t="n"/>
      <c r="G431" s="27" t="n"/>
      <c r="H431" s="27" t="n"/>
    </row>
    <row r="432">
      <c r="F432" s="27" t="n"/>
      <c r="G432" s="27" t="n"/>
      <c r="H432" s="27" t="n"/>
    </row>
    <row r="433">
      <c r="F433" s="27" t="n"/>
      <c r="G433" s="27" t="n"/>
      <c r="H433" s="27" t="n"/>
    </row>
    <row r="434">
      <c r="F434" s="27" t="n"/>
      <c r="G434" s="27" t="n"/>
      <c r="H434" s="27" t="n"/>
    </row>
    <row r="435">
      <c r="F435" s="27" t="n"/>
      <c r="G435" s="27" t="n"/>
      <c r="H435" s="27" t="n"/>
    </row>
    <row r="436">
      <c r="F436" s="27" t="n"/>
      <c r="G436" s="27" t="n"/>
      <c r="H436" s="27" t="n"/>
    </row>
    <row r="437">
      <c r="F437" s="27" t="n"/>
      <c r="G437" s="27" t="n"/>
      <c r="H437" s="27" t="n"/>
    </row>
    <row r="438">
      <c r="F438" s="27" t="n"/>
      <c r="G438" s="27" t="n"/>
      <c r="H438" s="27" t="n"/>
    </row>
    <row r="439">
      <c r="F439" s="27" t="n"/>
      <c r="G439" s="27" t="n"/>
      <c r="H439" s="27" t="n"/>
    </row>
    <row r="440">
      <c r="F440" s="27" t="n"/>
      <c r="G440" s="27" t="n"/>
      <c r="H440" s="27" t="n"/>
    </row>
    <row r="441">
      <c r="F441" s="27" t="n"/>
      <c r="G441" s="27" t="n"/>
      <c r="H441" s="27" t="n"/>
    </row>
    <row r="442">
      <c r="F442" s="27" t="n"/>
      <c r="G442" s="27" t="n"/>
      <c r="H442" s="27" t="n"/>
    </row>
    <row r="443">
      <c r="F443" s="27" t="n"/>
      <c r="G443" s="27" t="n"/>
      <c r="H443" s="27" t="n"/>
    </row>
    <row r="444">
      <c r="F444" s="27" t="n"/>
      <c r="G444" s="27" t="n"/>
      <c r="H444" s="27" t="n"/>
    </row>
    <row r="445">
      <c r="F445" s="27" t="n"/>
      <c r="G445" s="27" t="n"/>
      <c r="H445" s="27" t="n"/>
    </row>
    <row r="446">
      <c r="F446" s="27" t="n"/>
      <c r="G446" s="27" t="n"/>
      <c r="H446" s="27" t="n"/>
    </row>
    <row r="447">
      <c r="F447" s="27" t="n"/>
      <c r="G447" s="27" t="n"/>
      <c r="H447" s="27" t="n"/>
    </row>
    <row r="448">
      <c r="F448" s="27" t="n"/>
      <c r="G448" s="27" t="n"/>
      <c r="H448" s="27" t="n"/>
    </row>
    <row r="449">
      <c r="F449" s="27" t="n"/>
      <c r="G449" s="27" t="n"/>
      <c r="H449" s="27" t="n"/>
    </row>
    <row r="450">
      <c r="F450" s="27" t="n"/>
      <c r="G450" s="27" t="n"/>
      <c r="H450" s="27" t="n"/>
    </row>
    <row r="451">
      <c r="F451" s="27" t="n"/>
      <c r="G451" s="27" t="n"/>
      <c r="H451" s="27" t="n"/>
    </row>
    <row r="452">
      <c r="F452" s="27" t="n"/>
      <c r="G452" s="27" t="n"/>
      <c r="H452" s="27" t="n"/>
    </row>
    <row r="453">
      <c r="F453" s="27" t="n"/>
      <c r="G453" s="27" t="n"/>
      <c r="H453" s="27" t="n"/>
    </row>
    <row r="454">
      <c r="F454" s="27" t="n"/>
      <c r="G454" s="27" t="n"/>
      <c r="H454" s="27" t="n"/>
    </row>
    <row r="455">
      <c r="F455" s="27" t="n"/>
      <c r="G455" s="27" t="n"/>
      <c r="H455" s="27" t="n"/>
    </row>
    <row r="456">
      <c r="F456" s="27" t="n"/>
      <c r="G456" s="27" t="n"/>
      <c r="H456" s="27" t="n"/>
    </row>
    <row r="457">
      <c r="F457" s="27" t="n"/>
      <c r="G457" s="27" t="n"/>
      <c r="H457" s="27" t="n"/>
    </row>
    <row r="458">
      <c r="F458" s="27" t="n"/>
      <c r="G458" s="27" t="n"/>
      <c r="H458" s="27" t="n"/>
    </row>
    <row r="459">
      <c r="F459" s="27" t="n"/>
      <c r="G459" s="27" t="n"/>
      <c r="H459" s="27" t="n"/>
    </row>
    <row r="460">
      <c r="F460" s="27" t="n"/>
      <c r="G460" s="27" t="n"/>
      <c r="H460" s="27" t="n"/>
    </row>
    <row r="461">
      <c r="F461" s="27" t="n"/>
      <c r="G461" s="27" t="n"/>
      <c r="H461" s="27" t="n"/>
    </row>
    <row r="462">
      <c r="F462" s="27" t="n"/>
      <c r="G462" s="27" t="n"/>
      <c r="H462" s="27" t="n"/>
    </row>
    <row r="463">
      <c r="F463" s="27" t="n"/>
      <c r="G463" s="27" t="n"/>
      <c r="H463" s="27" t="n"/>
    </row>
    <row r="464">
      <c r="F464" s="27" t="n"/>
      <c r="G464" s="27" t="n"/>
      <c r="H464" s="27" t="n"/>
    </row>
    <row r="465">
      <c r="F465" s="27" t="n"/>
      <c r="G465" s="27" t="n"/>
      <c r="H465" s="27" t="n"/>
    </row>
    <row r="466">
      <c r="F466" s="27" t="n"/>
      <c r="G466" s="27" t="n"/>
      <c r="H466" s="27" t="n"/>
    </row>
    <row r="467">
      <c r="F467" s="27" t="n"/>
      <c r="G467" s="27" t="n"/>
      <c r="H467" s="27" t="n"/>
    </row>
    <row r="468">
      <c r="F468" s="27" t="n"/>
      <c r="G468" s="27" t="n"/>
      <c r="H468" s="27" t="n"/>
    </row>
    <row r="469">
      <c r="F469" s="27" t="n"/>
      <c r="G469" s="27" t="n"/>
      <c r="H469" s="27" t="n"/>
    </row>
    <row r="470">
      <c r="F470" s="27" t="n"/>
      <c r="G470" s="27" t="n"/>
      <c r="H470" s="27" t="n"/>
    </row>
    <row r="471">
      <c r="F471" s="27" t="n"/>
      <c r="G471" s="27" t="n"/>
      <c r="H471" s="27" t="n"/>
    </row>
    <row r="472">
      <c r="F472" s="27" t="n"/>
      <c r="G472" s="27" t="n"/>
      <c r="H472" s="27" t="n"/>
    </row>
    <row r="473">
      <c r="F473" s="27" t="n"/>
      <c r="G473" s="27" t="n"/>
      <c r="H473" s="27" t="n"/>
    </row>
    <row r="474">
      <c r="F474" s="27" t="n"/>
      <c r="G474" s="27" t="n"/>
      <c r="H474" s="27" t="n"/>
    </row>
    <row r="475">
      <c r="F475" s="27" t="n"/>
      <c r="G475" s="27" t="n"/>
      <c r="H475" s="27" t="n"/>
    </row>
    <row r="476">
      <c r="F476" s="27" t="n"/>
      <c r="G476" s="27" t="n"/>
      <c r="H476" s="27" t="n"/>
    </row>
    <row r="477">
      <c r="F477" s="27" t="n"/>
      <c r="G477" s="27" t="n"/>
      <c r="H477" s="27" t="n"/>
    </row>
    <row r="478">
      <c r="F478" s="27" t="n"/>
      <c r="G478" s="27" t="n"/>
      <c r="H478" s="27" t="n"/>
    </row>
    <row r="479">
      <c r="F479" s="27" t="n"/>
      <c r="G479" s="27" t="n"/>
      <c r="H479" s="27" t="n"/>
    </row>
    <row r="480">
      <c r="F480" s="27" t="n"/>
      <c r="G480" s="27" t="n"/>
      <c r="H480" s="27" t="n"/>
    </row>
    <row r="481">
      <c r="F481" s="27" t="n"/>
      <c r="G481" s="27" t="n"/>
      <c r="H481" s="27" t="n"/>
    </row>
    <row r="482">
      <c r="F482" s="27" t="n"/>
      <c r="G482" s="27" t="n"/>
      <c r="H482" s="27" t="n"/>
    </row>
    <row r="483">
      <c r="F483" s="27" t="n"/>
      <c r="G483" s="27" t="n"/>
      <c r="H483" s="27" t="n"/>
    </row>
    <row r="484">
      <c r="F484" s="27" t="n"/>
      <c r="G484" s="27" t="n"/>
      <c r="H484" s="27" t="n"/>
    </row>
    <row r="485">
      <c r="F485" s="27" t="n"/>
      <c r="G485" s="27" t="n"/>
      <c r="H485" s="27" t="n"/>
    </row>
    <row r="486">
      <c r="F486" s="27" t="n"/>
      <c r="G486" s="27" t="n"/>
      <c r="H486" s="27" t="n"/>
    </row>
    <row r="487">
      <c r="F487" s="27" t="n"/>
      <c r="G487" s="27" t="n"/>
      <c r="H487" s="27" t="n"/>
    </row>
    <row r="488">
      <c r="F488" s="27" t="n"/>
      <c r="G488" s="27" t="n"/>
      <c r="H488" s="27" t="n"/>
    </row>
    <row r="489">
      <c r="F489" s="27" t="n"/>
      <c r="G489" s="27" t="n"/>
      <c r="H489" s="27" t="n"/>
    </row>
    <row r="490">
      <c r="F490" s="27" t="n"/>
      <c r="G490" s="27" t="n"/>
      <c r="H490" s="27" t="n"/>
    </row>
    <row r="491">
      <c r="F491" s="27" t="n"/>
      <c r="G491" s="27" t="n"/>
      <c r="H491" s="27" t="n"/>
    </row>
    <row r="492">
      <c r="F492" s="27" t="n"/>
      <c r="G492" s="27" t="n"/>
      <c r="H492" s="27" t="n"/>
    </row>
    <row r="493">
      <c r="F493" s="27" t="n"/>
      <c r="G493" s="27" t="n"/>
      <c r="H493" s="27" t="n"/>
    </row>
    <row r="494">
      <c r="F494" s="27" t="n"/>
      <c r="G494" s="27" t="n"/>
      <c r="H494" s="27" t="n"/>
    </row>
    <row r="495">
      <c r="F495" s="27" t="n"/>
      <c r="G495" s="27" t="n"/>
      <c r="H495" s="27" t="n"/>
    </row>
    <row r="496">
      <c r="F496" s="27" t="n"/>
      <c r="G496" s="27" t="n"/>
      <c r="H496" s="27" t="n"/>
    </row>
    <row r="497">
      <c r="F497" s="27" t="n"/>
      <c r="G497" s="27" t="n"/>
      <c r="H497" s="27" t="n"/>
    </row>
    <row r="498">
      <c r="F498" s="27" t="n"/>
      <c r="G498" s="27" t="n"/>
      <c r="H498" s="27" t="n"/>
    </row>
    <row r="499">
      <c r="F499" s="27" t="n"/>
      <c r="G499" s="27" t="n"/>
      <c r="H499" s="27" t="n"/>
    </row>
    <row r="500">
      <c r="F500" s="27" t="n"/>
      <c r="G500" s="27" t="n"/>
      <c r="H500" s="27" t="n"/>
    </row>
    <row r="501">
      <c r="F501" s="27" t="n"/>
      <c r="G501" s="27" t="n"/>
      <c r="H501" s="27" t="n"/>
    </row>
    <row r="502">
      <c r="F502" s="27" t="n"/>
      <c r="G502" s="27" t="n"/>
      <c r="H502" s="27" t="n"/>
    </row>
    <row r="503">
      <c r="F503" s="27" t="n"/>
      <c r="G503" s="27" t="n"/>
      <c r="H503" s="27" t="n"/>
    </row>
    <row r="504">
      <c r="F504" s="27" t="n"/>
      <c r="G504" s="27" t="n"/>
      <c r="H504" s="27" t="n"/>
    </row>
    <row r="505">
      <c r="F505" s="27" t="n"/>
      <c r="G505" s="27" t="n"/>
      <c r="H505" s="27" t="n"/>
    </row>
    <row r="506">
      <c r="F506" s="27" t="n"/>
      <c r="G506" s="27" t="n"/>
      <c r="H506" s="27" t="n"/>
    </row>
    <row r="507">
      <c r="F507" s="27" t="n"/>
      <c r="G507" s="27" t="n"/>
      <c r="H507" s="27" t="n"/>
    </row>
    <row r="508">
      <c r="F508" s="27" t="n"/>
      <c r="G508" s="27" t="n"/>
      <c r="H508" s="27" t="n"/>
    </row>
    <row r="509">
      <c r="F509" s="27" t="n"/>
      <c r="G509" s="27" t="n"/>
      <c r="H509" s="27" t="n"/>
    </row>
    <row r="510">
      <c r="F510" s="27" t="n"/>
      <c r="G510" s="27" t="n"/>
      <c r="H510" s="27" t="n"/>
    </row>
    <row r="511">
      <c r="F511" s="27" t="n"/>
      <c r="G511" s="27" t="n"/>
      <c r="H511" s="27" t="n"/>
    </row>
    <row r="512">
      <c r="F512" s="27" t="n"/>
      <c r="G512" s="27" t="n"/>
      <c r="H512" s="27" t="n"/>
    </row>
    <row r="513">
      <c r="F513" s="27" t="n"/>
      <c r="G513" s="27" t="n"/>
      <c r="H513" s="27" t="n"/>
    </row>
    <row r="514">
      <c r="F514" s="27" t="n"/>
      <c r="G514" s="27" t="n"/>
      <c r="H514" s="27" t="n"/>
    </row>
    <row r="515">
      <c r="F515" s="27" t="n"/>
      <c r="G515" s="27" t="n"/>
      <c r="H515" s="27" t="n"/>
    </row>
    <row r="516">
      <c r="F516" s="27" t="n"/>
      <c r="G516" s="27" t="n"/>
      <c r="H516" s="27" t="n"/>
    </row>
    <row r="517">
      <c r="F517" s="27" t="n"/>
      <c r="G517" s="27" t="n"/>
      <c r="H517" s="27" t="n"/>
    </row>
    <row r="518">
      <c r="F518" s="27" t="n"/>
      <c r="G518" s="27" t="n"/>
      <c r="H518" s="27" t="n"/>
    </row>
    <row r="519">
      <c r="F519" s="27" t="n"/>
      <c r="G519" s="27" t="n"/>
      <c r="H519" s="27" t="n"/>
    </row>
    <row r="520">
      <c r="F520" s="27" t="n"/>
      <c r="G520" s="27" t="n"/>
      <c r="H520" s="27" t="n"/>
    </row>
    <row r="521">
      <c r="F521" s="27" t="n"/>
      <c r="G521" s="27" t="n"/>
      <c r="H521" s="27" t="n"/>
    </row>
    <row r="522">
      <c r="F522" s="27" t="n"/>
      <c r="G522" s="27" t="n"/>
      <c r="H522" s="27" t="n"/>
    </row>
    <row r="523">
      <c r="F523" s="27" t="n"/>
      <c r="G523" s="27" t="n"/>
      <c r="H523" s="27" t="n"/>
    </row>
    <row r="524">
      <c r="F524" s="27" t="n"/>
      <c r="G524" s="27" t="n"/>
      <c r="H524" s="27" t="n"/>
    </row>
    <row r="525">
      <c r="F525" s="27" t="n"/>
      <c r="G525" s="27" t="n"/>
      <c r="H525" s="27" t="n"/>
    </row>
    <row r="526">
      <c r="F526" s="27" t="n"/>
      <c r="G526" s="27" t="n"/>
      <c r="H526" s="27" t="n"/>
    </row>
    <row r="527">
      <c r="F527" s="27" t="n"/>
      <c r="G527" s="27" t="n"/>
      <c r="H527" s="27" t="n"/>
    </row>
    <row r="528">
      <c r="F528" s="27" t="n"/>
      <c r="G528" s="27" t="n"/>
      <c r="H528" s="27" t="n"/>
    </row>
    <row r="529">
      <c r="F529" s="27" t="n"/>
      <c r="G529" s="27" t="n"/>
      <c r="H529" s="27" t="n"/>
    </row>
    <row r="530">
      <c r="F530" s="27" t="n"/>
      <c r="G530" s="27" t="n"/>
      <c r="H530" s="27" t="n"/>
    </row>
    <row r="531">
      <c r="F531" s="27" t="n"/>
      <c r="G531" s="27" t="n"/>
      <c r="H531" s="27" t="n"/>
    </row>
    <row r="532">
      <c r="F532" s="27" t="n"/>
      <c r="G532" s="27" t="n"/>
      <c r="H532" s="27" t="n"/>
    </row>
    <row r="533">
      <c r="F533" s="27" t="n"/>
      <c r="G533" s="27" t="n"/>
      <c r="H533" s="27" t="n"/>
    </row>
    <row r="534">
      <c r="F534" s="27" t="n"/>
      <c r="G534" s="27" t="n"/>
      <c r="H534" s="27" t="n"/>
    </row>
    <row r="535">
      <c r="F535" s="27" t="n"/>
      <c r="G535" s="27" t="n"/>
      <c r="H535" s="27" t="n"/>
    </row>
    <row r="536">
      <c r="F536" s="27" t="n"/>
      <c r="G536" s="27" t="n"/>
      <c r="H536" s="27" t="n"/>
    </row>
    <row r="537">
      <c r="F537" s="27" t="n"/>
      <c r="G537" s="27" t="n"/>
      <c r="H537" s="27" t="n"/>
    </row>
    <row r="538">
      <c r="F538" s="27" t="n"/>
      <c r="G538" s="27" t="n"/>
      <c r="H538" s="27" t="n"/>
    </row>
    <row r="539">
      <c r="F539" s="27" t="n"/>
      <c r="G539" s="27" t="n"/>
      <c r="H539" s="27" t="n"/>
    </row>
    <row r="540">
      <c r="F540" s="27" t="n"/>
      <c r="G540" s="27" t="n"/>
      <c r="H540" s="27" t="n"/>
    </row>
    <row r="541">
      <c r="F541" s="27" t="n"/>
      <c r="G541" s="27" t="n"/>
      <c r="H541" s="27" t="n"/>
    </row>
    <row r="542">
      <c r="F542" s="27" t="n"/>
      <c r="G542" s="27" t="n"/>
      <c r="H542" s="27" t="n"/>
    </row>
    <row r="543">
      <c r="F543" s="27" t="n"/>
      <c r="G543" s="27" t="n"/>
      <c r="H543" s="27" t="n"/>
    </row>
    <row r="544">
      <c r="F544" s="27" t="n"/>
      <c r="G544" s="27" t="n"/>
      <c r="H544" s="27" t="n"/>
    </row>
    <row r="545">
      <c r="F545" s="27" t="n"/>
      <c r="G545" s="27" t="n"/>
      <c r="H545" s="27" t="n"/>
    </row>
    <row r="546">
      <c r="F546" s="27" t="n"/>
      <c r="G546" s="27" t="n"/>
      <c r="H546" s="27" t="n"/>
    </row>
    <row r="547">
      <c r="F547" s="27" t="n"/>
      <c r="G547" s="27" t="n"/>
      <c r="H547" s="27" t="n"/>
    </row>
    <row r="548">
      <c r="F548" s="27" t="n"/>
      <c r="G548" s="27" t="n"/>
      <c r="H548" s="27" t="n"/>
    </row>
    <row r="549">
      <c r="F549" s="27" t="n"/>
      <c r="G549" s="27" t="n"/>
      <c r="H549" s="27" t="n"/>
    </row>
    <row r="550">
      <c r="F550" s="27" t="n"/>
      <c r="G550" s="27" t="n"/>
      <c r="H550" s="27" t="n"/>
    </row>
    <row r="551">
      <c r="F551" s="27" t="n"/>
      <c r="G551" s="27" t="n"/>
      <c r="H551" s="27" t="n"/>
    </row>
    <row r="552">
      <c r="F552" s="27" t="n"/>
      <c r="G552" s="27" t="n"/>
      <c r="H552" s="27" t="n"/>
    </row>
    <row r="553">
      <c r="F553" s="27" t="n"/>
      <c r="G553" s="27" t="n"/>
      <c r="H553" s="27" t="n"/>
    </row>
    <row r="554">
      <c r="F554" s="27" t="n"/>
      <c r="G554" s="27" t="n"/>
      <c r="H554" s="27" t="n"/>
    </row>
    <row r="555">
      <c r="F555" s="27" t="n"/>
      <c r="G555" s="27" t="n"/>
      <c r="H555" s="27" t="n"/>
    </row>
    <row r="556">
      <c r="F556" s="27" t="n"/>
      <c r="G556" s="27" t="n"/>
      <c r="H556" s="27" t="n"/>
    </row>
    <row r="557">
      <c r="F557" s="27" t="n"/>
      <c r="G557" s="27" t="n"/>
      <c r="H557" s="27" t="n"/>
    </row>
    <row r="558">
      <c r="F558" s="27" t="n"/>
      <c r="G558" s="27" t="n"/>
      <c r="H558" s="27" t="n"/>
    </row>
    <row r="559">
      <c r="F559" s="27" t="n"/>
      <c r="G559" s="27" t="n"/>
      <c r="H559" s="27" t="n"/>
    </row>
    <row r="560">
      <c r="F560" s="27" t="n"/>
      <c r="G560" s="27" t="n"/>
      <c r="H560" s="27" t="n"/>
    </row>
    <row r="561">
      <c r="F561" s="27" t="n"/>
      <c r="G561" s="27" t="n"/>
      <c r="H561" s="27" t="n"/>
    </row>
    <row r="562">
      <c r="F562" s="27" t="n"/>
      <c r="G562" s="27" t="n"/>
      <c r="H562" s="27" t="n"/>
    </row>
    <row r="563">
      <c r="F563" s="27" t="n"/>
      <c r="G563" s="27" t="n"/>
      <c r="H563" s="27" t="n"/>
    </row>
    <row r="564">
      <c r="F564" s="27" t="n"/>
      <c r="G564" s="27" t="n"/>
      <c r="H564" s="27" t="n"/>
    </row>
    <row r="565">
      <c r="F565" s="27" t="n"/>
      <c r="G565" s="27" t="n"/>
      <c r="H565" s="27" t="n"/>
    </row>
    <row r="566">
      <c r="F566" s="27" t="n"/>
      <c r="G566" s="27" t="n"/>
      <c r="H566" s="27" t="n"/>
    </row>
    <row r="567">
      <c r="F567" s="27" t="n"/>
      <c r="G567" s="27" t="n"/>
      <c r="H567" s="27" t="n"/>
    </row>
    <row r="568">
      <c r="F568" s="27" t="n"/>
      <c r="G568" s="27" t="n"/>
      <c r="H568" s="27" t="n"/>
    </row>
    <row r="569">
      <c r="F569" s="27" t="n"/>
      <c r="G569" s="27" t="n"/>
      <c r="H569" s="27" t="n"/>
    </row>
    <row r="570">
      <c r="F570" s="27" t="n"/>
      <c r="G570" s="27" t="n"/>
      <c r="H570" s="27" t="n"/>
    </row>
    <row r="571">
      <c r="F571" s="27" t="n"/>
      <c r="G571" s="27" t="n"/>
      <c r="H571" s="27" t="n"/>
    </row>
    <row r="572">
      <c r="F572" s="27" t="n"/>
      <c r="G572" s="27" t="n"/>
      <c r="H572" s="27" t="n"/>
    </row>
    <row r="573">
      <c r="F573" s="27" t="n"/>
      <c r="G573" s="27" t="n"/>
      <c r="H573" s="27" t="n"/>
    </row>
    <row r="574">
      <c r="F574" s="27" t="n"/>
      <c r="G574" s="27" t="n"/>
      <c r="H574" s="27" t="n"/>
    </row>
    <row r="575">
      <c r="F575" s="27" t="n"/>
      <c r="G575" s="27" t="n"/>
      <c r="H575" s="27" t="n"/>
    </row>
    <row r="576">
      <c r="F576" s="27" t="n"/>
      <c r="G576" s="27" t="n"/>
      <c r="H576" s="27" t="n"/>
    </row>
    <row r="577">
      <c r="F577" s="27" t="n"/>
      <c r="G577" s="27" t="n"/>
      <c r="H577" s="27" t="n"/>
    </row>
    <row r="578">
      <c r="F578" s="27" t="n"/>
      <c r="G578" s="27" t="n"/>
      <c r="H578" s="27" t="n"/>
    </row>
    <row r="579">
      <c r="F579" s="27" t="n"/>
      <c r="G579" s="27" t="n"/>
      <c r="H579" s="27" t="n"/>
    </row>
    <row r="580">
      <c r="F580" s="27" t="n"/>
      <c r="G580" s="27" t="n"/>
      <c r="H580" s="27" t="n"/>
    </row>
    <row r="581">
      <c r="F581" s="27" t="n"/>
      <c r="G581" s="27" t="n"/>
      <c r="H581" s="27" t="n"/>
    </row>
    <row r="582">
      <c r="F582" s="27" t="n"/>
      <c r="G582" s="27" t="n"/>
      <c r="H582" s="27" t="n"/>
    </row>
    <row r="583">
      <c r="F583" s="27" t="n"/>
      <c r="G583" s="27" t="n"/>
      <c r="H583" s="27" t="n"/>
    </row>
    <row r="584">
      <c r="F584" s="27" t="n"/>
      <c r="G584" s="27" t="n"/>
      <c r="H584" s="27" t="n"/>
    </row>
    <row r="585">
      <c r="F585" s="27" t="n"/>
      <c r="G585" s="27" t="n"/>
      <c r="H585" s="27" t="n"/>
    </row>
    <row r="586">
      <c r="F586" s="27" t="n"/>
      <c r="G586" s="27" t="n"/>
      <c r="H586" s="27" t="n"/>
    </row>
    <row r="587">
      <c r="F587" s="27" t="n"/>
      <c r="G587" s="27" t="n"/>
      <c r="H587" s="27" t="n"/>
    </row>
    <row r="588">
      <c r="F588" s="27" t="n"/>
      <c r="G588" s="27" t="n"/>
      <c r="H588" s="27" t="n"/>
    </row>
    <row r="589">
      <c r="F589" s="27" t="n"/>
      <c r="G589" s="27" t="n"/>
      <c r="H589" s="27" t="n"/>
    </row>
    <row r="590">
      <c r="F590" s="27" t="n"/>
      <c r="G590" s="27" t="n"/>
      <c r="H590" s="27" t="n"/>
    </row>
    <row r="591">
      <c r="F591" s="27" t="n"/>
      <c r="G591" s="27" t="n"/>
      <c r="H591" s="27" t="n"/>
    </row>
    <row r="592">
      <c r="F592" s="27" t="n"/>
      <c r="G592" s="27" t="n"/>
      <c r="H592" s="27" t="n"/>
    </row>
    <row r="593">
      <c r="F593" s="27" t="n"/>
      <c r="G593" s="27" t="n"/>
      <c r="H593" s="27" t="n"/>
    </row>
    <row r="594">
      <c r="F594" s="27" t="n"/>
      <c r="G594" s="27" t="n"/>
      <c r="H594" s="27" t="n"/>
    </row>
    <row r="595">
      <c r="F595" s="27" t="n"/>
      <c r="G595" s="27" t="n"/>
      <c r="H595" s="27" t="n"/>
    </row>
    <row r="596">
      <c r="F596" s="27" t="n"/>
      <c r="G596" s="27" t="n"/>
      <c r="H596" s="27" t="n"/>
    </row>
    <row r="597">
      <c r="F597" s="27" t="n"/>
      <c r="G597" s="27" t="n"/>
      <c r="H597" s="27" t="n"/>
    </row>
    <row r="598">
      <c r="F598" s="27" t="n"/>
      <c r="G598" s="27" t="n"/>
      <c r="H598" s="27" t="n"/>
    </row>
    <row r="599">
      <c r="F599" s="27" t="n"/>
      <c r="G599" s="27" t="n"/>
      <c r="H599" s="27" t="n"/>
    </row>
    <row r="600">
      <c r="F600" s="27" t="n"/>
      <c r="G600" s="27" t="n"/>
      <c r="H600" s="27" t="n"/>
    </row>
    <row r="601">
      <c r="F601" s="27" t="n"/>
      <c r="G601" s="27" t="n"/>
      <c r="H601" s="27" t="n"/>
    </row>
    <row r="602">
      <c r="F602" s="27" t="n"/>
      <c r="G602" s="27" t="n"/>
      <c r="H602" s="27" t="n"/>
    </row>
    <row r="603">
      <c r="F603" s="27" t="n"/>
      <c r="G603" s="27" t="n"/>
      <c r="H603" s="27" t="n"/>
    </row>
    <row r="604">
      <c r="F604" s="27" t="n"/>
      <c r="G604" s="27" t="n"/>
      <c r="H604" s="27" t="n"/>
    </row>
    <row r="605">
      <c r="F605" s="27" t="n"/>
      <c r="G605" s="27" t="n"/>
      <c r="H605" s="27" t="n"/>
    </row>
    <row r="606">
      <c r="F606" s="27" t="n"/>
      <c r="G606" s="27" t="n"/>
      <c r="H606" s="27" t="n"/>
    </row>
    <row r="607">
      <c r="F607" s="27" t="n"/>
      <c r="G607" s="27" t="n"/>
      <c r="H607" s="27" t="n"/>
    </row>
    <row r="608">
      <c r="F608" s="27" t="n"/>
      <c r="G608" s="27" t="n"/>
      <c r="H608" s="27" t="n"/>
    </row>
    <row r="609">
      <c r="F609" s="27" t="n"/>
      <c r="G609" s="27" t="n"/>
      <c r="H609" s="27" t="n"/>
    </row>
    <row r="610">
      <c r="F610" s="27" t="n"/>
      <c r="G610" s="27" t="n"/>
      <c r="H610" s="27" t="n"/>
    </row>
    <row r="611">
      <c r="F611" s="27" t="n"/>
      <c r="G611" s="27" t="n"/>
      <c r="H611" s="27" t="n"/>
    </row>
    <row r="612">
      <c r="F612" s="27" t="n"/>
      <c r="G612" s="27" t="n"/>
      <c r="H612" s="27" t="n"/>
    </row>
    <row r="613">
      <c r="F613" s="27" t="n"/>
      <c r="G613" s="27" t="n"/>
      <c r="H613" s="27" t="n"/>
    </row>
    <row r="614">
      <c r="F614" s="27" t="n"/>
      <c r="G614" s="27" t="n"/>
      <c r="H614" s="27" t="n"/>
    </row>
    <row r="615">
      <c r="F615" s="27" t="n"/>
      <c r="G615" s="27" t="n"/>
      <c r="H615" s="27" t="n"/>
    </row>
    <row r="616">
      <c r="F616" s="27" t="n"/>
      <c r="G616" s="27" t="n"/>
      <c r="H616" s="27" t="n"/>
    </row>
    <row r="617">
      <c r="F617" s="27" t="n"/>
      <c r="G617" s="27" t="n"/>
      <c r="H617" s="27" t="n"/>
    </row>
    <row r="618">
      <c r="F618" s="27" t="n"/>
      <c r="G618" s="27" t="n"/>
      <c r="H618" s="27" t="n"/>
    </row>
    <row r="619">
      <c r="F619" s="27" t="n"/>
      <c r="G619" s="27" t="n"/>
      <c r="H619" s="27" t="n"/>
    </row>
    <row r="620">
      <c r="F620" s="27" t="n"/>
      <c r="G620" s="27" t="n"/>
      <c r="H620" s="27" t="n"/>
    </row>
    <row r="621">
      <c r="F621" s="27" t="n"/>
      <c r="G621" s="27" t="n"/>
      <c r="H621" s="27" t="n"/>
    </row>
    <row r="622">
      <c r="F622" s="27" t="n"/>
      <c r="G622" s="27" t="n"/>
      <c r="H622" s="27" t="n"/>
    </row>
    <row r="623">
      <c r="F623" s="27" t="n"/>
      <c r="G623" s="27" t="n"/>
      <c r="H623" s="27" t="n"/>
    </row>
    <row r="624">
      <c r="F624" s="27" t="n"/>
      <c r="G624" s="27" t="n"/>
      <c r="H624" s="27" t="n"/>
    </row>
    <row r="625">
      <c r="F625" s="27" t="n"/>
      <c r="G625" s="27" t="n"/>
      <c r="H625" s="27" t="n"/>
    </row>
    <row r="626">
      <c r="F626" s="27" t="n"/>
      <c r="G626" s="27" t="n"/>
      <c r="H626" s="27" t="n"/>
    </row>
    <row r="627">
      <c r="F627" s="27" t="n"/>
      <c r="G627" s="27" t="n"/>
      <c r="H627" s="27" t="n"/>
    </row>
    <row r="628">
      <c r="F628" s="27" t="n"/>
      <c r="G628" s="27" t="n"/>
      <c r="H628" s="27" t="n"/>
    </row>
    <row r="629">
      <c r="F629" s="27" t="n"/>
      <c r="G629" s="27" t="n"/>
      <c r="H629" s="27" t="n"/>
    </row>
    <row r="630">
      <c r="F630" s="27" t="n"/>
      <c r="G630" s="27" t="n"/>
      <c r="H630" s="27" t="n"/>
    </row>
    <row r="631">
      <c r="F631" s="27" t="n"/>
      <c r="G631" s="27" t="n"/>
      <c r="H631" s="27" t="n"/>
    </row>
    <row r="632">
      <c r="F632" s="27" t="n"/>
      <c r="G632" s="27" t="n"/>
      <c r="H632" s="27" t="n"/>
    </row>
    <row r="633">
      <c r="F633" s="27" t="n"/>
      <c r="G633" s="27" t="n"/>
      <c r="H633" s="27" t="n"/>
    </row>
    <row r="634">
      <c r="F634" s="27" t="n"/>
      <c r="G634" s="27" t="n"/>
      <c r="H634" s="27" t="n"/>
    </row>
    <row r="635">
      <c r="F635" s="27" t="n"/>
      <c r="G635" s="27" t="n"/>
      <c r="H635" s="27" t="n"/>
    </row>
    <row r="636">
      <c r="F636" s="27" t="n"/>
      <c r="G636" s="27" t="n"/>
      <c r="H636" s="27" t="n"/>
    </row>
    <row r="637">
      <c r="F637" s="27" t="n"/>
      <c r="G637" s="27" t="n"/>
      <c r="H637" s="27" t="n"/>
    </row>
    <row r="638">
      <c r="F638" s="27" t="n"/>
      <c r="G638" s="27" t="n"/>
      <c r="H638" s="27" t="n"/>
    </row>
    <row r="639">
      <c r="F639" s="27" t="n"/>
      <c r="G639" s="27" t="n"/>
      <c r="H639" s="27" t="n"/>
    </row>
    <row r="640">
      <c r="F640" s="27" t="n"/>
      <c r="G640" s="27" t="n"/>
      <c r="H640" s="27" t="n"/>
    </row>
    <row r="641">
      <c r="F641" s="27" t="n"/>
      <c r="G641" s="27" t="n"/>
      <c r="H641" s="27" t="n"/>
    </row>
    <row r="642">
      <c r="F642" s="27" t="n"/>
      <c r="G642" s="27" t="n"/>
      <c r="H642" s="27" t="n"/>
    </row>
    <row r="643">
      <c r="F643" s="27" t="n"/>
      <c r="G643" s="27" t="n"/>
      <c r="H643" s="27" t="n"/>
    </row>
    <row r="644">
      <c r="F644" s="27" t="n"/>
      <c r="G644" s="27" t="n"/>
      <c r="H644" s="27" t="n"/>
    </row>
    <row r="645">
      <c r="F645" s="27" t="n"/>
      <c r="G645" s="27" t="n"/>
      <c r="H645" s="27" t="n"/>
    </row>
    <row r="646">
      <c r="F646" s="27" t="n"/>
      <c r="G646" s="27" t="n"/>
      <c r="H646" s="27" t="n"/>
    </row>
    <row r="647">
      <c r="F647" s="27" t="n"/>
      <c r="G647" s="27" t="n"/>
      <c r="H647" s="27" t="n"/>
    </row>
    <row r="648">
      <c r="F648" s="27" t="n"/>
      <c r="G648" s="27" t="n"/>
      <c r="H648" s="27" t="n"/>
    </row>
    <row r="649">
      <c r="F649" s="27" t="n"/>
      <c r="G649" s="27" t="n"/>
      <c r="H649" s="27" t="n"/>
    </row>
    <row r="650">
      <c r="F650" s="27" t="n"/>
      <c r="G650" s="27" t="n"/>
      <c r="H650" s="27" t="n"/>
    </row>
    <row r="651">
      <c r="F651" s="27" t="n"/>
      <c r="G651" s="27" t="n"/>
      <c r="H651" s="27" t="n"/>
    </row>
    <row r="652">
      <c r="F652" s="27" t="n"/>
      <c r="G652" s="27" t="n"/>
      <c r="H652" s="27" t="n"/>
    </row>
    <row r="653">
      <c r="F653" s="27" t="n"/>
      <c r="G653" s="27" t="n"/>
      <c r="H653" s="27" t="n"/>
    </row>
    <row r="654">
      <c r="F654" s="27" t="n"/>
      <c r="G654" s="27" t="n"/>
      <c r="H654" s="27" t="n"/>
    </row>
    <row r="655">
      <c r="F655" s="27" t="n"/>
      <c r="G655" s="27" t="n"/>
      <c r="H655" s="27" t="n"/>
    </row>
    <row r="656">
      <c r="F656" s="27" t="n"/>
      <c r="G656" s="27" t="n"/>
      <c r="H656" s="27" t="n"/>
    </row>
    <row r="657">
      <c r="F657" s="27" t="n"/>
      <c r="G657" s="27" t="n"/>
      <c r="H657" s="27" t="n"/>
    </row>
    <row r="658">
      <c r="F658" s="27" t="n"/>
      <c r="G658" s="27" t="n"/>
      <c r="H658" s="27" t="n"/>
    </row>
    <row r="659">
      <c r="F659" s="27" t="n"/>
      <c r="G659" s="27" t="n"/>
      <c r="H659" s="27" t="n"/>
    </row>
    <row r="660">
      <c r="F660" s="27" t="n"/>
      <c r="G660" s="27" t="n"/>
      <c r="H660" s="27" t="n"/>
    </row>
    <row r="661">
      <c r="F661" s="27" t="n"/>
      <c r="G661" s="27" t="n"/>
      <c r="H661" s="27" t="n"/>
    </row>
    <row r="662">
      <c r="F662" s="27" t="n"/>
      <c r="G662" s="27" t="n"/>
      <c r="H662" s="27" t="n"/>
    </row>
    <row r="663">
      <c r="F663" s="27" t="n"/>
      <c r="G663" s="27" t="n"/>
      <c r="H663" s="27" t="n"/>
    </row>
    <row r="664">
      <c r="F664" s="27" t="n"/>
      <c r="G664" s="27" t="n"/>
      <c r="H664" s="27" t="n"/>
    </row>
    <row r="665">
      <c r="F665" s="27" t="n"/>
      <c r="G665" s="27" t="n"/>
      <c r="H665" s="27" t="n"/>
    </row>
    <row r="666">
      <c r="F666" s="27" t="n"/>
      <c r="G666" s="27" t="n"/>
      <c r="H666" s="27" t="n"/>
    </row>
    <row r="667">
      <c r="F667" s="27" t="n"/>
      <c r="G667" s="27" t="n"/>
      <c r="H667" s="27" t="n"/>
    </row>
    <row r="668">
      <c r="F668" s="27" t="n"/>
      <c r="G668" s="27" t="n"/>
      <c r="H668" s="27" t="n"/>
    </row>
    <row r="669">
      <c r="F669" s="27" t="n"/>
      <c r="G669" s="27" t="n"/>
      <c r="H669" s="27" t="n"/>
    </row>
    <row r="670">
      <c r="F670" s="27" t="n"/>
      <c r="G670" s="27" t="n"/>
      <c r="H670" s="27" t="n"/>
    </row>
    <row r="671">
      <c r="F671" s="27" t="n"/>
      <c r="G671" s="27" t="n"/>
      <c r="H671" s="27" t="n"/>
    </row>
    <row r="672">
      <c r="F672" s="27" t="n"/>
      <c r="G672" s="27" t="n"/>
      <c r="H672" s="27" t="n"/>
    </row>
    <row r="673">
      <c r="F673" s="27" t="n"/>
      <c r="G673" s="27" t="n"/>
      <c r="H673" s="27" t="n"/>
    </row>
    <row r="674">
      <c r="F674" s="27" t="n"/>
      <c r="G674" s="27" t="n"/>
      <c r="H674" s="27" t="n"/>
    </row>
    <row r="675">
      <c r="F675" s="27" t="n"/>
      <c r="G675" s="27" t="n"/>
      <c r="H675" s="27" t="n"/>
    </row>
    <row r="676">
      <c r="F676" s="27" t="n"/>
      <c r="G676" s="27" t="n"/>
      <c r="H676" s="27" t="n"/>
    </row>
    <row r="677">
      <c r="F677" s="27" t="n"/>
      <c r="G677" s="27" t="n"/>
      <c r="H677" s="27" t="n"/>
    </row>
    <row r="678">
      <c r="F678" s="27" t="n"/>
      <c r="G678" s="27" t="n"/>
      <c r="H678" s="27" t="n"/>
    </row>
    <row r="679">
      <c r="F679" s="27" t="n"/>
      <c r="G679" s="27" t="n"/>
      <c r="H679" s="27" t="n"/>
    </row>
    <row r="680">
      <c r="F680" s="27" t="n"/>
      <c r="G680" s="27" t="n"/>
      <c r="H680" s="27" t="n"/>
    </row>
    <row r="681">
      <c r="F681" s="27" t="n"/>
      <c r="G681" s="27" t="n"/>
      <c r="H681" s="27" t="n"/>
    </row>
    <row r="682">
      <c r="F682" s="27" t="n"/>
      <c r="G682" s="27" t="n"/>
      <c r="H682" s="27" t="n"/>
    </row>
    <row r="683">
      <c r="F683" s="27" t="n"/>
      <c r="G683" s="27" t="n"/>
      <c r="H683" s="27" t="n"/>
    </row>
    <row r="684">
      <c r="F684" s="27" t="n"/>
      <c r="G684" s="27" t="n"/>
      <c r="H684" s="27" t="n"/>
    </row>
    <row r="685">
      <c r="F685" s="27" t="n"/>
      <c r="G685" s="27" t="n"/>
      <c r="H685" s="27" t="n"/>
    </row>
    <row r="686">
      <c r="F686" s="27" t="n"/>
      <c r="G686" s="27" t="n"/>
      <c r="H686" s="27" t="n"/>
    </row>
    <row r="687">
      <c r="F687" s="27" t="n"/>
      <c r="G687" s="27" t="n"/>
      <c r="H687" s="27" t="n"/>
    </row>
    <row r="688">
      <c r="F688" s="27" t="n"/>
      <c r="G688" s="27" t="n"/>
      <c r="H688" s="27" t="n"/>
    </row>
    <row r="689">
      <c r="F689" s="27" t="n"/>
      <c r="G689" s="27" t="n"/>
      <c r="H689" s="27" t="n"/>
    </row>
    <row r="690">
      <c r="F690" s="27" t="n"/>
      <c r="G690" s="27" t="n"/>
      <c r="H690" s="27" t="n"/>
    </row>
    <row r="691">
      <c r="F691" s="27" t="n"/>
      <c r="G691" s="27" t="n"/>
      <c r="H691" s="27" t="n"/>
    </row>
    <row r="692">
      <c r="F692" s="27" t="n"/>
      <c r="G692" s="27" t="n"/>
      <c r="H692" s="27" t="n"/>
    </row>
    <row r="693">
      <c r="F693" s="27" t="n"/>
      <c r="G693" s="27" t="n"/>
      <c r="H693" s="27" t="n"/>
    </row>
    <row r="694">
      <c r="F694" s="27" t="n"/>
      <c r="G694" s="27" t="n"/>
      <c r="H694" s="27" t="n"/>
    </row>
    <row r="695">
      <c r="F695" s="27" t="n"/>
      <c r="G695" s="27" t="n"/>
      <c r="H695" s="27" t="n"/>
    </row>
    <row r="696">
      <c r="F696" s="27" t="n"/>
      <c r="G696" s="27" t="n"/>
      <c r="H696" s="27" t="n"/>
    </row>
    <row r="697">
      <c r="F697" s="27" t="n"/>
      <c r="G697" s="27" t="n"/>
      <c r="H697" s="27" t="n"/>
    </row>
    <row r="698">
      <c r="F698" s="27" t="n"/>
      <c r="G698" s="27" t="n"/>
      <c r="H698" s="27" t="n"/>
    </row>
    <row r="699">
      <c r="F699" s="27" t="n"/>
      <c r="G699" s="27" t="n"/>
      <c r="H699" s="27" t="n"/>
    </row>
    <row r="700">
      <c r="F700" s="27" t="n"/>
      <c r="G700" s="27" t="n"/>
      <c r="H700" s="27" t="n"/>
    </row>
  </sheetData>
  <mergeCells count="1">
    <mergeCell ref="A1:J1"/>
  </mergeCells>
  <conditionalFormatting sqref="K5:BJ120">
    <cfRule type="expression" priority="1" dxfId="0">
      <formula>AND($F5&lt;&gt;"",K$4&gt;=$F5,K$4&lt;=$G5)</formula>
    </cfRule>
    <cfRule type="expression" priority="2" dxfId="1">
      <formula>AND($J5&gt;0,K$4&gt;$G5,K$4&lt;=TODAY())</formula>
    </cfRule>
  </conditionalFormatting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1" t="inlineStr">
        <is>
          <t>Project Master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Risk</t>
        </is>
      </c>
      <c r="I2" s="3" t="inlineStr">
        <is>
          <t>All</t>
        </is>
      </c>
      <c r="J2" s="18" t="inlineStr">
        <is>
          <t>PM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Project ID</t>
        </is>
      </c>
      <c r="B4" s="10" t="inlineStr">
        <is>
          <t>Project Name</t>
        </is>
      </c>
      <c r="C4" s="10" t="inlineStr">
        <is>
          <t>Client / Bank Name</t>
        </is>
      </c>
      <c r="D4" s="10" t="inlineStr">
        <is>
          <t>Project Manager</t>
        </is>
      </c>
      <c r="E4" s="10" t="inlineStr">
        <is>
          <t>Start Date</t>
        </is>
      </c>
      <c r="F4" s="10" t="inlineStr">
        <is>
          <t>Planned End Date</t>
        </is>
      </c>
      <c r="G4" s="10" t="inlineStr">
        <is>
          <t>Revised End Date</t>
        </is>
      </c>
      <c r="H4" s="10" t="inlineStr">
        <is>
          <t>Actual End Date</t>
        </is>
      </c>
      <c r="I4" s="10" t="inlineStr">
        <is>
          <t>Project Status</t>
        </is>
      </c>
      <c r="J4" s="10" t="inlineStr">
        <is>
          <t>Priority</t>
        </is>
      </c>
      <c r="K4" s="10" t="inlineStr">
        <is>
          <t>Completion %</t>
        </is>
      </c>
      <c r="L4" s="10" t="inlineStr">
        <is>
          <t>Current Phase</t>
        </is>
      </c>
      <c r="M4" s="10" t="inlineStr">
        <is>
          <t>Risk Level</t>
        </is>
      </c>
      <c r="N4" s="10" t="inlineStr">
        <is>
          <t>Remarks</t>
        </is>
      </c>
    </row>
    <row r="5">
      <c r="A5" s="15">
        <f>IFERROR(FILTER('Data - Project Master'!A2:N350,('Data - Project Master'!$A$2:$A$350&lt;&gt;"")*(IF(C2="All",TRUE,'Data - Project Master'!$A$2:$A$350=C2))*(IF(E2="All",TRUE,'Data - Project Master'!$I$2:$I$350=E2))*(IF(G2="All",TRUE,'Data - Project Master'!$J$2:$J$350=G2))*(IF(I2="All",TRUE,'Data - Project Master'!$M$2:$M$350=I2))*(IF(K2="All",TRUE,'Data - Project Master'!$D$2:$D$350=K2))),"No matching records")</f>
        <v/>
      </c>
      <c r="B5" s="15" t="n"/>
      <c r="C5" s="15" t="n"/>
      <c r="D5" s="15" t="n"/>
      <c r="E5" s="16" t="n"/>
      <c r="F5" s="16" t="n"/>
      <c r="G5" s="16" t="n"/>
      <c r="H5" s="16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6" t="n"/>
      <c r="F6" s="16" t="n"/>
      <c r="G6" s="16" t="n"/>
      <c r="H6" s="16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6" t="n"/>
      <c r="F7" s="16" t="n"/>
      <c r="G7" s="16" t="n"/>
      <c r="H7" s="16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6" t="n"/>
      <c r="F8" s="16" t="n"/>
      <c r="G8" s="16" t="n"/>
      <c r="H8" s="16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6" t="n"/>
      <c r="F9" s="16" t="n"/>
      <c r="G9" s="16" t="n"/>
      <c r="H9" s="16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6" t="n"/>
      <c r="F10" s="16" t="n"/>
      <c r="G10" s="16" t="n"/>
      <c r="H10" s="16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6" t="n"/>
      <c r="F11" s="16" t="n"/>
      <c r="G11" s="16" t="n"/>
      <c r="H11" s="16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6" t="n"/>
      <c r="F12" s="16" t="n"/>
      <c r="G12" s="16" t="n"/>
      <c r="H12" s="16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6" t="n"/>
      <c r="F13" s="16" t="n"/>
      <c r="G13" s="16" t="n"/>
      <c r="H13" s="16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6" t="n"/>
      <c r="F14" s="16" t="n"/>
      <c r="G14" s="16" t="n"/>
      <c r="H14" s="16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6" t="n"/>
      <c r="F15" s="16" t="n"/>
      <c r="G15" s="16" t="n"/>
      <c r="H15" s="16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6" t="n"/>
      <c r="F16" s="16" t="n"/>
      <c r="G16" s="16" t="n"/>
      <c r="H16" s="16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6" t="n"/>
      <c r="F17" s="16" t="n"/>
      <c r="G17" s="16" t="n"/>
      <c r="H17" s="16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6" t="n"/>
      <c r="F18" s="16" t="n"/>
      <c r="G18" s="16" t="n"/>
      <c r="H18" s="16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6" t="n"/>
      <c r="F19" s="16" t="n"/>
      <c r="G19" s="16" t="n"/>
      <c r="H19" s="16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6" t="n"/>
      <c r="F20" s="16" t="n"/>
      <c r="G20" s="16" t="n"/>
      <c r="H20" s="16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6" t="n"/>
      <c r="F21" s="16" t="n"/>
      <c r="G21" s="16" t="n"/>
      <c r="H21" s="16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6" t="n"/>
      <c r="F22" s="16" t="n"/>
      <c r="G22" s="16" t="n"/>
      <c r="H22" s="16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6" t="n"/>
      <c r="F23" s="16" t="n"/>
      <c r="G23" s="16" t="n"/>
      <c r="H23" s="16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6" t="n"/>
      <c r="F24" s="16" t="n"/>
      <c r="G24" s="16" t="n"/>
      <c r="H24" s="16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6" t="n"/>
      <c r="F25" s="16" t="n"/>
      <c r="G25" s="16" t="n"/>
      <c r="H25" s="16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6" t="n"/>
      <c r="F26" s="16" t="n"/>
      <c r="G26" s="16" t="n"/>
      <c r="H26" s="16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6" t="n"/>
      <c r="F27" s="16" t="n"/>
      <c r="G27" s="16" t="n"/>
      <c r="H27" s="16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6" t="n"/>
      <c r="F28" s="16" t="n"/>
      <c r="G28" s="16" t="n"/>
      <c r="H28" s="16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6" t="n"/>
      <c r="F29" s="16" t="n"/>
      <c r="G29" s="16" t="n"/>
      <c r="H29" s="16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6" t="n"/>
      <c r="F30" s="16" t="n"/>
      <c r="G30" s="16" t="n"/>
      <c r="H30" s="16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6" t="n"/>
      <c r="F31" s="16" t="n"/>
      <c r="G31" s="16" t="n"/>
      <c r="H31" s="16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6" t="n"/>
      <c r="F32" s="16" t="n"/>
      <c r="G32" s="16" t="n"/>
      <c r="H32" s="16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6" t="n"/>
      <c r="F33" s="16" t="n"/>
      <c r="G33" s="16" t="n"/>
      <c r="H33" s="16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6" t="n"/>
      <c r="F34" s="16" t="n"/>
      <c r="G34" s="16" t="n"/>
      <c r="H34" s="16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6" t="n"/>
      <c r="F35" s="16" t="n"/>
      <c r="G35" s="16" t="n"/>
      <c r="H35" s="16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6" t="n"/>
      <c r="F36" s="16" t="n"/>
      <c r="G36" s="16" t="n"/>
      <c r="H36" s="16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6" t="n"/>
      <c r="F37" s="16" t="n"/>
      <c r="G37" s="16" t="n"/>
      <c r="H37" s="16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6" t="n"/>
      <c r="F38" s="16" t="n"/>
      <c r="G38" s="16" t="n"/>
      <c r="H38" s="16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6" t="n"/>
      <c r="F39" s="16" t="n"/>
      <c r="G39" s="16" t="n"/>
      <c r="H39" s="16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6" t="n"/>
      <c r="F40" s="16" t="n"/>
      <c r="G40" s="16" t="n"/>
      <c r="H40" s="16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6" t="n"/>
      <c r="F41" s="16" t="n"/>
      <c r="G41" s="16" t="n"/>
      <c r="H41" s="16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6" t="n"/>
      <c r="F42" s="16" t="n"/>
      <c r="G42" s="16" t="n"/>
      <c r="H42" s="16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6" t="n"/>
      <c r="F43" s="16" t="n"/>
      <c r="G43" s="16" t="n"/>
      <c r="H43" s="16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6" t="n"/>
      <c r="F44" s="16" t="n"/>
      <c r="G44" s="16" t="n"/>
      <c r="H44" s="16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6" t="n"/>
      <c r="F45" s="16" t="n"/>
      <c r="G45" s="16" t="n"/>
      <c r="H45" s="16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6" t="n"/>
      <c r="F46" s="16" t="n"/>
      <c r="G46" s="16" t="n"/>
      <c r="H46" s="16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6" t="n"/>
      <c r="F47" s="16" t="n"/>
      <c r="G47" s="16" t="n"/>
      <c r="H47" s="16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6" t="n"/>
      <c r="F48" s="16" t="n"/>
      <c r="G48" s="16" t="n"/>
      <c r="H48" s="16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6" t="n"/>
      <c r="F49" s="16" t="n"/>
      <c r="G49" s="16" t="n"/>
      <c r="H49" s="16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6" t="n"/>
      <c r="F50" s="16" t="n"/>
      <c r="G50" s="16" t="n"/>
      <c r="H50" s="16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6" t="n"/>
      <c r="F51" s="16" t="n"/>
      <c r="G51" s="16" t="n"/>
      <c r="H51" s="16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6" t="n"/>
      <c r="F52" s="16" t="n"/>
      <c r="G52" s="16" t="n"/>
      <c r="H52" s="16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6" t="n"/>
      <c r="F53" s="16" t="n"/>
      <c r="G53" s="16" t="n"/>
      <c r="H53" s="16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6" t="n"/>
      <c r="F54" s="16" t="n"/>
      <c r="G54" s="16" t="n"/>
      <c r="H54" s="16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6" t="n"/>
      <c r="F55" s="16" t="n"/>
      <c r="G55" s="16" t="n"/>
      <c r="H55" s="16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6" t="n"/>
      <c r="F56" s="16" t="n"/>
      <c r="G56" s="16" t="n"/>
      <c r="H56" s="16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6" t="n"/>
      <c r="F57" s="16" t="n"/>
      <c r="G57" s="16" t="n"/>
      <c r="H57" s="16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6" t="n"/>
      <c r="F58" s="16" t="n"/>
      <c r="G58" s="16" t="n"/>
      <c r="H58" s="16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6" t="n"/>
      <c r="F59" s="16" t="n"/>
      <c r="G59" s="16" t="n"/>
      <c r="H59" s="16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6" t="n"/>
      <c r="F60" s="16" t="n"/>
      <c r="G60" s="16" t="n"/>
      <c r="H60" s="16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6" t="n"/>
      <c r="F61" s="16" t="n"/>
      <c r="G61" s="16" t="n"/>
      <c r="H61" s="16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6" t="n"/>
      <c r="F62" s="16" t="n"/>
      <c r="G62" s="16" t="n"/>
      <c r="H62" s="16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6" t="n"/>
      <c r="F63" s="16" t="n"/>
      <c r="G63" s="16" t="n"/>
      <c r="H63" s="16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6" t="n"/>
      <c r="F64" s="16" t="n"/>
      <c r="G64" s="16" t="n"/>
      <c r="H64" s="16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6" t="n"/>
      <c r="F65" s="16" t="n"/>
      <c r="G65" s="16" t="n"/>
      <c r="H65" s="16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6" t="n"/>
      <c r="F66" s="16" t="n"/>
      <c r="G66" s="16" t="n"/>
      <c r="H66" s="16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6" t="n"/>
      <c r="F67" s="16" t="n"/>
      <c r="G67" s="16" t="n"/>
      <c r="H67" s="16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6" t="n"/>
      <c r="F68" s="16" t="n"/>
      <c r="G68" s="16" t="n"/>
      <c r="H68" s="16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6" t="n"/>
      <c r="F69" s="16" t="n"/>
      <c r="G69" s="16" t="n"/>
      <c r="H69" s="16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6" t="n"/>
      <c r="F70" s="16" t="n"/>
      <c r="G70" s="16" t="n"/>
      <c r="H70" s="16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6" t="n"/>
      <c r="F71" s="16" t="n"/>
      <c r="G71" s="16" t="n"/>
      <c r="H71" s="16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6" t="n"/>
      <c r="F72" s="16" t="n"/>
      <c r="G72" s="16" t="n"/>
      <c r="H72" s="16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6" t="n"/>
      <c r="F73" s="16" t="n"/>
      <c r="G73" s="16" t="n"/>
      <c r="H73" s="16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6" t="n"/>
      <c r="F74" s="16" t="n"/>
      <c r="G74" s="16" t="n"/>
      <c r="H74" s="16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6" t="n"/>
      <c r="F75" s="16" t="n"/>
      <c r="G75" s="16" t="n"/>
      <c r="H75" s="16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6" t="n"/>
      <c r="F76" s="16" t="n"/>
      <c r="G76" s="16" t="n"/>
      <c r="H76" s="16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6" t="n"/>
      <c r="F77" s="16" t="n"/>
      <c r="G77" s="16" t="n"/>
      <c r="H77" s="16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6" t="n"/>
      <c r="F78" s="16" t="n"/>
      <c r="G78" s="16" t="n"/>
      <c r="H78" s="16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6" t="n"/>
      <c r="F79" s="16" t="n"/>
      <c r="G79" s="16" t="n"/>
      <c r="H79" s="16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6" t="n"/>
      <c r="F80" s="16" t="n"/>
      <c r="G80" s="16" t="n"/>
      <c r="H80" s="16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6" t="n"/>
      <c r="F81" s="16" t="n"/>
      <c r="G81" s="16" t="n"/>
      <c r="H81" s="16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6" t="n"/>
      <c r="F82" s="16" t="n"/>
      <c r="G82" s="16" t="n"/>
      <c r="H82" s="16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6" t="n"/>
      <c r="F83" s="16" t="n"/>
      <c r="G83" s="16" t="n"/>
      <c r="H83" s="16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6" t="n"/>
      <c r="F84" s="16" t="n"/>
      <c r="G84" s="16" t="n"/>
      <c r="H84" s="16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6" t="n"/>
      <c r="F85" s="16" t="n"/>
      <c r="G85" s="16" t="n"/>
      <c r="H85" s="16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6" t="n"/>
      <c r="F86" s="16" t="n"/>
      <c r="G86" s="16" t="n"/>
      <c r="H86" s="16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6" t="n"/>
      <c r="F87" s="16" t="n"/>
      <c r="G87" s="16" t="n"/>
      <c r="H87" s="16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6" t="n"/>
      <c r="F88" s="16" t="n"/>
      <c r="G88" s="16" t="n"/>
      <c r="H88" s="16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6" t="n"/>
      <c r="F89" s="16" t="n"/>
      <c r="G89" s="16" t="n"/>
      <c r="H89" s="16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6" t="n"/>
      <c r="F90" s="16" t="n"/>
      <c r="G90" s="16" t="n"/>
      <c r="H90" s="16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6" t="n"/>
      <c r="F91" s="16" t="n"/>
      <c r="G91" s="16" t="n"/>
      <c r="H91" s="16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6" t="n"/>
      <c r="F92" s="16" t="n"/>
      <c r="G92" s="16" t="n"/>
      <c r="H92" s="16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6" t="n"/>
      <c r="F93" s="16" t="n"/>
      <c r="G93" s="16" t="n"/>
      <c r="H93" s="16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6" t="n"/>
      <c r="F94" s="16" t="n"/>
      <c r="G94" s="16" t="n"/>
      <c r="H94" s="16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6" t="n"/>
      <c r="F95" s="16" t="n"/>
      <c r="G95" s="16" t="n"/>
      <c r="H95" s="16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6" t="n"/>
      <c r="F96" s="16" t="n"/>
      <c r="G96" s="16" t="n"/>
      <c r="H96" s="16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6" t="n"/>
      <c r="F97" s="16" t="n"/>
      <c r="G97" s="16" t="n"/>
      <c r="H97" s="16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6" t="n"/>
      <c r="F98" s="16" t="n"/>
      <c r="G98" s="16" t="n"/>
      <c r="H98" s="16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6" t="n"/>
      <c r="F99" s="16" t="n"/>
      <c r="G99" s="16" t="n"/>
      <c r="H99" s="16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6" t="n"/>
      <c r="F100" s="16" t="n"/>
      <c r="G100" s="16" t="n"/>
      <c r="H100" s="16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6" t="n"/>
      <c r="F101" s="16" t="n"/>
      <c r="G101" s="16" t="n"/>
      <c r="H101" s="16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6" t="n"/>
      <c r="F102" s="16" t="n"/>
      <c r="G102" s="16" t="n"/>
      <c r="H102" s="16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6" t="n"/>
      <c r="F103" s="16" t="n"/>
      <c r="G103" s="16" t="n"/>
      <c r="H103" s="16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6" t="n"/>
      <c r="F104" s="16" t="n"/>
      <c r="G104" s="16" t="n"/>
      <c r="H104" s="16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6" t="n"/>
      <c r="F105" s="16" t="n"/>
      <c r="G105" s="16" t="n"/>
      <c r="H105" s="16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6" t="n"/>
      <c r="F106" s="16" t="n"/>
      <c r="G106" s="16" t="n"/>
      <c r="H106" s="16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6" t="n"/>
      <c r="F107" s="16" t="n"/>
      <c r="G107" s="16" t="n"/>
      <c r="H107" s="16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6" t="n"/>
      <c r="F108" s="16" t="n"/>
      <c r="G108" s="16" t="n"/>
      <c r="H108" s="16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6" t="n"/>
      <c r="F109" s="16" t="n"/>
      <c r="G109" s="16" t="n"/>
      <c r="H109" s="16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6" t="n"/>
      <c r="F110" s="16" t="n"/>
      <c r="G110" s="16" t="n"/>
      <c r="H110" s="16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6" t="n"/>
      <c r="F111" s="16" t="n"/>
      <c r="G111" s="16" t="n"/>
      <c r="H111" s="16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6" t="n"/>
      <c r="F112" s="16" t="n"/>
      <c r="G112" s="16" t="n"/>
      <c r="H112" s="16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6" t="n"/>
      <c r="F113" s="16" t="n"/>
      <c r="G113" s="16" t="n"/>
      <c r="H113" s="16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6" t="n"/>
      <c r="F114" s="16" t="n"/>
      <c r="G114" s="16" t="n"/>
      <c r="H114" s="16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6" t="n"/>
      <c r="F115" s="16" t="n"/>
      <c r="G115" s="16" t="n"/>
      <c r="H115" s="16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6" t="n"/>
      <c r="F116" s="16" t="n"/>
      <c r="G116" s="16" t="n"/>
      <c r="H116" s="16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6" t="n"/>
      <c r="F117" s="16" t="n"/>
      <c r="G117" s="16" t="n"/>
      <c r="H117" s="16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6" t="n"/>
      <c r="F118" s="16" t="n"/>
      <c r="G118" s="16" t="n"/>
      <c r="H118" s="16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6" t="n"/>
      <c r="F119" s="16" t="n"/>
      <c r="G119" s="16" t="n"/>
      <c r="H119" s="16" t="n"/>
      <c r="I119" s="15" t="n"/>
      <c r="J119" s="15" t="n"/>
      <c r="K119" s="15" t="n"/>
      <c r="L119" s="15" t="n"/>
      <c r="M119" s="15" t="n"/>
      <c r="N119" s="15" t="n"/>
    </row>
    <row r="120">
      <c r="E120" s="27" t="n"/>
      <c r="F120" s="27" t="n"/>
      <c r="G120" s="27" t="n"/>
      <c r="H120" s="27" t="n"/>
    </row>
    <row r="121">
      <c r="E121" s="27" t="n"/>
      <c r="F121" s="27" t="n"/>
      <c r="G121" s="27" t="n"/>
      <c r="H121" s="27" t="n"/>
    </row>
    <row r="122">
      <c r="E122" s="27" t="n"/>
      <c r="F122" s="27" t="n"/>
      <c r="G122" s="27" t="n"/>
      <c r="H122" s="27" t="n"/>
    </row>
    <row r="123">
      <c r="E123" s="27" t="n"/>
      <c r="F123" s="27" t="n"/>
      <c r="G123" s="27" t="n"/>
      <c r="H123" s="27" t="n"/>
    </row>
    <row r="124">
      <c r="E124" s="27" t="n"/>
      <c r="F124" s="27" t="n"/>
      <c r="G124" s="27" t="n"/>
      <c r="H124" s="27" t="n"/>
    </row>
    <row r="125">
      <c r="E125" s="27" t="n"/>
      <c r="F125" s="27" t="n"/>
      <c r="G125" s="27" t="n"/>
      <c r="H125" s="27" t="n"/>
    </row>
    <row r="126">
      <c r="E126" s="27" t="n"/>
      <c r="F126" s="27" t="n"/>
      <c r="G126" s="27" t="n"/>
      <c r="H126" s="27" t="n"/>
    </row>
    <row r="127">
      <c r="E127" s="27" t="n"/>
      <c r="F127" s="27" t="n"/>
      <c r="G127" s="27" t="n"/>
      <c r="H127" s="27" t="n"/>
    </row>
    <row r="128">
      <c r="E128" s="27" t="n"/>
      <c r="F128" s="27" t="n"/>
      <c r="G128" s="27" t="n"/>
      <c r="H128" s="27" t="n"/>
    </row>
    <row r="129">
      <c r="E129" s="27" t="n"/>
      <c r="F129" s="27" t="n"/>
      <c r="G129" s="27" t="n"/>
      <c r="H129" s="27" t="n"/>
    </row>
    <row r="130">
      <c r="E130" s="27" t="n"/>
      <c r="F130" s="27" t="n"/>
      <c r="G130" s="27" t="n"/>
      <c r="H130" s="27" t="n"/>
    </row>
    <row r="131">
      <c r="E131" s="27" t="n"/>
      <c r="F131" s="27" t="n"/>
      <c r="G131" s="27" t="n"/>
      <c r="H131" s="27" t="n"/>
    </row>
    <row r="132">
      <c r="E132" s="27" t="n"/>
      <c r="F132" s="27" t="n"/>
      <c r="G132" s="27" t="n"/>
      <c r="H132" s="27" t="n"/>
    </row>
    <row r="133">
      <c r="E133" s="27" t="n"/>
      <c r="F133" s="27" t="n"/>
      <c r="G133" s="27" t="n"/>
      <c r="H133" s="27" t="n"/>
    </row>
    <row r="134">
      <c r="E134" s="27" t="n"/>
      <c r="F134" s="27" t="n"/>
      <c r="G134" s="27" t="n"/>
      <c r="H134" s="27" t="n"/>
    </row>
    <row r="135">
      <c r="E135" s="27" t="n"/>
      <c r="F135" s="27" t="n"/>
      <c r="G135" s="27" t="n"/>
      <c r="H135" s="27" t="n"/>
    </row>
    <row r="136">
      <c r="E136" s="27" t="n"/>
      <c r="F136" s="27" t="n"/>
      <c r="G136" s="27" t="n"/>
      <c r="H136" s="27" t="n"/>
    </row>
    <row r="137">
      <c r="E137" s="27" t="n"/>
      <c r="F137" s="27" t="n"/>
      <c r="G137" s="27" t="n"/>
      <c r="H137" s="27" t="n"/>
    </row>
    <row r="138">
      <c r="E138" s="27" t="n"/>
      <c r="F138" s="27" t="n"/>
      <c r="G138" s="27" t="n"/>
      <c r="H138" s="27" t="n"/>
    </row>
    <row r="139">
      <c r="E139" s="27" t="n"/>
      <c r="F139" s="27" t="n"/>
      <c r="G139" s="27" t="n"/>
      <c r="H139" s="27" t="n"/>
    </row>
    <row r="140">
      <c r="E140" s="27" t="n"/>
      <c r="F140" s="27" t="n"/>
      <c r="G140" s="27" t="n"/>
      <c r="H140" s="27" t="n"/>
    </row>
    <row r="141">
      <c r="E141" s="27" t="n"/>
      <c r="F141" s="27" t="n"/>
      <c r="G141" s="27" t="n"/>
      <c r="H141" s="27" t="n"/>
    </row>
    <row r="142">
      <c r="E142" s="27" t="n"/>
      <c r="F142" s="27" t="n"/>
      <c r="G142" s="27" t="n"/>
      <c r="H142" s="27" t="n"/>
    </row>
    <row r="143">
      <c r="E143" s="27" t="n"/>
      <c r="F143" s="27" t="n"/>
      <c r="G143" s="27" t="n"/>
      <c r="H143" s="27" t="n"/>
    </row>
    <row r="144">
      <c r="E144" s="27" t="n"/>
      <c r="F144" s="27" t="n"/>
      <c r="G144" s="27" t="n"/>
      <c r="H144" s="27" t="n"/>
    </row>
    <row r="145">
      <c r="E145" s="27" t="n"/>
      <c r="F145" s="27" t="n"/>
      <c r="G145" s="27" t="n"/>
      <c r="H145" s="27" t="n"/>
    </row>
    <row r="146">
      <c r="E146" s="27" t="n"/>
      <c r="F146" s="27" t="n"/>
      <c r="G146" s="27" t="n"/>
      <c r="H146" s="27" t="n"/>
    </row>
    <row r="147">
      <c r="E147" s="27" t="n"/>
      <c r="F147" s="27" t="n"/>
      <c r="G147" s="27" t="n"/>
      <c r="H147" s="27" t="n"/>
    </row>
    <row r="148">
      <c r="E148" s="27" t="n"/>
      <c r="F148" s="27" t="n"/>
      <c r="G148" s="27" t="n"/>
      <c r="H148" s="27" t="n"/>
    </row>
    <row r="149">
      <c r="E149" s="27" t="n"/>
      <c r="F149" s="27" t="n"/>
      <c r="G149" s="27" t="n"/>
      <c r="H149" s="27" t="n"/>
    </row>
    <row r="150">
      <c r="E150" s="27" t="n"/>
      <c r="F150" s="27" t="n"/>
      <c r="G150" s="27" t="n"/>
      <c r="H150" s="27" t="n"/>
    </row>
    <row r="151">
      <c r="E151" s="27" t="n"/>
      <c r="F151" s="27" t="n"/>
      <c r="G151" s="27" t="n"/>
      <c r="H151" s="27" t="n"/>
    </row>
    <row r="152">
      <c r="E152" s="27" t="n"/>
      <c r="F152" s="27" t="n"/>
      <c r="G152" s="27" t="n"/>
      <c r="H152" s="27" t="n"/>
    </row>
    <row r="153">
      <c r="E153" s="27" t="n"/>
      <c r="F153" s="27" t="n"/>
      <c r="G153" s="27" t="n"/>
      <c r="H153" s="27" t="n"/>
    </row>
    <row r="154">
      <c r="E154" s="27" t="n"/>
      <c r="F154" s="27" t="n"/>
      <c r="G154" s="27" t="n"/>
      <c r="H154" s="27" t="n"/>
    </row>
    <row r="155">
      <c r="E155" s="27" t="n"/>
      <c r="F155" s="27" t="n"/>
      <c r="G155" s="27" t="n"/>
      <c r="H155" s="27" t="n"/>
    </row>
    <row r="156">
      <c r="E156" s="27" t="n"/>
      <c r="F156" s="27" t="n"/>
      <c r="G156" s="27" t="n"/>
      <c r="H156" s="27" t="n"/>
    </row>
    <row r="157">
      <c r="E157" s="27" t="n"/>
      <c r="F157" s="27" t="n"/>
      <c r="G157" s="27" t="n"/>
      <c r="H157" s="27" t="n"/>
    </row>
    <row r="158">
      <c r="E158" s="27" t="n"/>
      <c r="F158" s="27" t="n"/>
      <c r="G158" s="27" t="n"/>
      <c r="H158" s="27" t="n"/>
    </row>
    <row r="159">
      <c r="E159" s="27" t="n"/>
      <c r="F159" s="27" t="n"/>
      <c r="G159" s="27" t="n"/>
      <c r="H159" s="27" t="n"/>
    </row>
    <row r="160">
      <c r="E160" s="27" t="n"/>
      <c r="F160" s="27" t="n"/>
      <c r="G160" s="27" t="n"/>
      <c r="H160" s="27" t="n"/>
    </row>
    <row r="161">
      <c r="E161" s="27" t="n"/>
      <c r="F161" s="27" t="n"/>
      <c r="G161" s="27" t="n"/>
      <c r="H161" s="27" t="n"/>
    </row>
    <row r="162">
      <c r="E162" s="27" t="n"/>
      <c r="F162" s="27" t="n"/>
      <c r="G162" s="27" t="n"/>
      <c r="H162" s="27" t="n"/>
    </row>
    <row r="163">
      <c r="E163" s="27" t="n"/>
      <c r="F163" s="27" t="n"/>
      <c r="G163" s="27" t="n"/>
      <c r="H163" s="27" t="n"/>
    </row>
    <row r="164">
      <c r="E164" s="27" t="n"/>
      <c r="F164" s="27" t="n"/>
      <c r="G164" s="27" t="n"/>
      <c r="H164" s="27" t="n"/>
    </row>
    <row r="165">
      <c r="E165" s="27" t="n"/>
      <c r="F165" s="27" t="n"/>
      <c r="G165" s="27" t="n"/>
      <c r="H165" s="27" t="n"/>
    </row>
    <row r="166">
      <c r="E166" s="27" t="n"/>
      <c r="F166" s="27" t="n"/>
      <c r="G166" s="27" t="n"/>
      <c r="H166" s="27" t="n"/>
    </row>
    <row r="167">
      <c r="E167" s="27" t="n"/>
      <c r="F167" s="27" t="n"/>
      <c r="G167" s="27" t="n"/>
      <c r="H167" s="27" t="n"/>
    </row>
    <row r="168">
      <c r="E168" s="27" t="n"/>
      <c r="F168" s="27" t="n"/>
      <c r="G168" s="27" t="n"/>
      <c r="H168" s="27" t="n"/>
    </row>
    <row r="169">
      <c r="E169" s="27" t="n"/>
      <c r="F169" s="27" t="n"/>
      <c r="G169" s="27" t="n"/>
      <c r="H169" s="27" t="n"/>
    </row>
    <row r="170">
      <c r="E170" s="27" t="n"/>
      <c r="F170" s="27" t="n"/>
      <c r="G170" s="27" t="n"/>
      <c r="H170" s="27" t="n"/>
    </row>
    <row r="171">
      <c r="E171" s="27" t="n"/>
      <c r="F171" s="27" t="n"/>
      <c r="G171" s="27" t="n"/>
      <c r="H171" s="27" t="n"/>
    </row>
    <row r="172">
      <c r="E172" s="27" t="n"/>
      <c r="F172" s="27" t="n"/>
      <c r="G172" s="27" t="n"/>
      <c r="H172" s="27" t="n"/>
    </row>
    <row r="173">
      <c r="E173" s="27" t="n"/>
      <c r="F173" s="27" t="n"/>
      <c r="G173" s="27" t="n"/>
      <c r="H173" s="27" t="n"/>
    </row>
    <row r="174">
      <c r="E174" s="27" t="n"/>
      <c r="F174" s="27" t="n"/>
      <c r="G174" s="27" t="n"/>
      <c r="H174" s="27" t="n"/>
    </row>
    <row r="175">
      <c r="E175" s="27" t="n"/>
      <c r="F175" s="27" t="n"/>
      <c r="G175" s="27" t="n"/>
      <c r="H175" s="27" t="n"/>
    </row>
    <row r="176">
      <c r="E176" s="27" t="n"/>
      <c r="F176" s="27" t="n"/>
      <c r="G176" s="27" t="n"/>
      <c r="H176" s="27" t="n"/>
    </row>
    <row r="177">
      <c r="E177" s="27" t="n"/>
      <c r="F177" s="27" t="n"/>
      <c r="G177" s="27" t="n"/>
      <c r="H177" s="27" t="n"/>
    </row>
    <row r="178">
      <c r="E178" s="27" t="n"/>
      <c r="F178" s="27" t="n"/>
      <c r="G178" s="27" t="n"/>
      <c r="H178" s="27" t="n"/>
    </row>
    <row r="179">
      <c r="E179" s="27" t="n"/>
      <c r="F179" s="27" t="n"/>
      <c r="G179" s="27" t="n"/>
      <c r="H179" s="27" t="n"/>
    </row>
    <row r="180">
      <c r="E180" s="27" t="n"/>
      <c r="F180" s="27" t="n"/>
      <c r="G180" s="27" t="n"/>
      <c r="H180" s="27" t="n"/>
    </row>
    <row r="181">
      <c r="E181" s="27" t="n"/>
      <c r="F181" s="27" t="n"/>
      <c r="G181" s="27" t="n"/>
      <c r="H181" s="27" t="n"/>
    </row>
    <row r="182">
      <c r="E182" s="27" t="n"/>
      <c r="F182" s="27" t="n"/>
      <c r="G182" s="27" t="n"/>
      <c r="H182" s="27" t="n"/>
    </row>
    <row r="183">
      <c r="E183" s="27" t="n"/>
      <c r="F183" s="27" t="n"/>
      <c r="G183" s="27" t="n"/>
      <c r="H183" s="27" t="n"/>
    </row>
    <row r="184">
      <c r="E184" s="27" t="n"/>
      <c r="F184" s="27" t="n"/>
      <c r="G184" s="27" t="n"/>
      <c r="H184" s="27" t="n"/>
    </row>
    <row r="185">
      <c r="E185" s="27" t="n"/>
      <c r="F185" s="27" t="n"/>
      <c r="G185" s="27" t="n"/>
      <c r="H185" s="27" t="n"/>
    </row>
    <row r="186">
      <c r="E186" s="27" t="n"/>
      <c r="F186" s="27" t="n"/>
      <c r="G186" s="27" t="n"/>
      <c r="H186" s="27" t="n"/>
    </row>
    <row r="187">
      <c r="E187" s="27" t="n"/>
      <c r="F187" s="27" t="n"/>
      <c r="G187" s="27" t="n"/>
      <c r="H187" s="27" t="n"/>
    </row>
    <row r="188">
      <c r="E188" s="27" t="n"/>
      <c r="F188" s="27" t="n"/>
      <c r="G188" s="27" t="n"/>
      <c r="H188" s="27" t="n"/>
    </row>
    <row r="189">
      <c r="E189" s="27" t="n"/>
      <c r="F189" s="27" t="n"/>
      <c r="G189" s="27" t="n"/>
      <c r="H189" s="27" t="n"/>
    </row>
    <row r="190">
      <c r="E190" s="27" t="n"/>
      <c r="F190" s="27" t="n"/>
      <c r="G190" s="27" t="n"/>
      <c r="H190" s="27" t="n"/>
    </row>
    <row r="191">
      <c r="E191" s="27" t="n"/>
      <c r="F191" s="27" t="n"/>
      <c r="G191" s="27" t="n"/>
      <c r="H191" s="27" t="n"/>
    </row>
    <row r="192">
      <c r="E192" s="27" t="n"/>
      <c r="F192" s="27" t="n"/>
      <c r="G192" s="27" t="n"/>
      <c r="H192" s="27" t="n"/>
    </row>
    <row r="193">
      <c r="E193" s="27" t="n"/>
      <c r="F193" s="27" t="n"/>
      <c r="G193" s="27" t="n"/>
      <c r="H193" s="27" t="n"/>
    </row>
    <row r="194">
      <c r="E194" s="27" t="n"/>
      <c r="F194" s="27" t="n"/>
      <c r="G194" s="27" t="n"/>
      <c r="H194" s="27" t="n"/>
    </row>
    <row r="195">
      <c r="E195" s="27" t="n"/>
      <c r="F195" s="27" t="n"/>
      <c r="G195" s="27" t="n"/>
      <c r="H195" s="27" t="n"/>
    </row>
    <row r="196">
      <c r="E196" s="27" t="n"/>
      <c r="F196" s="27" t="n"/>
      <c r="G196" s="27" t="n"/>
      <c r="H196" s="27" t="n"/>
    </row>
    <row r="197">
      <c r="E197" s="27" t="n"/>
      <c r="F197" s="27" t="n"/>
      <c r="G197" s="27" t="n"/>
      <c r="H197" s="27" t="n"/>
    </row>
    <row r="198">
      <c r="E198" s="27" t="n"/>
      <c r="F198" s="27" t="n"/>
      <c r="G198" s="27" t="n"/>
      <c r="H198" s="27" t="n"/>
    </row>
    <row r="199">
      <c r="E199" s="27" t="n"/>
      <c r="F199" s="27" t="n"/>
      <c r="G199" s="27" t="n"/>
      <c r="H199" s="27" t="n"/>
    </row>
    <row r="200">
      <c r="E200" s="27" t="n"/>
      <c r="F200" s="27" t="n"/>
      <c r="G200" s="27" t="n"/>
      <c r="H200" s="27" t="n"/>
    </row>
    <row r="201">
      <c r="E201" s="27" t="n"/>
      <c r="F201" s="27" t="n"/>
      <c r="G201" s="27" t="n"/>
      <c r="H201" s="27" t="n"/>
    </row>
    <row r="202">
      <c r="E202" s="27" t="n"/>
      <c r="F202" s="27" t="n"/>
      <c r="G202" s="27" t="n"/>
      <c r="H202" s="27" t="n"/>
    </row>
    <row r="203">
      <c r="E203" s="27" t="n"/>
      <c r="F203" s="27" t="n"/>
      <c r="G203" s="27" t="n"/>
      <c r="H203" s="27" t="n"/>
    </row>
    <row r="204">
      <c r="E204" s="27" t="n"/>
      <c r="F204" s="27" t="n"/>
      <c r="G204" s="27" t="n"/>
      <c r="H204" s="27" t="n"/>
    </row>
    <row r="205">
      <c r="E205" s="27" t="n"/>
      <c r="F205" s="27" t="n"/>
      <c r="G205" s="27" t="n"/>
      <c r="H205" s="27" t="n"/>
    </row>
    <row r="206">
      <c r="E206" s="27" t="n"/>
      <c r="F206" s="27" t="n"/>
      <c r="G206" s="27" t="n"/>
      <c r="H206" s="27" t="n"/>
    </row>
    <row r="207">
      <c r="E207" s="27" t="n"/>
      <c r="F207" s="27" t="n"/>
      <c r="G207" s="27" t="n"/>
      <c r="H207" s="27" t="n"/>
    </row>
    <row r="208">
      <c r="E208" s="27" t="n"/>
      <c r="F208" s="27" t="n"/>
      <c r="G208" s="27" t="n"/>
      <c r="H208" s="27" t="n"/>
    </row>
    <row r="209">
      <c r="E209" s="27" t="n"/>
      <c r="F209" s="27" t="n"/>
      <c r="G209" s="27" t="n"/>
      <c r="H209" s="27" t="n"/>
    </row>
    <row r="210">
      <c r="E210" s="27" t="n"/>
      <c r="F210" s="27" t="n"/>
      <c r="G210" s="27" t="n"/>
      <c r="H210" s="27" t="n"/>
    </row>
    <row r="211">
      <c r="E211" s="27" t="n"/>
      <c r="F211" s="27" t="n"/>
      <c r="G211" s="27" t="n"/>
      <c r="H211" s="27" t="n"/>
    </row>
    <row r="212">
      <c r="E212" s="27" t="n"/>
      <c r="F212" s="27" t="n"/>
      <c r="G212" s="27" t="n"/>
      <c r="H212" s="27" t="n"/>
    </row>
    <row r="213">
      <c r="E213" s="27" t="n"/>
      <c r="F213" s="27" t="n"/>
      <c r="G213" s="27" t="n"/>
      <c r="H213" s="27" t="n"/>
    </row>
    <row r="214">
      <c r="E214" s="27" t="n"/>
      <c r="F214" s="27" t="n"/>
      <c r="G214" s="27" t="n"/>
      <c r="H214" s="27" t="n"/>
    </row>
    <row r="215">
      <c r="E215" s="27" t="n"/>
      <c r="F215" s="27" t="n"/>
      <c r="G215" s="27" t="n"/>
      <c r="H215" s="27" t="n"/>
    </row>
    <row r="216">
      <c r="E216" s="27" t="n"/>
      <c r="F216" s="27" t="n"/>
      <c r="G216" s="27" t="n"/>
      <c r="H216" s="27" t="n"/>
    </row>
    <row r="217">
      <c r="E217" s="27" t="n"/>
      <c r="F217" s="27" t="n"/>
      <c r="G217" s="27" t="n"/>
      <c r="H217" s="27" t="n"/>
    </row>
    <row r="218">
      <c r="E218" s="27" t="n"/>
      <c r="F218" s="27" t="n"/>
      <c r="G218" s="27" t="n"/>
      <c r="H218" s="27" t="n"/>
    </row>
    <row r="219">
      <c r="E219" s="27" t="n"/>
      <c r="F219" s="27" t="n"/>
      <c r="G219" s="27" t="n"/>
      <c r="H219" s="27" t="n"/>
    </row>
    <row r="220">
      <c r="E220" s="27" t="n"/>
      <c r="F220" s="27" t="n"/>
      <c r="G220" s="27" t="n"/>
      <c r="H220" s="27" t="n"/>
    </row>
    <row r="221">
      <c r="E221" s="27" t="n"/>
      <c r="F221" s="27" t="n"/>
      <c r="G221" s="27" t="n"/>
      <c r="H221" s="27" t="n"/>
    </row>
    <row r="222">
      <c r="E222" s="27" t="n"/>
      <c r="F222" s="27" t="n"/>
      <c r="G222" s="27" t="n"/>
      <c r="H222" s="27" t="n"/>
    </row>
    <row r="223">
      <c r="E223" s="27" t="n"/>
      <c r="F223" s="27" t="n"/>
      <c r="G223" s="27" t="n"/>
      <c r="H223" s="27" t="n"/>
    </row>
    <row r="224">
      <c r="E224" s="27" t="n"/>
      <c r="F224" s="27" t="n"/>
      <c r="G224" s="27" t="n"/>
      <c r="H224" s="27" t="n"/>
    </row>
    <row r="225">
      <c r="E225" s="27" t="n"/>
      <c r="F225" s="27" t="n"/>
      <c r="G225" s="27" t="n"/>
      <c r="H225" s="27" t="n"/>
    </row>
    <row r="226">
      <c r="E226" s="27" t="n"/>
      <c r="F226" s="27" t="n"/>
      <c r="G226" s="27" t="n"/>
      <c r="H226" s="27" t="n"/>
    </row>
    <row r="227">
      <c r="E227" s="27" t="n"/>
      <c r="F227" s="27" t="n"/>
      <c r="G227" s="27" t="n"/>
      <c r="H227" s="27" t="n"/>
    </row>
    <row r="228">
      <c r="E228" s="27" t="n"/>
      <c r="F228" s="27" t="n"/>
      <c r="G228" s="27" t="n"/>
      <c r="H228" s="27" t="n"/>
    </row>
    <row r="229">
      <c r="E229" s="27" t="n"/>
      <c r="F229" s="27" t="n"/>
      <c r="G229" s="27" t="n"/>
      <c r="H229" s="27" t="n"/>
    </row>
    <row r="230">
      <c r="E230" s="27" t="n"/>
      <c r="F230" s="27" t="n"/>
      <c r="G230" s="27" t="n"/>
      <c r="H230" s="27" t="n"/>
    </row>
    <row r="231">
      <c r="E231" s="27" t="n"/>
      <c r="F231" s="27" t="n"/>
      <c r="G231" s="27" t="n"/>
      <c r="H231" s="27" t="n"/>
    </row>
    <row r="232">
      <c r="E232" s="27" t="n"/>
      <c r="F232" s="27" t="n"/>
      <c r="G232" s="27" t="n"/>
      <c r="H232" s="27" t="n"/>
    </row>
    <row r="233">
      <c r="E233" s="27" t="n"/>
      <c r="F233" s="27" t="n"/>
      <c r="G233" s="27" t="n"/>
      <c r="H233" s="27" t="n"/>
    </row>
    <row r="234">
      <c r="E234" s="27" t="n"/>
      <c r="F234" s="27" t="n"/>
      <c r="G234" s="27" t="n"/>
      <c r="H234" s="27" t="n"/>
    </row>
    <row r="235">
      <c r="E235" s="27" t="n"/>
      <c r="F235" s="27" t="n"/>
      <c r="G235" s="27" t="n"/>
      <c r="H235" s="27" t="n"/>
    </row>
    <row r="236">
      <c r="E236" s="27" t="n"/>
      <c r="F236" s="27" t="n"/>
      <c r="G236" s="27" t="n"/>
      <c r="H236" s="27" t="n"/>
    </row>
    <row r="237">
      <c r="E237" s="27" t="n"/>
      <c r="F237" s="27" t="n"/>
      <c r="G237" s="27" t="n"/>
      <c r="H237" s="27" t="n"/>
    </row>
    <row r="238">
      <c r="E238" s="27" t="n"/>
      <c r="F238" s="27" t="n"/>
      <c r="G238" s="27" t="n"/>
      <c r="H238" s="27" t="n"/>
    </row>
    <row r="239">
      <c r="E239" s="27" t="n"/>
      <c r="F239" s="27" t="n"/>
      <c r="G239" s="27" t="n"/>
      <c r="H239" s="27" t="n"/>
    </row>
    <row r="240">
      <c r="E240" s="27" t="n"/>
      <c r="F240" s="27" t="n"/>
      <c r="G240" s="27" t="n"/>
      <c r="H240" s="27" t="n"/>
    </row>
    <row r="241">
      <c r="E241" s="27" t="n"/>
      <c r="F241" s="27" t="n"/>
      <c r="G241" s="27" t="n"/>
      <c r="H241" s="27" t="n"/>
    </row>
    <row r="242">
      <c r="E242" s="27" t="n"/>
      <c r="F242" s="27" t="n"/>
      <c r="G242" s="27" t="n"/>
      <c r="H242" s="27" t="n"/>
    </row>
    <row r="243">
      <c r="E243" s="27" t="n"/>
      <c r="F243" s="27" t="n"/>
      <c r="G243" s="27" t="n"/>
      <c r="H243" s="27" t="n"/>
    </row>
    <row r="244">
      <c r="E244" s="27" t="n"/>
      <c r="F244" s="27" t="n"/>
      <c r="G244" s="27" t="n"/>
      <c r="H244" s="27" t="n"/>
    </row>
    <row r="245">
      <c r="E245" s="27" t="n"/>
      <c r="F245" s="27" t="n"/>
      <c r="G245" s="27" t="n"/>
      <c r="H245" s="27" t="n"/>
    </row>
    <row r="246">
      <c r="E246" s="27" t="n"/>
      <c r="F246" s="27" t="n"/>
      <c r="G246" s="27" t="n"/>
      <c r="H246" s="27" t="n"/>
    </row>
    <row r="247">
      <c r="E247" s="27" t="n"/>
      <c r="F247" s="27" t="n"/>
      <c r="G247" s="27" t="n"/>
      <c r="H247" s="27" t="n"/>
    </row>
    <row r="248">
      <c r="E248" s="27" t="n"/>
      <c r="F248" s="27" t="n"/>
      <c r="G248" s="27" t="n"/>
      <c r="H248" s="27" t="n"/>
    </row>
    <row r="249">
      <c r="E249" s="27" t="n"/>
      <c r="F249" s="27" t="n"/>
      <c r="G249" s="27" t="n"/>
      <c r="H249" s="27" t="n"/>
    </row>
    <row r="250">
      <c r="E250" s="27" t="n"/>
      <c r="F250" s="27" t="n"/>
      <c r="G250" s="27" t="n"/>
      <c r="H250" s="27" t="n"/>
    </row>
    <row r="251">
      <c r="E251" s="27" t="n"/>
      <c r="F251" s="27" t="n"/>
      <c r="G251" s="27" t="n"/>
      <c r="H251" s="27" t="n"/>
    </row>
    <row r="252">
      <c r="E252" s="27" t="n"/>
      <c r="F252" s="27" t="n"/>
      <c r="G252" s="27" t="n"/>
      <c r="H252" s="27" t="n"/>
    </row>
    <row r="253">
      <c r="E253" s="27" t="n"/>
      <c r="F253" s="27" t="n"/>
      <c r="G253" s="27" t="n"/>
      <c r="H253" s="27" t="n"/>
    </row>
    <row r="254">
      <c r="E254" s="27" t="n"/>
      <c r="F254" s="27" t="n"/>
      <c r="G254" s="27" t="n"/>
      <c r="H254" s="27" t="n"/>
    </row>
    <row r="255">
      <c r="E255" s="27" t="n"/>
      <c r="F255" s="27" t="n"/>
      <c r="G255" s="27" t="n"/>
      <c r="H255" s="27" t="n"/>
    </row>
    <row r="256">
      <c r="E256" s="27" t="n"/>
      <c r="F256" s="27" t="n"/>
      <c r="G256" s="27" t="n"/>
      <c r="H256" s="27" t="n"/>
    </row>
    <row r="257">
      <c r="E257" s="27" t="n"/>
      <c r="F257" s="27" t="n"/>
      <c r="G257" s="27" t="n"/>
      <c r="H257" s="27" t="n"/>
    </row>
    <row r="258">
      <c r="E258" s="27" t="n"/>
      <c r="F258" s="27" t="n"/>
      <c r="G258" s="27" t="n"/>
      <c r="H258" s="27" t="n"/>
    </row>
    <row r="259">
      <c r="E259" s="27" t="n"/>
      <c r="F259" s="27" t="n"/>
      <c r="G259" s="27" t="n"/>
      <c r="H259" s="27" t="n"/>
    </row>
    <row r="260">
      <c r="E260" s="27" t="n"/>
      <c r="F260" s="27" t="n"/>
      <c r="G260" s="27" t="n"/>
      <c r="H260" s="27" t="n"/>
    </row>
    <row r="261">
      <c r="E261" s="27" t="n"/>
      <c r="F261" s="27" t="n"/>
      <c r="G261" s="27" t="n"/>
      <c r="H261" s="27" t="n"/>
    </row>
    <row r="262">
      <c r="E262" s="27" t="n"/>
      <c r="F262" s="27" t="n"/>
      <c r="G262" s="27" t="n"/>
      <c r="H262" s="27" t="n"/>
    </row>
    <row r="263">
      <c r="E263" s="27" t="n"/>
      <c r="F263" s="27" t="n"/>
      <c r="G263" s="27" t="n"/>
      <c r="H263" s="27" t="n"/>
    </row>
    <row r="264">
      <c r="E264" s="27" t="n"/>
      <c r="F264" s="27" t="n"/>
      <c r="G264" s="27" t="n"/>
      <c r="H264" s="27" t="n"/>
    </row>
    <row r="265">
      <c r="E265" s="27" t="n"/>
      <c r="F265" s="27" t="n"/>
      <c r="G265" s="27" t="n"/>
      <c r="H265" s="27" t="n"/>
    </row>
    <row r="266">
      <c r="E266" s="27" t="n"/>
      <c r="F266" s="27" t="n"/>
      <c r="G266" s="27" t="n"/>
      <c r="H266" s="27" t="n"/>
    </row>
    <row r="267">
      <c r="E267" s="27" t="n"/>
      <c r="F267" s="27" t="n"/>
      <c r="G267" s="27" t="n"/>
      <c r="H267" s="27" t="n"/>
    </row>
    <row r="268">
      <c r="E268" s="27" t="n"/>
      <c r="F268" s="27" t="n"/>
      <c r="G268" s="27" t="n"/>
      <c r="H268" s="27" t="n"/>
    </row>
    <row r="269">
      <c r="E269" s="27" t="n"/>
      <c r="F269" s="27" t="n"/>
      <c r="G269" s="27" t="n"/>
      <c r="H269" s="27" t="n"/>
    </row>
    <row r="270">
      <c r="E270" s="27" t="n"/>
      <c r="F270" s="27" t="n"/>
      <c r="G270" s="27" t="n"/>
      <c r="H270" s="27" t="n"/>
    </row>
    <row r="271">
      <c r="E271" s="27" t="n"/>
      <c r="F271" s="27" t="n"/>
      <c r="G271" s="27" t="n"/>
      <c r="H271" s="27" t="n"/>
    </row>
    <row r="272">
      <c r="E272" s="27" t="n"/>
      <c r="F272" s="27" t="n"/>
      <c r="G272" s="27" t="n"/>
      <c r="H272" s="27" t="n"/>
    </row>
    <row r="273">
      <c r="E273" s="27" t="n"/>
      <c r="F273" s="27" t="n"/>
      <c r="G273" s="27" t="n"/>
      <c r="H273" s="27" t="n"/>
    </row>
    <row r="274">
      <c r="E274" s="27" t="n"/>
      <c r="F274" s="27" t="n"/>
      <c r="G274" s="27" t="n"/>
      <c r="H274" s="27" t="n"/>
    </row>
    <row r="275">
      <c r="E275" s="27" t="n"/>
      <c r="F275" s="27" t="n"/>
      <c r="G275" s="27" t="n"/>
      <c r="H275" s="27" t="n"/>
    </row>
    <row r="276">
      <c r="E276" s="27" t="n"/>
      <c r="F276" s="27" t="n"/>
      <c r="G276" s="27" t="n"/>
      <c r="H276" s="27" t="n"/>
    </row>
    <row r="277">
      <c r="E277" s="27" t="n"/>
      <c r="F277" s="27" t="n"/>
      <c r="G277" s="27" t="n"/>
      <c r="H277" s="27" t="n"/>
    </row>
    <row r="278">
      <c r="E278" s="27" t="n"/>
      <c r="F278" s="27" t="n"/>
      <c r="G278" s="27" t="n"/>
      <c r="H278" s="27" t="n"/>
    </row>
    <row r="279">
      <c r="E279" s="27" t="n"/>
      <c r="F279" s="27" t="n"/>
      <c r="G279" s="27" t="n"/>
      <c r="H279" s="27" t="n"/>
    </row>
    <row r="280">
      <c r="E280" s="27" t="n"/>
      <c r="F280" s="27" t="n"/>
      <c r="G280" s="27" t="n"/>
      <c r="H280" s="27" t="n"/>
    </row>
    <row r="281">
      <c r="E281" s="27" t="n"/>
      <c r="F281" s="27" t="n"/>
      <c r="G281" s="27" t="n"/>
      <c r="H281" s="27" t="n"/>
    </row>
    <row r="282">
      <c r="E282" s="27" t="n"/>
      <c r="F282" s="27" t="n"/>
      <c r="G282" s="27" t="n"/>
      <c r="H282" s="27" t="n"/>
    </row>
    <row r="283">
      <c r="E283" s="27" t="n"/>
      <c r="F283" s="27" t="n"/>
      <c r="G283" s="27" t="n"/>
      <c r="H283" s="27" t="n"/>
    </row>
    <row r="284">
      <c r="E284" s="27" t="n"/>
      <c r="F284" s="27" t="n"/>
      <c r="G284" s="27" t="n"/>
      <c r="H284" s="27" t="n"/>
    </row>
    <row r="285">
      <c r="E285" s="27" t="n"/>
      <c r="F285" s="27" t="n"/>
      <c r="G285" s="27" t="n"/>
      <c r="H285" s="27" t="n"/>
    </row>
    <row r="286">
      <c r="E286" s="27" t="n"/>
      <c r="F286" s="27" t="n"/>
      <c r="G286" s="27" t="n"/>
      <c r="H286" s="27" t="n"/>
    </row>
    <row r="287">
      <c r="E287" s="27" t="n"/>
      <c r="F287" s="27" t="n"/>
      <c r="G287" s="27" t="n"/>
      <c r="H287" s="27" t="n"/>
    </row>
    <row r="288">
      <c r="E288" s="27" t="n"/>
      <c r="F288" s="27" t="n"/>
      <c r="G288" s="27" t="n"/>
      <c r="H288" s="27" t="n"/>
    </row>
    <row r="289">
      <c r="E289" s="27" t="n"/>
      <c r="F289" s="27" t="n"/>
      <c r="G289" s="27" t="n"/>
      <c r="H289" s="27" t="n"/>
    </row>
    <row r="290">
      <c r="E290" s="27" t="n"/>
      <c r="F290" s="27" t="n"/>
      <c r="G290" s="27" t="n"/>
      <c r="H290" s="27" t="n"/>
    </row>
    <row r="291">
      <c r="E291" s="27" t="n"/>
      <c r="F291" s="27" t="n"/>
      <c r="G291" s="27" t="n"/>
      <c r="H291" s="27" t="n"/>
    </row>
    <row r="292">
      <c r="E292" s="27" t="n"/>
      <c r="F292" s="27" t="n"/>
      <c r="G292" s="27" t="n"/>
      <c r="H292" s="27" t="n"/>
    </row>
    <row r="293">
      <c r="E293" s="27" t="n"/>
      <c r="F293" s="27" t="n"/>
      <c r="G293" s="27" t="n"/>
      <c r="H293" s="27" t="n"/>
    </row>
    <row r="294">
      <c r="E294" s="27" t="n"/>
      <c r="F294" s="27" t="n"/>
      <c r="G294" s="27" t="n"/>
      <c r="H294" s="27" t="n"/>
    </row>
    <row r="295">
      <c r="E295" s="27" t="n"/>
      <c r="F295" s="27" t="n"/>
      <c r="G295" s="27" t="n"/>
      <c r="H295" s="27" t="n"/>
    </row>
    <row r="296">
      <c r="E296" s="27" t="n"/>
      <c r="F296" s="27" t="n"/>
      <c r="G296" s="27" t="n"/>
      <c r="H296" s="27" t="n"/>
    </row>
    <row r="297">
      <c r="E297" s="27" t="n"/>
      <c r="F297" s="27" t="n"/>
      <c r="G297" s="27" t="n"/>
      <c r="H297" s="27" t="n"/>
    </row>
    <row r="298">
      <c r="E298" s="27" t="n"/>
      <c r="F298" s="27" t="n"/>
      <c r="G298" s="27" t="n"/>
      <c r="H298" s="27" t="n"/>
    </row>
    <row r="299">
      <c r="E299" s="27" t="n"/>
      <c r="F299" s="27" t="n"/>
      <c r="G299" s="27" t="n"/>
      <c r="H299" s="27" t="n"/>
    </row>
    <row r="300">
      <c r="E300" s="27" t="n"/>
      <c r="F300" s="27" t="n"/>
      <c r="G300" s="27" t="n"/>
      <c r="H300" s="27" t="n"/>
    </row>
    <row r="301">
      <c r="E301" s="27" t="n"/>
      <c r="F301" s="27" t="n"/>
      <c r="G301" s="27" t="n"/>
      <c r="H301" s="27" t="n"/>
    </row>
    <row r="302">
      <c r="E302" s="27" t="n"/>
      <c r="F302" s="27" t="n"/>
      <c r="G302" s="27" t="n"/>
      <c r="H302" s="27" t="n"/>
    </row>
    <row r="303">
      <c r="E303" s="27" t="n"/>
      <c r="F303" s="27" t="n"/>
      <c r="G303" s="27" t="n"/>
      <c r="H303" s="27" t="n"/>
    </row>
    <row r="304">
      <c r="E304" s="27" t="n"/>
      <c r="F304" s="27" t="n"/>
      <c r="G304" s="27" t="n"/>
      <c r="H304" s="27" t="n"/>
    </row>
    <row r="305">
      <c r="E305" s="27" t="n"/>
      <c r="F305" s="27" t="n"/>
      <c r="G305" s="27" t="n"/>
      <c r="H305" s="27" t="n"/>
    </row>
    <row r="306">
      <c r="E306" s="27" t="n"/>
      <c r="F306" s="27" t="n"/>
      <c r="G306" s="27" t="n"/>
      <c r="H306" s="27" t="n"/>
    </row>
    <row r="307">
      <c r="E307" s="27" t="n"/>
      <c r="F307" s="27" t="n"/>
      <c r="G307" s="27" t="n"/>
      <c r="H307" s="27" t="n"/>
    </row>
    <row r="308">
      <c r="E308" s="27" t="n"/>
      <c r="F308" s="27" t="n"/>
      <c r="G308" s="27" t="n"/>
      <c r="H308" s="27" t="n"/>
    </row>
    <row r="309">
      <c r="E309" s="27" t="n"/>
      <c r="F309" s="27" t="n"/>
      <c r="G309" s="27" t="n"/>
      <c r="H309" s="27" t="n"/>
    </row>
    <row r="310">
      <c r="E310" s="27" t="n"/>
      <c r="F310" s="27" t="n"/>
      <c r="G310" s="27" t="n"/>
      <c r="H310" s="27" t="n"/>
    </row>
    <row r="311">
      <c r="E311" s="27" t="n"/>
      <c r="F311" s="27" t="n"/>
      <c r="G311" s="27" t="n"/>
      <c r="H311" s="27" t="n"/>
    </row>
    <row r="312">
      <c r="E312" s="27" t="n"/>
      <c r="F312" s="27" t="n"/>
      <c r="G312" s="27" t="n"/>
      <c r="H312" s="27" t="n"/>
    </row>
    <row r="313">
      <c r="E313" s="27" t="n"/>
      <c r="F313" s="27" t="n"/>
      <c r="G313" s="27" t="n"/>
      <c r="H313" s="27" t="n"/>
    </row>
    <row r="314">
      <c r="E314" s="27" t="n"/>
      <c r="F314" s="27" t="n"/>
      <c r="G314" s="27" t="n"/>
      <c r="H314" s="27" t="n"/>
    </row>
    <row r="315">
      <c r="E315" s="27" t="n"/>
      <c r="F315" s="27" t="n"/>
      <c r="G315" s="27" t="n"/>
      <c r="H315" s="27" t="n"/>
    </row>
    <row r="316">
      <c r="E316" s="27" t="n"/>
      <c r="F316" s="27" t="n"/>
      <c r="G316" s="27" t="n"/>
      <c r="H316" s="27" t="n"/>
    </row>
    <row r="317">
      <c r="E317" s="27" t="n"/>
      <c r="F317" s="27" t="n"/>
      <c r="G317" s="27" t="n"/>
      <c r="H317" s="27" t="n"/>
    </row>
    <row r="318">
      <c r="E318" s="27" t="n"/>
      <c r="F318" s="27" t="n"/>
      <c r="G318" s="27" t="n"/>
      <c r="H318" s="27" t="n"/>
    </row>
    <row r="319">
      <c r="E319" s="27" t="n"/>
      <c r="F319" s="27" t="n"/>
      <c r="G319" s="27" t="n"/>
      <c r="H319" s="27" t="n"/>
    </row>
    <row r="320">
      <c r="E320" s="27" t="n"/>
      <c r="F320" s="27" t="n"/>
      <c r="G320" s="27" t="n"/>
      <c r="H320" s="27" t="n"/>
    </row>
    <row r="321">
      <c r="E321" s="27" t="n"/>
      <c r="F321" s="27" t="n"/>
      <c r="G321" s="27" t="n"/>
      <c r="H321" s="27" t="n"/>
    </row>
    <row r="322">
      <c r="E322" s="27" t="n"/>
      <c r="F322" s="27" t="n"/>
      <c r="G322" s="27" t="n"/>
      <c r="H322" s="27" t="n"/>
    </row>
    <row r="323">
      <c r="E323" s="27" t="n"/>
      <c r="F323" s="27" t="n"/>
      <c r="G323" s="27" t="n"/>
      <c r="H323" s="27" t="n"/>
    </row>
    <row r="324">
      <c r="E324" s="27" t="n"/>
      <c r="F324" s="27" t="n"/>
      <c r="G324" s="27" t="n"/>
      <c r="H324" s="27" t="n"/>
    </row>
    <row r="325">
      <c r="E325" s="27" t="n"/>
      <c r="F325" s="27" t="n"/>
      <c r="G325" s="27" t="n"/>
      <c r="H325" s="27" t="n"/>
    </row>
    <row r="326">
      <c r="E326" s="27" t="n"/>
      <c r="F326" s="27" t="n"/>
      <c r="G326" s="27" t="n"/>
      <c r="H326" s="27" t="n"/>
    </row>
    <row r="327">
      <c r="E327" s="27" t="n"/>
      <c r="F327" s="27" t="n"/>
      <c r="G327" s="27" t="n"/>
      <c r="H327" s="27" t="n"/>
    </row>
    <row r="328">
      <c r="E328" s="27" t="n"/>
      <c r="F328" s="27" t="n"/>
      <c r="G328" s="27" t="n"/>
      <c r="H328" s="27" t="n"/>
    </row>
    <row r="329">
      <c r="E329" s="27" t="n"/>
      <c r="F329" s="27" t="n"/>
      <c r="G329" s="27" t="n"/>
      <c r="H329" s="27" t="n"/>
    </row>
    <row r="330">
      <c r="E330" s="27" t="n"/>
      <c r="F330" s="27" t="n"/>
      <c r="G330" s="27" t="n"/>
      <c r="H330" s="27" t="n"/>
    </row>
    <row r="331">
      <c r="E331" s="27" t="n"/>
      <c r="F331" s="27" t="n"/>
      <c r="G331" s="27" t="n"/>
      <c r="H331" s="27" t="n"/>
    </row>
    <row r="332">
      <c r="E332" s="27" t="n"/>
      <c r="F332" s="27" t="n"/>
      <c r="G332" s="27" t="n"/>
      <c r="H332" s="27" t="n"/>
    </row>
    <row r="333">
      <c r="E333" s="27" t="n"/>
      <c r="F333" s="27" t="n"/>
      <c r="G333" s="27" t="n"/>
      <c r="H333" s="27" t="n"/>
    </row>
    <row r="334">
      <c r="E334" s="27" t="n"/>
      <c r="F334" s="27" t="n"/>
      <c r="G334" s="27" t="n"/>
      <c r="H334" s="27" t="n"/>
    </row>
    <row r="335">
      <c r="E335" s="27" t="n"/>
      <c r="F335" s="27" t="n"/>
      <c r="G335" s="27" t="n"/>
      <c r="H335" s="27" t="n"/>
    </row>
    <row r="336">
      <c r="E336" s="27" t="n"/>
      <c r="F336" s="27" t="n"/>
      <c r="G336" s="27" t="n"/>
      <c r="H336" s="27" t="n"/>
    </row>
    <row r="337">
      <c r="E337" s="27" t="n"/>
      <c r="F337" s="27" t="n"/>
      <c r="G337" s="27" t="n"/>
      <c r="H337" s="27" t="n"/>
    </row>
    <row r="338">
      <c r="E338" s="27" t="n"/>
      <c r="F338" s="27" t="n"/>
      <c r="G338" s="27" t="n"/>
      <c r="H338" s="27" t="n"/>
    </row>
    <row r="339">
      <c r="E339" s="27" t="n"/>
      <c r="F339" s="27" t="n"/>
      <c r="G339" s="27" t="n"/>
      <c r="H339" s="27" t="n"/>
    </row>
    <row r="340">
      <c r="E340" s="27" t="n"/>
      <c r="F340" s="27" t="n"/>
      <c r="G340" s="27" t="n"/>
      <c r="H340" s="27" t="n"/>
    </row>
    <row r="341">
      <c r="E341" s="27" t="n"/>
      <c r="F341" s="27" t="n"/>
      <c r="G341" s="27" t="n"/>
      <c r="H341" s="27" t="n"/>
    </row>
    <row r="342">
      <c r="E342" s="27" t="n"/>
      <c r="F342" s="27" t="n"/>
      <c r="G342" s="27" t="n"/>
      <c r="H342" s="27" t="n"/>
    </row>
    <row r="343">
      <c r="E343" s="27" t="n"/>
      <c r="F343" s="27" t="n"/>
      <c r="G343" s="27" t="n"/>
      <c r="H343" s="27" t="n"/>
    </row>
    <row r="344">
      <c r="E344" s="27" t="n"/>
      <c r="F344" s="27" t="n"/>
      <c r="G344" s="27" t="n"/>
      <c r="H344" s="27" t="n"/>
    </row>
    <row r="345">
      <c r="E345" s="27" t="n"/>
      <c r="F345" s="27" t="n"/>
      <c r="G345" s="27" t="n"/>
      <c r="H345" s="27" t="n"/>
    </row>
    <row r="346">
      <c r="E346" s="27" t="n"/>
      <c r="F346" s="27" t="n"/>
      <c r="G346" s="27" t="n"/>
      <c r="H346" s="27" t="n"/>
    </row>
    <row r="347">
      <c r="E347" s="27" t="n"/>
      <c r="F347" s="27" t="n"/>
      <c r="G347" s="27" t="n"/>
      <c r="H347" s="27" t="n"/>
    </row>
    <row r="348">
      <c r="E348" s="27" t="n"/>
      <c r="F348" s="27" t="n"/>
      <c r="G348" s="27" t="n"/>
      <c r="H348" s="27" t="n"/>
    </row>
    <row r="349">
      <c r="E349" s="27" t="n"/>
      <c r="F349" s="27" t="n"/>
      <c r="G349" s="27" t="n"/>
      <c r="H349" s="27" t="n"/>
    </row>
    <row r="350">
      <c r="E350" s="27" t="n"/>
      <c r="F350" s="27" t="n"/>
      <c r="G350" s="27" t="n"/>
      <c r="H350" s="27" t="n"/>
    </row>
    <row r="351">
      <c r="E351" s="27" t="n"/>
      <c r="F351" s="27" t="n"/>
      <c r="G351" s="27" t="n"/>
      <c r="H351" s="27" t="n"/>
    </row>
    <row r="352">
      <c r="E352" s="27" t="n"/>
      <c r="F352" s="27" t="n"/>
      <c r="G352" s="27" t="n"/>
      <c r="H352" s="27" t="n"/>
    </row>
    <row r="353">
      <c r="E353" s="27" t="n"/>
      <c r="F353" s="27" t="n"/>
      <c r="G353" s="27" t="n"/>
      <c r="H353" s="27" t="n"/>
    </row>
    <row r="354">
      <c r="E354" s="27" t="n"/>
      <c r="F354" s="27" t="n"/>
      <c r="G354" s="27" t="n"/>
      <c r="H354" s="27" t="n"/>
    </row>
    <row r="355">
      <c r="E355" s="27" t="n"/>
      <c r="F355" s="27" t="n"/>
      <c r="G355" s="27" t="n"/>
      <c r="H355" s="27" t="n"/>
    </row>
    <row r="356">
      <c r="E356" s="27" t="n"/>
      <c r="F356" s="27" t="n"/>
      <c r="G356" s="27" t="n"/>
      <c r="H356" s="27" t="n"/>
    </row>
    <row r="357">
      <c r="E357" s="27" t="n"/>
      <c r="F357" s="27" t="n"/>
      <c r="G357" s="27" t="n"/>
      <c r="H357" s="27" t="n"/>
    </row>
    <row r="358">
      <c r="E358" s="27" t="n"/>
      <c r="F358" s="27" t="n"/>
      <c r="G358" s="27" t="n"/>
      <c r="H358" s="27" t="n"/>
    </row>
    <row r="359">
      <c r="E359" s="27" t="n"/>
      <c r="F359" s="27" t="n"/>
      <c r="G359" s="27" t="n"/>
      <c r="H359" s="27" t="n"/>
    </row>
    <row r="360">
      <c r="E360" s="27" t="n"/>
      <c r="F360" s="27" t="n"/>
      <c r="G360" s="27" t="n"/>
      <c r="H360" s="27" t="n"/>
    </row>
    <row r="361">
      <c r="E361" s="27" t="n"/>
      <c r="F361" s="27" t="n"/>
      <c r="G361" s="27" t="n"/>
      <c r="H361" s="27" t="n"/>
    </row>
    <row r="362">
      <c r="E362" s="27" t="n"/>
      <c r="F362" s="27" t="n"/>
      <c r="G362" s="27" t="n"/>
      <c r="H362" s="27" t="n"/>
    </row>
    <row r="363">
      <c r="E363" s="27" t="n"/>
      <c r="F363" s="27" t="n"/>
      <c r="G363" s="27" t="n"/>
      <c r="H363" s="27" t="n"/>
    </row>
    <row r="364">
      <c r="E364" s="27" t="n"/>
      <c r="F364" s="27" t="n"/>
      <c r="G364" s="27" t="n"/>
      <c r="H364" s="27" t="n"/>
    </row>
    <row r="365">
      <c r="E365" s="27" t="n"/>
      <c r="F365" s="27" t="n"/>
      <c r="G365" s="27" t="n"/>
      <c r="H365" s="27" t="n"/>
    </row>
    <row r="366">
      <c r="E366" s="27" t="n"/>
      <c r="F366" s="27" t="n"/>
      <c r="G366" s="27" t="n"/>
      <c r="H366" s="27" t="n"/>
    </row>
    <row r="367">
      <c r="E367" s="27" t="n"/>
      <c r="F367" s="27" t="n"/>
      <c r="G367" s="27" t="n"/>
      <c r="H367" s="27" t="n"/>
    </row>
    <row r="368">
      <c r="E368" s="27" t="n"/>
      <c r="F368" s="27" t="n"/>
      <c r="G368" s="27" t="n"/>
      <c r="H368" s="27" t="n"/>
    </row>
    <row r="369">
      <c r="E369" s="27" t="n"/>
      <c r="F369" s="27" t="n"/>
      <c r="G369" s="27" t="n"/>
      <c r="H369" s="27" t="n"/>
    </row>
    <row r="370">
      <c r="E370" s="27" t="n"/>
      <c r="F370" s="27" t="n"/>
      <c r="G370" s="27" t="n"/>
      <c r="H370" s="27" t="n"/>
    </row>
    <row r="371">
      <c r="E371" s="27" t="n"/>
      <c r="F371" s="27" t="n"/>
      <c r="G371" s="27" t="n"/>
      <c r="H371" s="27" t="n"/>
    </row>
    <row r="372">
      <c r="E372" s="27" t="n"/>
      <c r="F372" s="27" t="n"/>
      <c r="G372" s="27" t="n"/>
      <c r="H372" s="27" t="n"/>
    </row>
    <row r="373">
      <c r="E373" s="27" t="n"/>
      <c r="F373" s="27" t="n"/>
      <c r="G373" s="27" t="n"/>
      <c r="H373" s="27" t="n"/>
    </row>
    <row r="374">
      <c r="E374" s="27" t="n"/>
      <c r="F374" s="27" t="n"/>
      <c r="G374" s="27" t="n"/>
      <c r="H374" s="27" t="n"/>
    </row>
    <row r="375">
      <c r="E375" s="27" t="n"/>
      <c r="F375" s="27" t="n"/>
      <c r="G375" s="27" t="n"/>
      <c r="H375" s="27" t="n"/>
    </row>
    <row r="376">
      <c r="E376" s="27" t="n"/>
      <c r="F376" s="27" t="n"/>
      <c r="G376" s="27" t="n"/>
      <c r="H376" s="27" t="n"/>
    </row>
    <row r="377">
      <c r="E377" s="27" t="n"/>
      <c r="F377" s="27" t="n"/>
      <c r="G377" s="27" t="n"/>
      <c r="H377" s="27" t="n"/>
    </row>
    <row r="378">
      <c r="E378" s="27" t="n"/>
      <c r="F378" s="27" t="n"/>
      <c r="G378" s="27" t="n"/>
      <c r="H378" s="27" t="n"/>
    </row>
    <row r="379">
      <c r="E379" s="27" t="n"/>
      <c r="F379" s="27" t="n"/>
      <c r="G379" s="27" t="n"/>
      <c r="H379" s="27" t="n"/>
    </row>
    <row r="380">
      <c r="E380" s="27" t="n"/>
      <c r="F380" s="27" t="n"/>
      <c r="G380" s="27" t="n"/>
      <c r="H380" s="27" t="n"/>
    </row>
    <row r="381">
      <c r="E381" s="27" t="n"/>
      <c r="F381" s="27" t="n"/>
      <c r="G381" s="27" t="n"/>
      <c r="H381" s="27" t="n"/>
    </row>
    <row r="382">
      <c r="E382" s="27" t="n"/>
      <c r="F382" s="27" t="n"/>
      <c r="G382" s="27" t="n"/>
      <c r="H382" s="27" t="n"/>
    </row>
    <row r="383">
      <c r="E383" s="27" t="n"/>
      <c r="F383" s="27" t="n"/>
      <c r="G383" s="27" t="n"/>
      <c r="H383" s="27" t="n"/>
    </row>
    <row r="384">
      <c r="E384" s="27" t="n"/>
      <c r="F384" s="27" t="n"/>
      <c r="G384" s="27" t="n"/>
      <c r="H384" s="27" t="n"/>
    </row>
    <row r="385">
      <c r="E385" s="27" t="n"/>
      <c r="F385" s="27" t="n"/>
      <c r="G385" s="27" t="n"/>
      <c r="H385" s="27" t="n"/>
    </row>
    <row r="386">
      <c r="E386" s="27" t="n"/>
      <c r="F386" s="27" t="n"/>
      <c r="G386" s="27" t="n"/>
      <c r="H386" s="27" t="n"/>
    </row>
    <row r="387">
      <c r="E387" s="27" t="n"/>
      <c r="F387" s="27" t="n"/>
      <c r="G387" s="27" t="n"/>
      <c r="H387" s="27" t="n"/>
    </row>
    <row r="388">
      <c r="E388" s="27" t="n"/>
      <c r="F388" s="27" t="n"/>
      <c r="G388" s="27" t="n"/>
      <c r="H388" s="27" t="n"/>
    </row>
    <row r="389">
      <c r="E389" s="27" t="n"/>
      <c r="F389" s="27" t="n"/>
      <c r="G389" s="27" t="n"/>
      <c r="H389" s="27" t="n"/>
    </row>
    <row r="390">
      <c r="E390" s="27" t="n"/>
      <c r="F390" s="27" t="n"/>
      <c r="G390" s="27" t="n"/>
      <c r="H390" s="27" t="n"/>
    </row>
    <row r="391">
      <c r="E391" s="27" t="n"/>
      <c r="F391" s="27" t="n"/>
      <c r="G391" s="27" t="n"/>
      <c r="H391" s="27" t="n"/>
    </row>
    <row r="392">
      <c r="E392" s="27" t="n"/>
      <c r="F392" s="27" t="n"/>
      <c r="G392" s="27" t="n"/>
      <c r="H392" s="27" t="n"/>
    </row>
    <row r="393">
      <c r="E393" s="27" t="n"/>
      <c r="F393" s="27" t="n"/>
      <c r="G393" s="27" t="n"/>
      <c r="H393" s="27" t="n"/>
    </row>
    <row r="394">
      <c r="E394" s="27" t="n"/>
      <c r="F394" s="27" t="n"/>
      <c r="G394" s="27" t="n"/>
      <c r="H394" s="27" t="n"/>
    </row>
    <row r="395">
      <c r="E395" s="27" t="n"/>
      <c r="F395" s="27" t="n"/>
      <c r="G395" s="27" t="n"/>
      <c r="H395" s="27" t="n"/>
    </row>
    <row r="396">
      <c r="E396" s="27" t="n"/>
      <c r="F396" s="27" t="n"/>
      <c r="G396" s="27" t="n"/>
      <c r="H396" s="27" t="n"/>
    </row>
    <row r="397">
      <c r="E397" s="27" t="n"/>
      <c r="F397" s="27" t="n"/>
      <c r="G397" s="27" t="n"/>
      <c r="H397" s="27" t="n"/>
    </row>
    <row r="398">
      <c r="E398" s="27" t="n"/>
      <c r="F398" s="27" t="n"/>
      <c r="G398" s="27" t="n"/>
      <c r="H398" s="27" t="n"/>
    </row>
    <row r="399">
      <c r="E399" s="27" t="n"/>
      <c r="F399" s="27" t="n"/>
      <c r="G399" s="27" t="n"/>
      <c r="H399" s="27" t="n"/>
    </row>
    <row r="400">
      <c r="E400" s="27" t="n"/>
      <c r="F400" s="27" t="n"/>
      <c r="G400" s="27" t="n"/>
      <c r="H400" s="27" t="n"/>
    </row>
    <row r="401">
      <c r="E401" s="27" t="n"/>
      <c r="F401" s="27" t="n"/>
      <c r="G401" s="27" t="n"/>
      <c r="H401" s="27" t="n"/>
    </row>
    <row r="402">
      <c r="E402" s="27" t="n"/>
      <c r="F402" s="27" t="n"/>
      <c r="G402" s="27" t="n"/>
      <c r="H402" s="27" t="n"/>
    </row>
    <row r="403">
      <c r="E403" s="27" t="n"/>
      <c r="F403" s="27" t="n"/>
      <c r="G403" s="27" t="n"/>
      <c r="H403" s="27" t="n"/>
    </row>
    <row r="404">
      <c r="E404" s="27" t="n"/>
      <c r="F404" s="27" t="n"/>
      <c r="G404" s="27" t="n"/>
      <c r="H404" s="27" t="n"/>
    </row>
    <row r="405">
      <c r="E405" s="27" t="n"/>
      <c r="F405" s="27" t="n"/>
      <c r="G405" s="27" t="n"/>
      <c r="H405" s="27" t="n"/>
    </row>
    <row r="406">
      <c r="E406" s="27" t="n"/>
      <c r="F406" s="27" t="n"/>
      <c r="G406" s="27" t="n"/>
      <c r="H406" s="27" t="n"/>
    </row>
    <row r="407">
      <c r="E407" s="27" t="n"/>
      <c r="F407" s="27" t="n"/>
      <c r="G407" s="27" t="n"/>
      <c r="H407" s="27" t="n"/>
    </row>
    <row r="408">
      <c r="E408" s="27" t="n"/>
      <c r="F408" s="27" t="n"/>
      <c r="G408" s="27" t="n"/>
      <c r="H408" s="27" t="n"/>
    </row>
    <row r="409">
      <c r="E409" s="27" t="n"/>
      <c r="F409" s="27" t="n"/>
      <c r="G409" s="27" t="n"/>
      <c r="H409" s="27" t="n"/>
    </row>
    <row r="410">
      <c r="E410" s="27" t="n"/>
      <c r="F410" s="27" t="n"/>
      <c r="G410" s="27" t="n"/>
      <c r="H410" s="27" t="n"/>
    </row>
    <row r="411">
      <c r="E411" s="27" t="n"/>
      <c r="F411" s="27" t="n"/>
      <c r="G411" s="27" t="n"/>
      <c r="H411" s="27" t="n"/>
    </row>
    <row r="412">
      <c r="E412" s="27" t="n"/>
      <c r="F412" s="27" t="n"/>
      <c r="G412" s="27" t="n"/>
      <c r="H412" s="27" t="n"/>
    </row>
    <row r="413">
      <c r="E413" s="27" t="n"/>
      <c r="F413" s="27" t="n"/>
      <c r="G413" s="27" t="n"/>
      <c r="H413" s="27" t="n"/>
    </row>
    <row r="414">
      <c r="E414" s="27" t="n"/>
      <c r="F414" s="27" t="n"/>
      <c r="G414" s="27" t="n"/>
      <c r="H414" s="27" t="n"/>
    </row>
    <row r="415">
      <c r="E415" s="27" t="n"/>
      <c r="F415" s="27" t="n"/>
      <c r="G415" s="27" t="n"/>
      <c r="H415" s="27" t="n"/>
    </row>
    <row r="416">
      <c r="E416" s="27" t="n"/>
      <c r="F416" s="27" t="n"/>
      <c r="G416" s="27" t="n"/>
      <c r="H416" s="27" t="n"/>
    </row>
    <row r="417">
      <c r="E417" s="27" t="n"/>
      <c r="F417" s="27" t="n"/>
      <c r="G417" s="27" t="n"/>
      <c r="H417" s="27" t="n"/>
    </row>
    <row r="418">
      <c r="E418" s="27" t="n"/>
      <c r="F418" s="27" t="n"/>
      <c r="G418" s="27" t="n"/>
      <c r="H418" s="27" t="n"/>
    </row>
    <row r="419">
      <c r="E419" s="27" t="n"/>
      <c r="F419" s="27" t="n"/>
      <c r="G419" s="27" t="n"/>
      <c r="H419" s="27" t="n"/>
    </row>
    <row r="420">
      <c r="E420" s="27" t="n"/>
      <c r="F420" s="27" t="n"/>
      <c r="G420" s="27" t="n"/>
      <c r="H420" s="27" t="n"/>
    </row>
    <row r="421">
      <c r="E421" s="27" t="n"/>
      <c r="F421" s="27" t="n"/>
      <c r="G421" s="27" t="n"/>
      <c r="H421" s="27" t="n"/>
    </row>
    <row r="422">
      <c r="E422" s="27" t="n"/>
      <c r="F422" s="27" t="n"/>
      <c r="G422" s="27" t="n"/>
      <c r="H422" s="27" t="n"/>
    </row>
    <row r="423">
      <c r="E423" s="27" t="n"/>
      <c r="F423" s="27" t="n"/>
      <c r="G423" s="27" t="n"/>
      <c r="H423" s="27" t="n"/>
    </row>
    <row r="424">
      <c r="E424" s="27" t="n"/>
      <c r="F424" s="27" t="n"/>
      <c r="G424" s="27" t="n"/>
      <c r="H424" s="27" t="n"/>
    </row>
    <row r="425">
      <c r="E425" s="27" t="n"/>
      <c r="F425" s="27" t="n"/>
      <c r="G425" s="27" t="n"/>
      <c r="H425" s="27" t="n"/>
    </row>
    <row r="426">
      <c r="E426" s="27" t="n"/>
      <c r="F426" s="27" t="n"/>
      <c r="G426" s="27" t="n"/>
      <c r="H426" s="27" t="n"/>
    </row>
    <row r="427">
      <c r="E427" s="27" t="n"/>
      <c r="F427" s="27" t="n"/>
      <c r="G427" s="27" t="n"/>
      <c r="H427" s="27" t="n"/>
    </row>
    <row r="428">
      <c r="E428" s="27" t="n"/>
      <c r="F428" s="27" t="n"/>
      <c r="G428" s="27" t="n"/>
      <c r="H428" s="27" t="n"/>
    </row>
    <row r="429">
      <c r="E429" s="27" t="n"/>
      <c r="F429" s="27" t="n"/>
      <c r="G429" s="27" t="n"/>
      <c r="H429" s="27" t="n"/>
    </row>
    <row r="430">
      <c r="E430" s="27" t="n"/>
      <c r="F430" s="27" t="n"/>
      <c r="G430" s="27" t="n"/>
      <c r="H430" s="27" t="n"/>
    </row>
    <row r="431">
      <c r="E431" s="27" t="n"/>
      <c r="F431" s="27" t="n"/>
      <c r="G431" s="27" t="n"/>
      <c r="H431" s="27" t="n"/>
    </row>
    <row r="432">
      <c r="E432" s="27" t="n"/>
      <c r="F432" s="27" t="n"/>
      <c r="G432" s="27" t="n"/>
      <c r="H432" s="27" t="n"/>
    </row>
    <row r="433">
      <c r="E433" s="27" t="n"/>
      <c r="F433" s="27" t="n"/>
      <c r="G433" s="27" t="n"/>
      <c r="H433" s="27" t="n"/>
    </row>
    <row r="434">
      <c r="E434" s="27" t="n"/>
      <c r="F434" s="27" t="n"/>
      <c r="G434" s="27" t="n"/>
      <c r="H434" s="27" t="n"/>
    </row>
    <row r="435">
      <c r="E435" s="27" t="n"/>
      <c r="F435" s="27" t="n"/>
      <c r="G435" s="27" t="n"/>
      <c r="H435" s="27" t="n"/>
    </row>
    <row r="436">
      <c r="E436" s="27" t="n"/>
      <c r="F436" s="27" t="n"/>
      <c r="G436" s="27" t="n"/>
      <c r="H436" s="27" t="n"/>
    </row>
    <row r="437">
      <c r="E437" s="27" t="n"/>
      <c r="F437" s="27" t="n"/>
      <c r="G437" s="27" t="n"/>
      <c r="H437" s="27" t="n"/>
    </row>
    <row r="438">
      <c r="E438" s="27" t="n"/>
      <c r="F438" s="27" t="n"/>
      <c r="G438" s="27" t="n"/>
      <c r="H438" s="27" t="n"/>
    </row>
    <row r="439">
      <c r="E439" s="27" t="n"/>
      <c r="F439" s="27" t="n"/>
      <c r="G439" s="27" t="n"/>
      <c r="H439" s="27" t="n"/>
    </row>
    <row r="440">
      <c r="E440" s="27" t="n"/>
      <c r="F440" s="27" t="n"/>
      <c r="G440" s="27" t="n"/>
      <c r="H440" s="27" t="n"/>
    </row>
    <row r="441">
      <c r="E441" s="27" t="n"/>
      <c r="F441" s="27" t="n"/>
      <c r="G441" s="27" t="n"/>
      <c r="H441" s="27" t="n"/>
    </row>
    <row r="442">
      <c r="E442" s="27" t="n"/>
      <c r="F442" s="27" t="n"/>
      <c r="G442" s="27" t="n"/>
      <c r="H442" s="27" t="n"/>
    </row>
    <row r="443">
      <c r="E443" s="27" t="n"/>
      <c r="F443" s="27" t="n"/>
      <c r="G443" s="27" t="n"/>
      <c r="H443" s="27" t="n"/>
    </row>
    <row r="444">
      <c r="E444" s="27" t="n"/>
      <c r="F444" s="27" t="n"/>
      <c r="G444" s="27" t="n"/>
      <c r="H444" s="27" t="n"/>
    </row>
    <row r="445">
      <c r="E445" s="27" t="n"/>
      <c r="F445" s="27" t="n"/>
      <c r="G445" s="27" t="n"/>
      <c r="H445" s="27" t="n"/>
    </row>
    <row r="446">
      <c r="E446" s="27" t="n"/>
      <c r="F446" s="27" t="n"/>
      <c r="G446" s="27" t="n"/>
      <c r="H446" s="27" t="n"/>
    </row>
    <row r="447">
      <c r="E447" s="27" t="n"/>
      <c r="F447" s="27" t="n"/>
      <c r="G447" s="27" t="n"/>
      <c r="H447" s="27" t="n"/>
    </row>
    <row r="448">
      <c r="E448" s="27" t="n"/>
      <c r="F448" s="27" t="n"/>
      <c r="G448" s="27" t="n"/>
      <c r="H448" s="27" t="n"/>
    </row>
    <row r="449">
      <c r="E449" s="27" t="n"/>
      <c r="F449" s="27" t="n"/>
      <c r="G449" s="27" t="n"/>
      <c r="H449" s="27" t="n"/>
    </row>
    <row r="450">
      <c r="E450" s="27" t="n"/>
      <c r="F450" s="27" t="n"/>
      <c r="G450" s="27" t="n"/>
      <c r="H450" s="27" t="n"/>
    </row>
    <row r="451">
      <c r="E451" s="27" t="n"/>
      <c r="F451" s="27" t="n"/>
      <c r="G451" s="27" t="n"/>
      <c r="H451" s="27" t="n"/>
    </row>
    <row r="452">
      <c r="E452" s="27" t="n"/>
      <c r="F452" s="27" t="n"/>
      <c r="G452" s="27" t="n"/>
      <c r="H452" s="27" t="n"/>
    </row>
    <row r="453">
      <c r="E453" s="27" t="n"/>
      <c r="F453" s="27" t="n"/>
      <c r="G453" s="27" t="n"/>
      <c r="H453" s="27" t="n"/>
    </row>
    <row r="454">
      <c r="E454" s="27" t="n"/>
      <c r="F454" s="27" t="n"/>
      <c r="G454" s="27" t="n"/>
      <c r="H454" s="27" t="n"/>
    </row>
    <row r="455">
      <c r="E455" s="27" t="n"/>
      <c r="F455" s="27" t="n"/>
      <c r="G455" s="27" t="n"/>
      <c r="H455" s="27" t="n"/>
    </row>
    <row r="456">
      <c r="E456" s="27" t="n"/>
      <c r="F456" s="27" t="n"/>
      <c r="G456" s="27" t="n"/>
      <c r="H456" s="27" t="n"/>
    </row>
    <row r="457">
      <c r="E457" s="27" t="n"/>
      <c r="F457" s="27" t="n"/>
      <c r="G457" s="27" t="n"/>
      <c r="H457" s="27" t="n"/>
    </row>
    <row r="458">
      <c r="E458" s="27" t="n"/>
      <c r="F458" s="27" t="n"/>
      <c r="G458" s="27" t="n"/>
      <c r="H458" s="27" t="n"/>
    </row>
    <row r="459">
      <c r="E459" s="27" t="n"/>
      <c r="F459" s="27" t="n"/>
      <c r="G459" s="27" t="n"/>
      <c r="H459" s="27" t="n"/>
    </row>
    <row r="460">
      <c r="E460" s="27" t="n"/>
      <c r="F460" s="27" t="n"/>
      <c r="G460" s="27" t="n"/>
      <c r="H460" s="27" t="n"/>
    </row>
    <row r="461">
      <c r="E461" s="27" t="n"/>
      <c r="F461" s="27" t="n"/>
      <c r="G461" s="27" t="n"/>
      <c r="H461" s="27" t="n"/>
    </row>
    <row r="462">
      <c r="E462" s="27" t="n"/>
      <c r="F462" s="27" t="n"/>
      <c r="G462" s="27" t="n"/>
      <c r="H462" s="27" t="n"/>
    </row>
    <row r="463">
      <c r="E463" s="27" t="n"/>
      <c r="F463" s="27" t="n"/>
      <c r="G463" s="27" t="n"/>
      <c r="H463" s="27" t="n"/>
    </row>
    <row r="464">
      <c r="E464" s="27" t="n"/>
      <c r="F464" s="27" t="n"/>
      <c r="G464" s="27" t="n"/>
      <c r="H464" s="27" t="n"/>
    </row>
    <row r="465">
      <c r="E465" s="27" t="n"/>
      <c r="F465" s="27" t="n"/>
      <c r="G465" s="27" t="n"/>
      <c r="H465" s="27" t="n"/>
    </row>
    <row r="466">
      <c r="E466" s="27" t="n"/>
      <c r="F466" s="27" t="n"/>
      <c r="G466" s="27" t="n"/>
      <c r="H466" s="27" t="n"/>
    </row>
    <row r="467">
      <c r="E467" s="27" t="n"/>
      <c r="F467" s="27" t="n"/>
      <c r="G467" s="27" t="n"/>
      <c r="H467" s="27" t="n"/>
    </row>
    <row r="468">
      <c r="E468" s="27" t="n"/>
      <c r="F468" s="27" t="n"/>
      <c r="G468" s="27" t="n"/>
      <c r="H468" s="27" t="n"/>
    </row>
    <row r="469">
      <c r="E469" s="27" t="n"/>
      <c r="F469" s="27" t="n"/>
      <c r="G469" s="27" t="n"/>
      <c r="H469" s="27" t="n"/>
    </row>
    <row r="470">
      <c r="E470" s="27" t="n"/>
      <c r="F470" s="27" t="n"/>
      <c r="G470" s="27" t="n"/>
      <c r="H470" s="27" t="n"/>
    </row>
    <row r="471">
      <c r="E471" s="27" t="n"/>
      <c r="F471" s="27" t="n"/>
      <c r="G471" s="27" t="n"/>
      <c r="H471" s="27" t="n"/>
    </row>
    <row r="472">
      <c r="E472" s="27" t="n"/>
      <c r="F472" s="27" t="n"/>
      <c r="G472" s="27" t="n"/>
      <c r="H472" s="27" t="n"/>
    </row>
    <row r="473">
      <c r="E473" s="27" t="n"/>
      <c r="F473" s="27" t="n"/>
      <c r="G473" s="27" t="n"/>
      <c r="H473" s="27" t="n"/>
    </row>
    <row r="474">
      <c r="E474" s="27" t="n"/>
      <c r="F474" s="27" t="n"/>
      <c r="G474" s="27" t="n"/>
      <c r="H474" s="27" t="n"/>
    </row>
    <row r="475">
      <c r="E475" s="27" t="n"/>
      <c r="F475" s="27" t="n"/>
      <c r="G475" s="27" t="n"/>
      <c r="H475" s="27" t="n"/>
    </row>
    <row r="476">
      <c r="E476" s="27" t="n"/>
      <c r="F476" s="27" t="n"/>
      <c r="G476" s="27" t="n"/>
      <c r="H476" s="27" t="n"/>
    </row>
    <row r="477">
      <c r="E477" s="27" t="n"/>
      <c r="F477" s="27" t="n"/>
      <c r="G477" s="27" t="n"/>
      <c r="H477" s="27" t="n"/>
    </row>
    <row r="478">
      <c r="E478" s="27" t="n"/>
      <c r="F478" s="27" t="n"/>
      <c r="G478" s="27" t="n"/>
      <c r="H478" s="27" t="n"/>
    </row>
    <row r="479">
      <c r="E479" s="27" t="n"/>
      <c r="F479" s="27" t="n"/>
      <c r="G479" s="27" t="n"/>
      <c r="H479" s="27" t="n"/>
    </row>
    <row r="480">
      <c r="E480" s="27" t="n"/>
      <c r="F480" s="27" t="n"/>
      <c r="G480" s="27" t="n"/>
      <c r="H480" s="27" t="n"/>
    </row>
    <row r="481">
      <c r="E481" s="27" t="n"/>
      <c r="F481" s="27" t="n"/>
      <c r="G481" s="27" t="n"/>
      <c r="H481" s="27" t="n"/>
    </row>
    <row r="482">
      <c r="E482" s="27" t="n"/>
      <c r="F482" s="27" t="n"/>
      <c r="G482" s="27" t="n"/>
      <c r="H482" s="27" t="n"/>
    </row>
    <row r="483">
      <c r="E483" s="27" t="n"/>
      <c r="F483" s="27" t="n"/>
      <c r="G483" s="27" t="n"/>
      <c r="H483" s="27" t="n"/>
    </row>
    <row r="484">
      <c r="E484" s="27" t="n"/>
      <c r="F484" s="27" t="n"/>
      <c r="G484" s="27" t="n"/>
      <c r="H484" s="27" t="n"/>
    </row>
    <row r="485">
      <c r="E485" s="27" t="n"/>
      <c r="F485" s="27" t="n"/>
      <c r="G485" s="27" t="n"/>
      <c r="H485" s="27" t="n"/>
    </row>
    <row r="486">
      <c r="E486" s="27" t="n"/>
      <c r="F486" s="27" t="n"/>
      <c r="G486" s="27" t="n"/>
      <c r="H486" s="27" t="n"/>
    </row>
    <row r="487">
      <c r="E487" s="27" t="n"/>
      <c r="F487" s="27" t="n"/>
      <c r="G487" s="27" t="n"/>
      <c r="H487" s="27" t="n"/>
    </row>
    <row r="488">
      <c r="E488" s="27" t="n"/>
      <c r="F488" s="27" t="n"/>
      <c r="G488" s="27" t="n"/>
      <c r="H488" s="27" t="n"/>
    </row>
    <row r="489">
      <c r="E489" s="27" t="n"/>
      <c r="F489" s="27" t="n"/>
      <c r="G489" s="27" t="n"/>
      <c r="H489" s="27" t="n"/>
    </row>
    <row r="490">
      <c r="E490" s="27" t="n"/>
      <c r="F490" s="27" t="n"/>
      <c r="G490" s="27" t="n"/>
      <c r="H490" s="27" t="n"/>
    </row>
    <row r="491">
      <c r="E491" s="27" t="n"/>
      <c r="F491" s="27" t="n"/>
      <c r="G491" s="27" t="n"/>
      <c r="H491" s="27" t="n"/>
    </row>
    <row r="492">
      <c r="E492" s="27" t="n"/>
      <c r="F492" s="27" t="n"/>
      <c r="G492" s="27" t="n"/>
      <c r="H492" s="27" t="n"/>
    </row>
    <row r="493">
      <c r="E493" s="27" t="n"/>
      <c r="F493" s="27" t="n"/>
      <c r="G493" s="27" t="n"/>
      <c r="H493" s="27" t="n"/>
    </row>
    <row r="494">
      <c r="E494" s="27" t="n"/>
      <c r="F494" s="27" t="n"/>
      <c r="G494" s="27" t="n"/>
      <c r="H494" s="27" t="n"/>
    </row>
    <row r="495">
      <c r="E495" s="27" t="n"/>
      <c r="F495" s="27" t="n"/>
      <c r="G495" s="27" t="n"/>
      <c r="H495" s="27" t="n"/>
    </row>
    <row r="496">
      <c r="E496" s="27" t="n"/>
      <c r="F496" s="27" t="n"/>
      <c r="G496" s="27" t="n"/>
      <c r="H496" s="27" t="n"/>
    </row>
    <row r="497">
      <c r="E497" s="27" t="n"/>
      <c r="F497" s="27" t="n"/>
      <c r="G497" s="27" t="n"/>
      <c r="H497" s="27" t="n"/>
    </row>
    <row r="498">
      <c r="E498" s="27" t="n"/>
      <c r="F498" s="27" t="n"/>
      <c r="G498" s="27" t="n"/>
      <c r="H498" s="27" t="n"/>
    </row>
    <row r="499">
      <c r="E499" s="27" t="n"/>
      <c r="F499" s="27" t="n"/>
      <c r="G499" s="27" t="n"/>
      <c r="H499" s="27" t="n"/>
    </row>
    <row r="500">
      <c r="E500" s="27" t="n"/>
      <c r="F500" s="27" t="n"/>
      <c r="G500" s="27" t="n"/>
      <c r="H500" s="27" t="n"/>
    </row>
    <row r="501">
      <c r="E501" s="27" t="n"/>
      <c r="F501" s="27" t="n"/>
      <c r="G501" s="27" t="n"/>
      <c r="H501" s="27" t="n"/>
    </row>
    <row r="502">
      <c r="E502" s="27" t="n"/>
      <c r="F502" s="27" t="n"/>
      <c r="G502" s="27" t="n"/>
      <c r="H502" s="27" t="n"/>
    </row>
    <row r="503">
      <c r="E503" s="27" t="n"/>
      <c r="F503" s="27" t="n"/>
      <c r="G503" s="27" t="n"/>
      <c r="H503" s="27" t="n"/>
    </row>
    <row r="504">
      <c r="E504" s="27" t="n"/>
      <c r="F504" s="27" t="n"/>
      <c r="G504" s="27" t="n"/>
      <c r="H504" s="27" t="n"/>
    </row>
    <row r="505">
      <c r="E505" s="27" t="n"/>
      <c r="F505" s="27" t="n"/>
      <c r="G505" s="27" t="n"/>
      <c r="H505" s="27" t="n"/>
    </row>
    <row r="506">
      <c r="E506" s="27" t="n"/>
      <c r="F506" s="27" t="n"/>
      <c r="G506" s="27" t="n"/>
      <c r="H506" s="27" t="n"/>
    </row>
    <row r="507">
      <c r="E507" s="27" t="n"/>
      <c r="F507" s="27" t="n"/>
      <c r="G507" s="27" t="n"/>
      <c r="H507" s="27" t="n"/>
    </row>
    <row r="508">
      <c r="E508" s="27" t="n"/>
      <c r="F508" s="27" t="n"/>
      <c r="G508" s="27" t="n"/>
      <c r="H508" s="27" t="n"/>
    </row>
    <row r="509">
      <c r="E509" s="27" t="n"/>
      <c r="F509" s="27" t="n"/>
      <c r="G509" s="27" t="n"/>
      <c r="H509" s="27" t="n"/>
    </row>
    <row r="510">
      <c r="E510" s="27" t="n"/>
      <c r="F510" s="27" t="n"/>
      <c r="G510" s="27" t="n"/>
      <c r="H510" s="27" t="n"/>
    </row>
    <row r="511">
      <c r="E511" s="27" t="n"/>
      <c r="F511" s="27" t="n"/>
      <c r="G511" s="27" t="n"/>
      <c r="H511" s="27" t="n"/>
    </row>
    <row r="512">
      <c r="E512" s="27" t="n"/>
      <c r="F512" s="27" t="n"/>
      <c r="G512" s="27" t="n"/>
      <c r="H512" s="27" t="n"/>
    </row>
    <row r="513">
      <c r="E513" s="27" t="n"/>
      <c r="F513" s="27" t="n"/>
      <c r="G513" s="27" t="n"/>
      <c r="H513" s="27" t="n"/>
    </row>
    <row r="514">
      <c r="E514" s="27" t="n"/>
      <c r="F514" s="27" t="n"/>
      <c r="G514" s="27" t="n"/>
      <c r="H514" s="27" t="n"/>
    </row>
    <row r="515">
      <c r="E515" s="27" t="n"/>
      <c r="F515" s="27" t="n"/>
      <c r="G515" s="27" t="n"/>
      <c r="H515" s="27" t="n"/>
    </row>
    <row r="516">
      <c r="E516" s="27" t="n"/>
      <c r="F516" s="27" t="n"/>
      <c r="G516" s="27" t="n"/>
      <c r="H516" s="27" t="n"/>
    </row>
    <row r="517">
      <c r="E517" s="27" t="n"/>
      <c r="F517" s="27" t="n"/>
      <c r="G517" s="27" t="n"/>
      <c r="H517" s="27" t="n"/>
    </row>
    <row r="518">
      <c r="E518" s="27" t="n"/>
      <c r="F518" s="27" t="n"/>
      <c r="G518" s="27" t="n"/>
      <c r="H518" s="27" t="n"/>
    </row>
    <row r="519">
      <c r="E519" s="27" t="n"/>
      <c r="F519" s="27" t="n"/>
      <c r="G519" s="27" t="n"/>
      <c r="H519" s="27" t="n"/>
    </row>
    <row r="520">
      <c r="E520" s="27" t="n"/>
      <c r="F520" s="27" t="n"/>
      <c r="G520" s="27" t="n"/>
      <c r="H520" s="27" t="n"/>
    </row>
    <row r="521">
      <c r="E521" s="27" t="n"/>
      <c r="F521" s="27" t="n"/>
      <c r="G521" s="27" t="n"/>
      <c r="H521" s="27" t="n"/>
    </row>
    <row r="522">
      <c r="E522" s="27" t="n"/>
      <c r="F522" s="27" t="n"/>
      <c r="G522" s="27" t="n"/>
      <c r="H522" s="27" t="n"/>
    </row>
    <row r="523">
      <c r="E523" s="27" t="n"/>
      <c r="F523" s="27" t="n"/>
      <c r="G523" s="27" t="n"/>
      <c r="H523" s="27" t="n"/>
    </row>
    <row r="524">
      <c r="E524" s="27" t="n"/>
      <c r="F524" s="27" t="n"/>
      <c r="G524" s="27" t="n"/>
      <c r="H524" s="27" t="n"/>
    </row>
    <row r="525">
      <c r="E525" s="27" t="n"/>
      <c r="F525" s="27" t="n"/>
      <c r="G525" s="27" t="n"/>
      <c r="H525" s="27" t="n"/>
    </row>
    <row r="526">
      <c r="E526" s="27" t="n"/>
      <c r="F526" s="27" t="n"/>
      <c r="G526" s="27" t="n"/>
      <c r="H526" s="27" t="n"/>
    </row>
    <row r="527">
      <c r="E527" s="27" t="n"/>
      <c r="F527" s="27" t="n"/>
      <c r="G527" s="27" t="n"/>
      <c r="H527" s="27" t="n"/>
    </row>
    <row r="528">
      <c r="E528" s="27" t="n"/>
      <c r="F528" s="27" t="n"/>
      <c r="G528" s="27" t="n"/>
      <c r="H528" s="27" t="n"/>
    </row>
    <row r="529">
      <c r="E529" s="27" t="n"/>
      <c r="F529" s="27" t="n"/>
      <c r="G529" s="27" t="n"/>
      <c r="H529" s="27" t="n"/>
    </row>
    <row r="530">
      <c r="E530" s="27" t="n"/>
      <c r="F530" s="27" t="n"/>
      <c r="G530" s="27" t="n"/>
      <c r="H530" s="27" t="n"/>
    </row>
    <row r="531">
      <c r="E531" s="27" t="n"/>
      <c r="F531" s="27" t="n"/>
      <c r="G531" s="27" t="n"/>
      <c r="H531" s="27" t="n"/>
    </row>
    <row r="532">
      <c r="E532" s="27" t="n"/>
      <c r="F532" s="27" t="n"/>
      <c r="G532" s="27" t="n"/>
      <c r="H532" s="27" t="n"/>
    </row>
    <row r="533">
      <c r="E533" s="27" t="n"/>
      <c r="F533" s="27" t="n"/>
      <c r="G533" s="27" t="n"/>
      <c r="H533" s="27" t="n"/>
    </row>
    <row r="534">
      <c r="E534" s="27" t="n"/>
      <c r="F534" s="27" t="n"/>
      <c r="G534" s="27" t="n"/>
      <c r="H534" s="27" t="n"/>
    </row>
    <row r="535">
      <c r="E535" s="27" t="n"/>
      <c r="F535" s="27" t="n"/>
      <c r="G535" s="27" t="n"/>
      <c r="H535" s="27" t="n"/>
    </row>
    <row r="536">
      <c r="E536" s="27" t="n"/>
      <c r="F536" s="27" t="n"/>
      <c r="G536" s="27" t="n"/>
      <c r="H536" s="27" t="n"/>
    </row>
    <row r="537">
      <c r="E537" s="27" t="n"/>
      <c r="F537" s="27" t="n"/>
      <c r="G537" s="27" t="n"/>
      <c r="H537" s="27" t="n"/>
    </row>
    <row r="538">
      <c r="E538" s="27" t="n"/>
      <c r="F538" s="27" t="n"/>
      <c r="G538" s="27" t="n"/>
      <c r="H538" s="27" t="n"/>
    </row>
    <row r="539">
      <c r="E539" s="27" t="n"/>
      <c r="F539" s="27" t="n"/>
      <c r="G539" s="27" t="n"/>
      <c r="H539" s="27" t="n"/>
    </row>
    <row r="540">
      <c r="E540" s="27" t="n"/>
      <c r="F540" s="27" t="n"/>
      <c r="G540" s="27" t="n"/>
      <c r="H540" s="27" t="n"/>
    </row>
    <row r="541">
      <c r="E541" s="27" t="n"/>
      <c r="F541" s="27" t="n"/>
      <c r="G541" s="27" t="n"/>
      <c r="H541" s="27" t="n"/>
    </row>
    <row r="542">
      <c r="E542" s="27" t="n"/>
      <c r="F542" s="27" t="n"/>
      <c r="G542" s="27" t="n"/>
      <c r="H542" s="27" t="n"/>
    </row>
    <row r="543">
      <c r="E543" s="27" t="n"/>
      <c r="F543" s="27" t="n"/>
      <c r="G543" s="27" t="n"/>
      <c r="H543" s="27" t="n"/>
    </row>
    <row r="544">
      <c r="E544" s="27" t="n"/>
      <c r="F544" s="27" t="n"/>
      <c r="G544" s="27" t="n"/>
      <c r="H544" s="27" t="n"/>
    </row>
    <row r="545">
      <c r="E545" s="27" t="n"/>
      <c r="F545" s="27" t="n"/>
      <c r="G545" s="27" t="n"/>
      <c r="H545" s="27" t="n"/>
    </row>
    <row r="546">
      <c r="E546" s="27" t="n"/>
      <c r="F546" s="27" t="n"/>
      <c r="G546" s="27" t="n"/>
      <c r="H546" s="27" t="n"/>
    </row>
    <row r="547">
      <c r="E547" s="27" t="n"/>
      <c r="F547" s="27" t="n"/>
      <c r="G547" s="27" t="n"/>
      <c r="H547" s="27" t="n"/>
    </row>
    <row r="548">
      <c r="E548" s="27" t="n"/>
      <c r="F548" s="27" t="n"/>
      <c r="G548" s="27" t="n"/>
      <c r="H548" s="27" t="n"/>
    </row>
    <row r="549">
      <c r="E549" s="27" t="n"/>
      <c r="F549" s="27" t="n"/>
      <c r="G549" s="27" t="n"/>
      <c r="H549" s="27" t="n"/>
    </row>
    <row r="550">
      <c r="E550" s="27" t="n"/>
      <c r="F550" s="27" t="n"/>
      <c r="G550" s="27" t="n"/>
      <c r="H550" s="27" t="n"/>
    </row>
    <row r="551">
      <c r="E551" s="27" t="n"/>
      <c r="F551" s="27" t="n"/>
      <c r="G551" s="27" t="n"/>
      <c r="H551" s="27" t="n"/>
    </row>
    <row r="552">
      <c r="E552" s="27" t="n"/>
      <c r="F552" s="27" t="n"/>
      <c r="G552" s="27" t="n"/>
      <c r="H552" s="27" t="n"/>
    </row>
    <row r="553">
      <c r="E553" s="27" t="n"/>
      <c r="F553" s="27" t="n"/>
      <c r="G553" s="27" t="n"/>
      <c r="H553" s="27" t="n"/>
    </row>
    <row r="554">
      <c r="E554" s="27" t="n"/>
      <c r="F554" s="27" t="n"/>
      <c r="G554" s="27" t="n"/>
      <c r="H554" s="27" t="n"/>
    </row>
    <row r="555">
      <c r="E555" s="27" t="n"/>
      <c r="F555" s="27" t="n"/>
      <c r="G555" s="27" t="n"/>
      <c r="H555" s="27" t="n"/>
    </row>
    <row r="556">
      <c r="E556" s="27" t="n"/>
      <c r="F556" s="27" t="n"/>
      <c r="G556" s="27" t="n"/>
      <c r="H556" s="27" t="n"/>
    </row>
    <row r="557">
      <c r="E557" s="27" t="n"/>
      <c r="F557" s="27" t="n"/>
      <c r="G557" s="27" t="n"/>
      <c r="H557" s="27" t="n"/>
    </row>
    <row r="558">
      <c r="E558" s="27" t="n"/>
      <c r="F558" s="27" t="n"/>
      <c r="G558" s="27" t="n"/>
      <c r="H558" s="27" t="n"/>
    </row>
    <row r="559">
      <c r="E559" s="27" t="n"/>
      <c r="F559" s="27" t="n"/>
      <c r="G559" s="27" t="n"/>
      <c r="H559" s="27" t="n"/>
    </row>
    <row r="560">
      <c r="E560" s="27" t="n"/>
      <c r="F560" s="27" t="n"/>
      <c r="G560" s="27" t="n"/>
      <c r="H560" s="27" t="n"/>
    </row>
    <row r="561">
      <c r="E561" s="27" t="n"/>
      <c r="F561" s="27" t="n"/>
      <c r="G561" s="27" t="n"/>
      <c r="H561" s="27" t="n"/>
    </row>
    <row r="562">
      <c r="E562" s="27" t="n"/>
      <c r="F562" s="27" t="n"/>
      <c r="G562" s="27" t="n"/>
      <c r="H562" s="27" t="n"/>
    </row>
    <row r="563">
      <c r="E563" s="27" t="n"/>
      <c r="F563" s="27" t="n"/>
      <c r="G563" s="27" t="n"/>
      <c r="H563" s="27" t="n"/>
    </row>
    <row r="564">
      <c r="E564" s="27" t="n"/>
      <c r="F564" s="27" t="n"/>
      <c r="G564" s="27" t="n"/>
      <c r="H564" s="27" t="n"/>
    </row>
    <row r="565">
      <c r="E565" s="27" t="n"/>
      <c r="F565" s="27" t="n"/>
      <c r="G565" s="27" t="n"/>
      <c r="H565" s="27" t="n"/>
    </row>
    <row r="566">
      <c r="E566" s="27" t="n"/>
      <c r="F566" s="27" t="n"/>
      <c r="G566" s="27" t="n"/>
      <c r="H566" s="27" t="n"/>
    </row>
    <row r="567">
      <c r="E567" s="27" t="n"/>
      <c r="F567" s="27" t="n"/>
      <c r="G567" s="27" t="n"/>
      <c r="H567" s="27" t="n"/>
    </row>
    <row r="568">
      <c r="E568" s="27" t="n"/>
      <c r="F568" s="27" t="n"/>
      <c r="G568" s="27" t="n"/>
      <c r="H568" s="27" t="n"/>
    </row>
    <row r="569">
      <c r="E569" s="27" t="n"/>
      <c r="F569" s="27" t="n"/>
      <c r="G569" s="27" t="n"/>
      <c r="H569" s="27" t="n"/>
    </row>
    <row r="570">
      <c r="E570" s="27" t="n"/>
      <c r="F570" s="27" t="n"/>
      <c r="G570" s="27" t="n"/>
      <c r="H570" s="27" t="n"/>
    </row>
    <row r="571">
      <c r="E571" s="27" t="n"/>
      <c r="F571" s="27" t="n"/>
      <c r="G571" s="27" t="n"/>
      <c r="H571" s="27" t="n"/>
    </row>
    <row r="572">
      <c r="E572" s="27" t="n"/>
      <c r="F572" s="27" t="n"/>
      <c r="G572" s="27" t="n"/>
      <c r="H572" s="27" t="n"/>
    </row>
    <row r="573">
      <c r="E573" s="27" t="n"/>
      <c r="F573" s="27" t="n"/>
      <c r="G573" s="27" t="n"/>
      <c r="H573" s="27" t="n"/>
    </row>
    <row r="574">
      <c r="E574" s="27" t="n"/>
      <c r="F574" s="27" t="n"/>
      <c r="G574" s="27" t="n"/>
      <c r="H574" s="27" t="n"/>
    </row>
    <row r="575">
      <c r="E575" s="27" t="n"/>
      <c r="F575" s="27" t="n"/>
      <c r="G575" s="27" t="n"/>
      <c r="H575" s="27" t="n"/>
    </row>
    <row r="576">
      <c r="E576" s="27" t="n"/>
      <c r="F576" s="27" t="n"/>
      <c r="G576" s="27" t="n"/>
      <c r="H576" s="27" t="n"/>
    </row>
    <row r="577">
      <c r="E577" s="27" t="n"/>
      <c r="F577" s="27" t="n"/>
      <c r="G577" s="27" t="n"/>
      <c r="H577" s="27" t="n"/>
    </row>
    <row r="578">
      <c r="E578" s="27" t="n"/>
      <c r="F578" s="27" t="n"/>
      <c r="G578" s="27" t="n"/>
      <c r="H578" s="27" t="n"/>
    </row>
    <row r="579">
      <c r="E579" s="27" t="n"/>
      <c r="F579" s="27" t="n"/>
      <c r="G579" s="27" t="n"/>
      <c r="H579" s="27" t="n"/>
    </row>
    <row r="580">
      <c r="E580" s="27" t="n"/>
      <c r="F580" s="27" t="n"/>
      <c r="G580" s="27" t="n"/>
      <c r="H580" s="27" t="n"/>
    </row>
    <row r="581">
      <c r="E581" s="27" t="n"/>
      <c r="F581" s="27" t="n"/>
      <c r="G581" s="27" t="n"/>
      <c r="H581" s="27" t="n"/>
    </row>
    <row r="582">
      <c r="E582" s="27" t="n"/>
      <c r="F582" s="27" t="n"/>
      <c r="G582" s="27" t="n"/>
      <c r="H582" s="27" t="n"/>
    </row>
    <row r="583">
      <c r="E583" s="27" t="n"/>
      <c r="F583" s="27" t="n"/>
      <c r="G583" s="27" t="n"/>
      <c r="H583" s="27" t="n"/>
    </row>
    <row r="584">
      <c r="E584" s="27" t="n"/>
      <c r="F584" s="27" t="n"/>
      <c r="G584" s="27" t="n"/>
      <c r="H584" s="27" t="n"/>
    </row>
    <row r="585">
      <c r="E585" s="27" t="n"/>
      <c r="F585" s="27" t="n"/>
      <c r="G585" s="27" t="n"/>
      <c r="H585" s="27" t="n"/>
    </row>
    <row r="586">
      <c r="E586" s="27" t="n"/>
      <c r="F586" s="27" t="n"/>
      <c r="G586" s="27" t="n"/>
      <c r="H586" s="27" t="n"/>
    </row>
    <row r="587">
      <c r="E587" s="27" t="n"/>
      <c r="F587" s="27" t="n"/>
      <c r="G587" s="27" t="n"/>
      <c r="H587" s="27" t="n"/>
    </row>
    <row r="588">
      <c r="E588" s="27" t="n"/>
      <c r="F588" s="27" t="n"/>
      <c r="G588" s="27" t="n"/>
      <c r="H588" s="27" t="n"/>
    </row>
    <row r="589">
      <c r="E589" s="27" t="n"/>
      <c r="F589" s="27" t="n"/>
      <c r="G589" s="27" t="n"/>
      <c r="H589" s="27" t="n"/>
    </row>
    <row r="590">
      <c r="E590" s="27" t="n"/>
      <c r="F590" s="27" t="n"/>
      <c r="G590" s="27" t="n"/>
      <c r="H590" s="27" t="n"/>
    </row>
    <row r="591">
      <c r="E591" s="27" t="n"/>
      <c r="F591" s="27" t="n"/>
      <c r="G591" s="27" t="n"/>
      <c r="H591" s="27" t="n"/>
    </row>
    <row r="592">
      <c r="E592" s="27" t="n"/>
      <c r="F592" s="27" t="n"/>
      <c r="G592" s="27" t="n"/>
      <c r="H592" s="27" t="n"/>
    </row>
    <row r="593">
      <c r="E593" s="27" t="n"/>
      <c r="F593" s="27" t="n"/>
      <c r="G593" s="27" t="n"/>
      <c r="H593" s="27" t="n"/>
    </row>
    <row r="594">
      <c r="E594" s="27" t="n"/>
      <c r="F594" s="27" t="n"/>
      <c r="G594" s="27" t="n"/>
      <c r="H594" s="27" t="n"/>
    </row>
    <row r="595">
      <c r="E595" s="27" t="n"/>
      <c r="F595" s="27" t="n"/>
      <c r="G595" s="27" t="n"/>
      <c r="H595" s="27" t="n"/>
    </row>
    <row r="596">
      <c r="E596" s="27" t="n"/>
      <c r="F596" s="27" t="n"/>
      <c r="G596" s="27" t="n"/>
      <c r="H596" s="27" t="n"/>
    </row>
    <row r="597">
      <c r="E597" s="27" t="n"/>
      <c r="F597" s="27" t="n"/>
      <c r="G597" s="27" t="n"/>
      <c r="H597" s="27" t="n"/>
    </row>
    <row r="598">
      <c r="E598" s="27" t="n"/>
      <c r="F598" s="27" t="n"/>
      <c r="G598" s="27" t="n"/>
      <c r="H598" s="27" t="n"/>
    </row>
    <row r="599">
      <c r="E599" s="27" t="n"/>
      <c r="F599" s="27" t="n"/>
      <c r="G599" s="27" t="n"/>
      <c r="H599" s="27" t="n"/>
    </row>
    <row r="600">
      <c r="E600" s="27" t="n"/>
      <c r="F600" s="27" t="n"/>
      <c r="G600" s="27" t="n"/>
      <c r="H600" s="27" t="n"/>
    </row>
    <row r="601">
      <c r="E601" s="27" t="n"/>
      <c r="F601" s="27" t="n"/>
      <c r="G601" s="27" t="n"/>
      <c r="H601" s="27" t="n"/>
    </row>
    <row r="602">
      <c r="E602" s="27" t="n"/>
      <c r="F602" s="27" t="n"/>
      <c r="G602" s="27" t="n"/>
      <c r="H602" s="27" t="n"/>
    </row>
    <row r="603">
      <c r="E603" s="27" t="n"/>
      <c r="F603" s="27" t="n"/>
      <c r="G603" s="27" t="n"/>
      <c r="H603" s="27" t="n"/>
    </row>
    <row r="604">
      <c r="E604" s="27" t="n"/>
      <c r="F604" s="27" t="n"/>
      <c r="G604" s="27" t="n"/>
      <c r="H604" s="27" t="n"/>
    </row>
    <row r="605">
      <c r="E605" s="27" t="n"/>
      <c r="F605" s="27" t="n"/>
      <c r="G605" s="27" t="n"/>
      <c r="H605" s="27" t="n"/>
    </row>
    <row r="606">
      <c r="E606" s="27" t="n"/>
      <c r="F606" s="27" t="n"/>
      <c r="G606" s="27" t="n"/>
      <c r="H606" s="27" t="n"/>
    </row>
    <row r="607">
      <c r="E607" s="27" t="n"/>
      <c r="F607" s="27" t="n"/>
      <c r="G607" s="27" t="n"/>
      <c r="H607" s="27" t="n"/>
    </row>
    <row r="608">
      <c r="E608" s="27" t="n"/>
      <c r="F608" s="27" t="n"/>
      <c r="G608" s="27" t="n"/>
      <c r="H608" s="27" t="n"/>
    </row>
    <row r="609">
      <c r="E609" s="27" t="n"/>
      <c r="F609" s="27" t="n"/>
      <c r="G609" s="27" t="n"/>
      <c r="H609" s="27" t="n"/>
    </row>
    <row r="610">
      <c r="E610" s="27" t="n"/>
      <c r="F610" s="27" t="n"/>
      <c r="G610" s="27" t="n"/>
      <c r="H610" s="27" t="n"/>
    </row>
    <row r="611">
      <c r="E611" s="27" t="n"/>
      <c r="F611" s="27" t="n"/>
      <c r="G611" s="27" t="n"/>
      <c r="H611" s="27" t="n"/>
    </row>
    <row r="612">
      <c r="E612" s="27" t="n"/>
      <c r="F612" s="27" t="n"/>
      <c r="G612" s="27" t="n"/>
      <c r="H612" s="27" t="n"/>
    </row>
    <row r="613">
      <c r="E613" s="27" t="n"/>
      <c r="F613" s="27" t="n"/>
      <c r="G613" s="27" t="n"/>
      <c r="H613" s="27" t="n"/>
    </row>
    <row r="614">
      <c r="E614" s="27" t="n"/>
      <c r="F614" s="27" t="n"/>
      <c r="G614" s="27" t="n"/>
      <c r="H614" s="27" t="n"/>
    </row>
    <row r="615">
      <c r="E615" s="27" t="n"/>
      <c r="F615" s="27" t="n"/>
      <c r="G615" s="27" t="n"/>
      <c r="H615" s="27" t="n"/>
    </row>
    <row r="616">
      <c r="E616" s="27" t="n"/>
      <c r="F616" s="27" t="n"/>
      <c r="G616" s="27" t="n"/>
      <c r="H616" s="27" t="n"/>
    </row>
    <row r="617">
      <c r="E617" s="27" t="n"/>
      <c r="F617" s="27" t="n"/>
      <c r="G617" s="27" t="n"/>
      <c r="H617" s="27" t="n"/>
    </row>
    <row r="618">
      <c r="E618" s="27" t="n"/>
      <c r="F618" s="27" t="n"/>
      <c r="G618" s="27" t="n"/>
      <c r="H618" s="27" t="n"/>
    </row>
    <row r="619">
      <c r="E619" s="27" t="n"/>
      <c r="F619" s="27" t="n"/>
      <c r="G619" s="27" t="n"/>
      <c r="H619" s="27" t="n"/>
    </row>
    <row r="620">
      <c r="E620" s="27" t="n"/>
      <c r="F620" s="27" t="n"/>
      <c r="G620" s="27" t="n"/>
      <c r="H620" s="27" t="n"/>
    </row>
    <row r="621">
      <c r="E621" s="27" t="n"/>
      <c r="F621" s="27" t="n"/>
      <c r="G621" s="27" t="n"/>
      <c r="H621" s="27" t="n"/>
    </row>
    <row r="622">
      <c r="E622" s="27" t="n"/>
      <c r="F622" s="27" t="n"/>
      <c r="G622" s="27" t="n"/>
      <c r="H622" s="27" t="n"/>
    </row>
    <row r="623">
      <c r="E623" s="27" t="n"/>
      <c r="F623" s="27" t="n"/>
      <c r="G623" s="27" t="n"/>
      <c r="H623" s="27" t="n"/>
    </row>
    <row r="624">
      <c r="E624" s="27" t="n"/>
      <c r="F624" s="27" t="n"/>
      <c r="G624" s="27" t="n"/>
      <c r="H624" s="27" t="n"/>
    </row>
    <row r="625">
      <c r="E625" s="27" t="n"/>
      <c r="F625" s="27" t="n"/>
      <c r="G625" s="27" t="n"/>
      <c r="H625" s="27" t="n"/>
    </row>
    <row r="626">
      <c r="E626" s="27" t="n"/>
      <c r="F626" s="27" t="n"/>
      <c r="G626" s="27" t="n"/>
      <c r="H626" s="27" t="n"/>
    </row>
    <row r="627">
      <c r="E627" s="27" t="n"/>
      <c r="F627" s="27" t="n"/>
      <c r="G627" s="27" t="n"/>
      <c r="H627" s="27" t="n"/>
    </row>
    <row r="628">
      <c r="E628" s="27" t="n"/>
      <c r="F628" s="27" t="n"/>
      <c r="G628" s="27" t="n"/>
      <c r="H628" s="27" t="n"/>
    </row>
    <row r="629">
      <c r="E629" s="27" t="n"/>
      <c r="F629" s="27" t="n"/>
      <c r="G629" s="27" t="n"/>
      <c r="H629" s="27" t="n"/>
    </row>
    <row r="630">
      <c r="E630" s="27" t="n"/>
      <c r="F630" s="27" t="n"/>
      <c r="G630" s="27" t="n"/>
      <c r="H630" s="27" t="n"/>
    </row>
    <row r="631">
      <c r="E631" s="27" t="n"/>
      <c r="F631" s="27" t="n"/>
      <c r="G631" s="27" t="n"/>
      <c r="H631" s="27" t="n"/>
    </row>
    <row r="632">
      <c r="E632" s="27" t="n"/>
      <c r="F632" s="27" t="n"/>
      <c r="G632" s="27" t="n"/>
      <c r="H632" s="27" t="n"/>
    </row>
    <row r="633">
      <c r="E633" s="27" t="n"/>
      <c r="F633" s="27" t="n"/>
      <c r="G633" s="27" t="n"/>
      <c r="H633" s="27" t="n"/>
    </row>
    <row r="634">
      <c r="E634" s="27" t="n"/>
      <c r="F634" s="27" t="n"/>
      <c r="G634" s="27" t="n"/>
      <c r="H634" s="27" t="n"/>
    </row>
    <row r="635">
      <c r="E635" s="27" t="n"/>
      <c r="F635" s="27" t="n"/>
      <c r="G635" s="27" t="n"/>
      <c r="H635" s="27" t="n"/>
    </row>
    <row r="636">
      <c r="E636" s="27" t="n"/>
      <c r="F636" s="27" t="n"/>
      <c r="G636" s="27" t="n"/>
      <c r="H636" s="27" t="n"/>
    </row>
    <row r="637">
      <c r="E637" s="27" t="n"/>
      <c r="F637" s="27" t="n"/>
      <c r="G637" s="27" t="n"/>
      <c r="H637" s="27" t="n"/>
    </row>
    <row r="638">
      <c r="E638" s="27" t="n"/>
      <c r="F638" s="27" t="n"/>
      <c r="G638" s="27" t="n"/>
      <c r="H638" s="27" t="n"/>
    </row>
    <row r="639">
      <c r="E639" s="27" t="n"/>
      <c r="F639" s="27" t="n"/>
      <c r="G639" s="27" t="n"/>
      <c r="H639" s="27" t="n"/>
    </row>
    <row r="640">
      <c r="E640" s="27" t="n"/>
      <c r="F640" s="27" t="n"/>
      <c r="G640" s="27" t="n"/>
      <c r="H640" s="27" t="n"/>
    </row>
    <row r="641">
      <c r="E641" s="27" t="n"/>
      <c r="F641" s="27" t="n"/>
      <c r="G641" s="27" t="n"/>
      <c r="H641" s="27" t="n"/>
    </row>
    <row r="642">
      <c r="E642" s="27" t="n"/>
      <c r="F642" s="27" t="n"/>
      <c r="G642" s="27" t="n"/>
      <c r="H642" s="27" t="n"/>
    </row>
    <row r="643">
      <c r="E643" s="27" t="n"/>
      <c r="F643" s="27" t="n"/>
      <c r="G643" s="27" t="n"/>
      <c r="H643" s="27" t="n"/>
    </row>
    <row r="644">
      <c r="E644" s="27" t="n"/>
      <c r="F644" s="27" t="n"/>
      <c r="G644" s="27" t="n"/>
      <c r="H644" s="27" t="n"/>
    </row>
    <row r="645">
      <c r="E645" s="27" t="n"/>
      <c r="F645" s="27" t="n"/>
      <c r="G645" s="27" t="n"/>
      <c r="H645" s="27" t="n"/>
    </row>
    <row r="646">
      <c r="E646" s="27" t="n"/>
      <c r="F646" s="27" t="n"/>
      <c r="G646" s="27" t="n"/>
      <c r="H646" s="27" t="n"/>
    </row>
    <row r="647">
      <c r="E647" s="27" t="n"/>
      <c r="F647" s="27" t="n"/>
      <c r="G647" s="27" t="n"/>
      <c r="H647" s="27" t="n"/>
    </row>
    <row r="648">
      <c r="E648" s="27" t="n"/>
      <c r="F648" s="27" t="n"/>
      <c r="G648" s="27" t="n"/>
      <c r="H648" s="27" t="n"/>
    </row>
    <row r="649">
      <c r="E649" s="27" t="n"/>
      <c r="F649" s="27" t="n"/>
      <c r="G649" s="27" t="n"/>
      <c r="H649" s="27" t="n"/>
    </row>
    <row r="650">
      <c r="E650" s="27" t="n"/>
      <c r="F650" s="27" t="n"/>
      <c r="G650" s="27" t="n"/>
      <c r="H650" s="27" t="n"/>
    </row>
    <row r="651">
      <c r="E651" s="27" t="n"/>
      <c r="F651" s="27" t="n"/>
      <c r="G651" s="27" t="n"/>
      <c r="H651" s="27" t="n"/>
    </row>
    <row r="652">
      <c r="E652" s="27" t="n"/>
      <c r="F652" s="27" t="n"/>
      <c r="G652" s="27" t="n"/>
      <c r="H652" s="27" t="n"/>
    </row>
    <row r="653">
      <c r="E653" s="27" t="n"/>
      <c r="F653" s="27" t="n"/>
      <c r="G653" s="27" t="n"/>
      <c r="H653" s="27" t="n"/>
    </row>
    <row r="654">
      <c r="E654" s="27" t="n"/>
      <c r="F654" s="27" t="n"/>
      <c r="G654" s="27" t="n"/>
      <c r="H654" s="27" t="n"/>
    </row>
    <row r="655">
      <c r="E655" s="27" t="n"/>
      <c r="F655" s="27" t="n"/>
      <c r="G655" s="27" t="n"/>
      <c r="H655" s="27" t="n"/>
    </row>
    <row r="656">
      <c r="E656" s="27" t="n"/>
      <c r="F656" s="27" t="n"/>
      <c r="G656" s="27" t="n"/>
      <c r="H656" s="27" t="n"/>
    </row>
    <row r="657">
      <c r="E657" s="27" t="n"/>
      <c r="F657" s="27" t="n"/>
      <c r="G657" s="27" t="n"/>
      <c r="H657" s="27" t="n"/>
    </row>
    <row r="658">
      <c r="E658" s="27" t="n"/>
      <c r="F658" s="27" t="n"/>
      <c r="G658" s="27" t="n"/>
      <c r="H658" s="27" t="n"/>
    </row>
    <row r="659">
      <c r="E659" s="27" t="n"/>
      <c r="F659" s="27" t="n"/>
      <c r="G659" s="27" t="n"/>
      <c r="H659" s="27" t="n"/>
    </row>
    <row r="660">
      <c r="E660" s="27" t="n"/>
      <c r="F660" s="27" t="n"/>
      <c r="G660" s="27" t="n"/>
      <c r="H660" s="27" t="n"/>
    </row>
    <row r="661">
      <c r="E661" s="27" t="n"/>
      <c r="F661" s="27" t="n"/>
      <c r="G661" s="27" t="n"/>
      <c r="H661" s="27" t="n"/>
    </row>
    <row r="662">
      <c r="E662" s="27" t="n"/>
      <c r="F662" s="27" t="n"/>
      <c r="G662" s="27" t="n"/>
      <c r="H662" s="27" t="n"/>
    </row>
    <row r="663">
      <c r="E663" s="27" t="n"/>
      <c r="F663" s="27" t="n"/>
      <c r="G663" s="27" t="n"/>
      <c r="H663" s="27" t="n"/>
    </row>
    <row r="664">
      <c r="E664" s="27" t="n"/>
      <c r="F664" s="27" t="n"/>
      <c r="G664" s="27" t="n"/>
      <c r="H664" s="27" t="n"/>
    </row>
    <row r="665">
      <c r="E665" s="27" t="n"/>
      <c r="F665" s="27" t="n"/>
      <c r="G665" s="27" t="n"/>
      <c r="H665" s="27" t="n"/>
    </row>
    <row r="666">
      <c r="E666" s="27" t="n"/>
      <c r="F666" s="27" t="n"/>
      <c r="G666" s="27" t="n"/>
      <c r="H666" s="27" t="n"/>
    </row>
    <row r="667">
      <c r="E667" s="27" t="n"/>
      <c r="F667" s="27" t="n"/>
      <c r="G667" s="27" t="n"/>
      <c r="H667" s="27" t="n"/>
    </row>
    <row r="668">
      <c r="E668" s="27" t="n"/>
      <c r="F668" s="27" t="n"/>
      <c r="G668" s="27" t="n"/>
      <c r="H668" s="27" t="n"/>
    </row>
    <row r="669">
      <c r="E669" s="27" t="n"/>
      <c r="F669" s="27" t="n"/>
      <c r="G669" s="27" t="n"/>
      <c r="H669" s="27" t="n"/>
    </row>
    <row r="670">
      <c r="E670" s="27" t="n"/>
      <c r="F670" s="27" t="n"/>
      <c r="G670" s="27" t="n"/>
      <c r="H670" s="27" t="n"/>
    </row>
    <row r="671">
      <c r="E671" s="27" t="n"/>
      <c r="F671" s="27" t="n"/>
      <c r="G671" s="27" t="n"/>
      <c r="H671" s="27" t="n"/>
    </row>
    <row r="672">
      <c r="E672" s="27" t="n"/>
      <c r="F672" s="27" t="n"/>
      <c r="G672" s="27" t="n"/>
      <c r="H672" s="27" t="n"/>
    </row>
    <row r="673">
      <c r="E673" s="27" t="n"/>
      <c r="F673" s="27" t="n"/>
      <c r="G673" s="27" t="n"/>
      <c r="H673" s="27" t="n"/>
    </row>
    <row r="674">
      <c r="E674" s="27" t="n"/>
      <c r="F674" s="27" t="n"/>
      <c r="G674" s="27" t="n"/>
      <c r="H674" s="27" t="n"/>
    </row>
    <row r="675">
      <c r="E675" s="27" t="n"/>
      <c r="F675" s="27" t="n"/>
      <c r="G675" s="27" t="n"/>
      <c r="H675" s="27" t="n"/>
    </row>
    <row r="676">
      <c r="E676" s="27" t="n"/>
      <c r="F676" s="27" t="n"/>
      <c r="G676" s="27" t="n"/>
      <c r="H676" s="27" t="n"/>
    </row>
    <row r="677">
      <c r="E677" s="27" t="n"/>
      <c r="F677" s="27" t="n"/>
      <c r="G677" s="27" t="n"/>
      <c r="H677" s="27" t="n"/>
    </row>
    <row r="678">
      <c r="E678" s="27" t="n"/>
      <c r="F678" s="27" t="n"/>
      <c r="G678" s="27" t="n"/>
      <c r="H678" s="27" t="n"/>
    </row>
    <row r="679">
      <c r="E679" s="27" t="n"/>
      <c r="F679" s="27" t="n"/>
      <c r="G679" s="27" t="n"/>
      <c r="H679" s="27" t="n"/>
    </row>
    <row r="680">
      <c r="E680" s="27" t="n"/>
      <c r="F680" s="27" t="n"/>
      <c r="G680" s="27" t="n"/>
      <c r="H680" s="27" t="n"/>
    </row>
    <row r="681">
      <c r="E681" s="27" t="n"/>
      <c r="F681" s="27" t="n"/>
      <c r="G681" s="27" t="n"/>
      <c r="H681" s="27" t="n"/>
    </row>
    <row r="682">
      <c r="E682" s="27" t="n"/>
      <c r="F682" s="27" t="n"/>
      <c r="G682" s="27" t="n"/>
      <c r="H682" s="27" t="n"/>
    </row>
    <row r="683">
      <c r="E683" s="27" t="n"/>
      <c r="F683" s="27" t="n"/>
      <c r="G683" s="27" t="n"/>
      <c r="H683" s="27" t="n"/>
    </row>
    <row r="684">
      <c r="E684" s="27" t="n"/>
      <c r="F684" s="27" t="n"/>
      <c r="G684" s="27" t="n"/>
      <c r="H684" s="27" t="n"/>
    </row>
    <row r="685">
      <c r="E685" s="27" t="n"/>
      <c r="F685" s="27" t="n"/>
      <c r="G685" s="27" t="n"/>
      <c r="H685" s="27" t="n"/>
    </row>
    <row r="686">
      <c r="E686" s="27" t="n"/>
      <c r="F686" s="27" t="n"/>
      <c r="G686" s="27" t="n"/>
      <c r="H686" s="27" t="n"/>
    </row>
    <row r="687">
      <c r="E687" s="27" t="n"/>
      <c r="F687" s="27" t="n"/>
      <c r="G687" s="27" t="n"/>
      <c r="H687" s="27" t="n"/>
    </row>
    <row r="688">
      <c r="E688" s="27" t="n"/>
      <c r="F688" s="27" t="n"/>
      <c r="G688" s="27" t="n"/>
      <c r="H688" s="27" t="n"/>
    </row>
    <row r="689">
      <c r="E689" s="27" t="n"/>
      <c r="F689" s="27" t="n"/>
      <c r="G689" s="27" t="n"/>
      <c r="H689" s="27" t="n"/>
    </row>
    <row r="690">
      <c r="E690" s="27" t="n"/>
      <c r="F690" s="27" t="n"/>
      <c r="G690" s="27" t="n"/>
      <c r="H690" s="27" t="n"/>
    </row>
    <row r="691">
      <c r="E691" s="27" t="n"/>
      <c r="F691" s="27" t="n"/>
      <c r="G691" s="27" t="n"/>
      <c r="H691" s="27" t="n"/>
    </row>
    <row r="692">
      <c r="E692" s="27" t="n"/>
      <c r="F692" s="27" t="n"/>
      <c r="G692" s="27" t="n"/>
      <c r="H692" s="27" t="n"/>
    </row>
    <row r="693">
      <c r="E693" s="27" t="n"/>
      <c r="F693" s="27" t="n"/>
      <c r="G693" s="27" t="n"/>
      <c r="H693" s="27" t="n"/>
    </row>
    <row r="694">
      <c r="E694" s="27" t="n"/>
      <c r="F694" s="27" t="n"/>
      <c r="G694" s="27" t="n"/>
      <c r="H694" s="27" t="n"/>
    </row>
    <row r="695">
      <c r="E695" s="27" t="n"/>
      <c r="F695" s="27" t="n"/>
      <c r="G695" s="27" t="n"/>
      <c r="H695" s="27" t="n"/>
    </row>
    <row r="696">
      <c r="E696" s="27" t="n"/>
      <c r="F696" s="27" t="n"/>
      <c r="G696" s="27" t="n"/>
      <c r="H696" s="27" t="n"/>
    </row>
    <row r="697">
      <c r="E697" s="27" t="n"/>
      <c r="F697" s="27" t="n"/>
      <c r="G697" s="27" t="n"/>
      <c r="H697" s="27" t="n"/>
    </row>
    <row r="698">
      <c r="E698" s="27" t="n"/>
      <c r="F698" s="27" t="n"/>
      <c r="G698" s="27" t="n"/>
      <c r="H698" s="27" t="n"/>
    </row>
    <row r="699">
      <c r="E699" s="27" t="n"/>
      <c r="F699" s="27" t="n"/>
      <c r="G699" s="27" t="n"/>
      <c r="H699" s="27" t="n"/>
    </row>
    <row r="700">
      <c r="E700" s="27" t="n"/>
      <c r="F700" s="27" t="n"/>
      <c r="G700" s="27" t="n"/>
      <c r="H700" s="27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  <dataValidation sqref="K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1" t="inlineStr">
        <is>
          <t>Task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  <c r="J2" s="18" t="inlineStr">
        <is>
          <t>Module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10" t="inlineStr">
        <is>
          <t>Dependency</t>
        </is>
      </c>
      <c r="L4" s="10" t="inlineStr">
        <is>
          <t>Completion %</t>
        </is>
      </c>
      <c r="M4" s="10" t="inlineStr">
        <is>
          <t>Delay Days</t>
        </is>
      </c>
      <c r="N4" s="10" t="inlineStr">
        <is>
          <t>Remarks</t>
        </is>
      </c>
    </row>
    <row r="5">
      <c r="A5" s="15">
        <f>IFERROR(FILTER('Data - Task Tracker'!A2:N600,('Data - Task Tracker'!$A$2:$A$600&lt;&gt;"")*(IF(C2="All",TRUE,'Data - Task Tracker'!$B$2:$B$600=C2))*(IF(E2="All",TRUE,'Data - Task Tracker'!$I$2:$I$600=E2))*(IF(G2="All",TRUE,'Data - Task Tracker'!$J$2:$J$600=G2))*(IF(I2="All",TRUE,'Data - Task Tracker'!$E$2:$E$600=I2))*(IF(K2="All",TRUE,'Data - Task Tracker'!$C$2:$C$600=K2))),"No matching records")</f>
        <v/>
      </c>
      <c r="B5" s="15" t="n"/>
      <c r="C5" s="15" t="n"/>
      <c r="D5" s="15" t="n"/>
      <c r="E5" s="15" t="n"/>
      <c r="F5" s="16" t="n"/>
      <c r="G5" s="16" t="n"/>
      <c r="H5" s="16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6" t="n"/>
      <c r="G6" s="16" t="n"/>
      <c r="H6" s="16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6" t="n"/>
      <c r="G7" s="16" t="n"/>
      <c r="H7" s="16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6" t="n"/>
      <c r="G8" s="16" t="n"/>
      <c r="H8" s="16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6" t="n"/>
      <c r="G9" s="16" t="n"/>
      <c r="H9" s="16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6" t="n"/>
      <c r="G10" s="16" t="n"/>
      <c r="H10" s="16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6" t="n"/>
      <c r="G11" s="16" t="n"/>
      <c r="H11" s="16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6" t="n"/>
      <c r="G12" s="16" t="n"/>
      <c r="H12" s="16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6" t="n"/>
      <c r="G13" s="16" t="n"/>
      <c r="H13" s="16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6" t="n"/>
      <c r="G14" s="16" t="n"/>
      <c r="H14" s="16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6" t="n"/>
      <c r="G15" s="16" t="n"/>
      <c r="H15" s="16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6" t="n"/>
      <c r="G16" s="16" t="n"/>
      <c r="H16" s="16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6" t="n"/>
      <c r="G17" s="16" t="n"/>
      <c r="H17" s="16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6" t="n"/>
      <c r="G18" s="16" t="n"/>
      <c r="H18" s="16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6" t="n"/>
      <c r="G19" s="16" t="n"/>
      <c r="H19" s="16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6" t="n"/>
      <c r="G20" s="16" t="n"/>
      <c r="H20" s="16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6" t="n"/>
      <c r="G21" s="16" t="n"/>
      <c r="H21" s="16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6" t="n"/>
      <c r="G22" s="16" t="n"/>
      <c r="H22" s="16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6" t="n"/>
      <c r="G23" s="16" t="n"/>
      <c r="H23" s="16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6" t="n"/>
      <c r="G24" s="16" t="n"/>
      <c r="H24" s="16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6" t="n"/>
      <c r="G25" s="16" t="n"/>
      <c r="H25" s="16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6" t="n"/>
      <c r="G26" s="16" t="n"/>
      <c r="H26" s="16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6" t="n"/>
      <c r="G27" s="16" t="n"/>
      <c r="H27" s="16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6" t="n"/>
      <c r="G28" s="16" t="n"/>
      <c r="H28" s="16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6" t="n"/>
      <c r="G29" s="16" t="n"/>
      <c r="H29" s="16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6" t="n"/>
      <c r="G30" s="16" t="n"/>
      <c r="H30" s="16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6" t="n"/>
      <c r="G31" s="16" t="n"/>
      <c r="H31" s="16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6" t="n"/>
      <c r="G32" s="16" t="n"/>
      <c r="H32" s="16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6" t="n"/>
      <c r="G33" s="16" t="n"/>
      <c r="H33" s="16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6" t="n"/>
      <c r="G34" s="16" t="n"/>
      <c r="H34" s="16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6" t="n"/>
      <c r="G35" s="16" t="n"/>
      <c r="H35" s="16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6" t="n"/>
      <c r="G36" s="16" t="n"/>
      <c r="H36" s="16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6" t="n"/>
      <c r="G37" s="16" t="n"/>
      <c r="H37" s="16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6" t="n"/>
      <c r="G38" s="16" t="n"/>
      <c r="H38" s="16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6" t="n"/>
      <c r="G39" s="16" t="n"/>
      <c r="H39" s="16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6" t="n"/>
      <c r="G40" s="16" t="n"/>
      <c r="H40" s="16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6" t="n"/>
      <c r="G41" s="16" t="n"/>
      <c r="H41" s="16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6" t="n"/>
      <c r="G42" s="16" t="n"/>
      <c r="H42" s="16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6" t="n"/>
      <c r="G43" s="16" t="n"/>
      <c r="H43" s="16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6" t="n"/>
      <c r="G44" s="16" t="n"/>
      <c r="H44" s="16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6" t="n"/>
      <c r="G45" s="16" t="n"/>
      <c r="H45" s="16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6" t="n"/>
      <c r="G46" s="16" t="n"/>
      <c r="H46" s="16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6" t="n"/>
      <c r="G47" s="16" t="n"/>
      <c r="H47" s="16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6" t="n"/>
      <c r="G48" s="16" t="n"/>
      <c r="H48" s="16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6" t="n"/>
      <c r="G49" s="16" t="n"/>
      <c r="H49" s="16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6" t="n"/>
      <c r="G50" s="16" t="n"/>
      <c r="H50" s="16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6" t="n"/>
      <c r="G51" s="16" t="n"/>
      <c r="H51" s="16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6" t="n"/>
      <c r="G52" s="16" t="n"/>
      <c r="H52" s="16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6" t="n"/>
      <c r="G53" s="16" t="n"/>
      <c r="H53" s="16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6" t="n"/>
      <c r="G54" s="16" t="n"/>
      <c r="H54" s="16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6" t="n"/>
      <c r="G55" s="16" t="n"/>
      <c r="H55" s="16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6" t="n"/>
      <c r="G56" s="16" t="n"/>
      <c r="H56" s="16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6" t="n"/>
      <c r="G57" s="16" t="n"/>
      <c r="H57" s="16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6" t="n"/>
      <c r="G58" s="16" t="n"/>
      <c r="H58" s="16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6" t="n"/>
      <c r="G59" s="16" t="n"/>
      <c r="H59" s="16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6" t="n"/>
      <c r="G60" s="16" t="n"/>
      <c r="H60" s="16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6" t="n"/>
      <c r="G61" s="16" t="n"/>
      <c r="H61" s="16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6" t="n"/>
      <c r="G62" s="16" t="n"/>
      <c r="H62" s="16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6" t="n"/>
      <c r="G63" s="16" t="n"/>
      <c r="H63" s="16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6" t="n"/>
      <c r="G64" s="16" t="n"/>
      <c r="H64" s="16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6" t="n"/>
      <c r="G65" s="16" t="n"/>
      <c r="H65" s="16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6" t="n"/>
      <c r="G66" s="16" t="n"/>
      <c r="H66" s="16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6" t="n"/>
      <c r="G67" s="16" t="n"/>
      <c r="H67" s="16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6" t="n"/>
      <c r="G68" s="16" t="n"/>
      <c r="H68" s="16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6" t="n"/>
      <c r="G69" s="16" t="n"/>
      <c r="H69" s="16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6" t="n"/>
      <c r="G70" s="16" t="n"/>
      <c r="H70" s="16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6" t="n"/>
      <c r="G71" s="16" t="n"/>
      <c r="H71" s="16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6" t="n"/>
      <c r="G72" s="16" t="n"/>
      <c r="H72" s="16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6" t="n"/>
      <c r="G73" s="16" t="n"/>
      <c r="H73" s="16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6" t="n"/>
      <c r="G74" s="16" t="n"/>
      <c r="H74" s="16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6" t="n"/>
      <c r="G75" s="16" t="n"/>
      <c r="H75" s="16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6" t="n"/>
      <c r="G76" s="16" t="n"/>
      <c r="H76" s="16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6" t="n"/>
      <c r="G77" s="16" t="n"/>
      <c r="H77" s="16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6" t="n"/>
      <c r="G78" s="16" t="n"/>
      <c r="H78" s="16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6" t="n"/>
      <c r="G79" s="16" t="n"/>
      <c r="H79" s="16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6" t="n"/>
      <c r="G80" s="16" t="n"/>
      <c r="H80" s="16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6" t="n"/>
      <c r="G81" s="16" t="n"/>
      <c r="H81" s="16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6" t="n"/>
      <c r="G82" s="16" t="n"/>
      <c r="H82" s="16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6" t="n"/>
      <c r="G83" s="16" t="n"/>
      <c r="H83" s="16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6" t="n"/>
      <c r="G84" s="16" t="n"/>
      <c r="H84" s="16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6" t="n"/>
      <c r="G85" s="16" t="n"/>
      <c r="H85" s="16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6" t="n"/>
      <c r="G86" s="16" t="n"/>
      <c r="H86" s="16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6" t="n"/>
      <c r="G87" s="16" t="n"/>
      <c r="H87" s="16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6" t="n"/>
      <c r="G88" s="16" t="n"/>
      <c r="H88" s="16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6" t="n"/>
      <c r="G89" s="16" t="n"/>
      <c r="H89" s="16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6" t="n"/>
      <c r="G90" s="16" t="n"/>
      <c r="H90" s="16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6" t="n"/>
      <c r="G91" s="16" t="n"/>
      <c r="H91" s="16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6" t="n"/>
      <c r="G92" s="16" t="n"/>
      <c r="H92" s="16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6" t="n"/>
      <c r="G93" s="16" t="n"/>
      <c r="H93" s="16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6" t="n"/>
      <c r="G94" s="16" t="n"/>
      <c r="H94" s="16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6" t="n"/>
      <c r="G95" s="16" t="n"/>
      <c r="H95" s="16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6" t="n"/>
      <c r="G96" s="16" t="n"/>
      <c r="H96" s="16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6" t="n"/>
      <c r="G97" s="16" t="n"/>
      <c r="H97" s="16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6" t="n"/>
      <c r="G98" s="16" t="n"/>
      <c r="H98" s="16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6" t="n"/>
      <c r="G99" s="16" t="n"/>
      <c r="H99" s="16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6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6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6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6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6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6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6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6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6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6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6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6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6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6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6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6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6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6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6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6" t="n"/>
      <c r="I119" s="15" t="n"/>
      <c r="J119" s="15" t="n"/>
      <c r="K119" s="15" t="n"/>
      <c r="L119" s="15" t="n"/>
      <c r="M119" s="15" t="n"/>
      <c r="N119" s="15" t="n"/>
    </row>
    <row r="120">
      <c r="F120" s="27" t="n"/>
      <c r="G120" s="27" t="n"/>
      <c r="H120" s="27" t="n"/>
    </row>
    <row r="121">
      <c r="F121" s="27" t="n"/>
      <c r="G121" s="27" t="n"/>
      <c r="H121" s="27" t="n"/>
    </row>
    <row r="122">
      <c r="F122" s="27" t="n"/>
      <c r="G122" s="27" t="n"/>
      <c r="H122" s="27" t="n"/>
    </row>
    <row r="123">
      <c r="F123" s="27" t="n"/>
      <c r="G123" s="27" t="n"/>
      <c r="H123" s="27" t="n"/>
    </row>
    <row r="124">
      <c r="F124" s="27" t="n"/>
      <c r="G124" s="27" t="n"/>
      <c r="H124" s="27" t="n"/>
    </row>
    <row r="125">
      <c r="F125" s="27" t="n"/>
      <c r="G125" s="27" t="n"/>
      <c r="H125" s="27" t="n"/>
    </row>
    <row r="126">
      <c r="F126" s="27" t="n"/>
      <c r="G126" s="27" t="n"/>
      <c r="H126" s="27" t="n"/>
    </row>
    <row r="127">
      <c r="F127" s="27" t="n"/>
      <c r="G127" s="27" t="n"/>
      <c r="H127" s="27" t="n"/>
    </row>
    <row r="128">
      <c r="F128" s="27" t="n"/>
      <c r="G128" s="27" t="n"/>
      <c r="H128" s="27" t="n"/>
    </row>
    <row r="129">
      <c r="F129" s="27" t="n"/>
      <c r="G129" s="27" t="n"/>
      <c r="H129" s="27" t="n"/>
    </row>
    <row r="130">
      <c r="F130" s="27" t="n"/>
      <c r="G130" s="27" t="n"/>
      <c r="H130" s="27" t="n"/>
    </row>
    <row r="131">
      <c r="F131" s="27" t="n"/>
      <c r="G131" s="27" t="n"/>
      <c r="H131" s="27" t="n"/>
    </row>
    <row r="132">
      <c r="F132" s="27" t="n"/>
      <c r="G132" s="27" t="n"/>
      <c r="H132" s="27" t="n"/>
    </row>
    <row r="133">
      <c r="F133" s="27" t="n"/>
      <c r="G133" s="27" t="n"/>
      <c r="H133" s="27" t="n"/>
    </row>
    <row r="134">
      <c r="F134" s="27" t="n"/>
      <c r="G134" s="27" t="n"/>
      <c r="H134" s="27" t="n"/>
    </row>
    <row r="135">
      <c r="F135" s="27" t="n"/>
      <c r="G135" s="27" t="n"/>
      <c r="H135" s="27" t="n"/>
    </row>
    <row r="136">
      <c r="F136" s="27" t="n"/>
      <c r="G136" s="27" t="n"/>
      <c r="H136" s="27" t="n"/>
    </row>
    <row r="137">
      <c r="F137" s="27" t="n"/>
      <c r="G137" s="27" t="n"/>
      <c r="H137" s="27" t="n"/>
    </row>
    <row r="138">
      <c r="F138" s="27" t="n"/>
      <c r="G138" s="27" t="n"/>
      <c r="H138" s="27" t="n"/>
    </row>
    <row r="139">
      <c r="F139" s="27" t="n"/>
      <c r="G139" s="27" t="n"/>
      <c r="H139" s="27" t="n"/>
    </row>
    <row r="140">
      <c r="F140" s="27" t="n"/>
      <c r="G140" s="27" t="n"/>
      <c r="H140" s="27" t="n"/>
    </row>
    <row r="141">
      <c r="F141" s="27" t="n"/>
      <c r="G141" s="27" t="n"/>
      <c r="H141" s="27" t="n"/>
    </row>
    <row r="142">
      <c r="F142" s="27" t="n"/>
      <c r="G142" s="27" t="n"/>
      <c r="H142" s="27" t="n"/>
    </row>
    <row r="143">
      <c r="F143" s="27" t="n"/>
      <c r="G143" s="27" t="n"/>
      <c r="H143" s="27" t="n"/>
    </row>
    <row r="144">
      <c r="F144" s="27" t="n"/>
      <c r="G144" s="27" t="n"/>
      <c r="H144" s="27" t="n"/>
    </row>
    <row r="145">
      <c r="F145" s="27" t="n"/>
      <c r="G145" s="27" t="n"/>
      <c r="H145" s="27" t="n"/>
    </row>
    <row r="146">
      <c r="F146" s="27" t="n"/>
      <c r="G146" s="27" t="n"/>
      <c r="H146" s="27" t="n"/>
    </row>
    <row r="147">
      <c r="F147" s="27" t="n"/>
      <c r="G147" s="27" t="n"/>
      <c r="H147" s="27" t="n"/>
    </row>
    <row r="148">
      <c r="F148" s="27" t="n"/>
      <c r="G148" s="27" t="n"/>
      <c r="H148" s="27" t="n"/>
    </row>
    <row r="149">
      <c r="F149" s="27" t="n"/>
      <c r="G149" s="27" t="n"/>
      <c r="H149" s="27" t="n"/>
    </row>
    <row r="150">
      <c r="F150" s="27" t="n"/>
      <c r="G150" s="27" t="n"/>
      <c r="H150" s="27" t="n"/>
    </row>
    <row r="151">
      <c r="F151" s="27" t="n"/>
      <c r="G151" s="27" t="n"/>
      <c r="H151" s="27" t="n"/>
    </row>
    <row r="152">
      <c r="F152" s="27" t="n"/>
      <c r="G152" s="27" t="n"/>
      <c r="H152" s="27" t="n"/>
    </row>
    <row r="153">
      <c r="F153" s="27" t="n"/>
      <c r="G153" s="27" t="n"/>
      <c r="H153" s="27" t="n"/>
    </row>
    <row r="154">
      <c r="F154" s="27" t="n"/>
      <c r="G154" s="27" t="n"/>
      <c r="H154" s="27" t="n"/>
    </row>
    <row r="155">
      <c r="F155" s="27" t="n"/>
      <c r="G155" s="27" t="n"/>
      <c r="H155" s="27" t="n"/>
    </row>
    <row r="156">
      <c r="F156" s="27" t="n"/>
      <c r="G156" s="27" t="n"/>
      <c r="H156" s="27" t="n"/>
    </row>
    <row r="157">
      <c r="F157" s="27" t="n"/>
      <c r="G157" s="27" t="n"/>
      <c r="H157" s="27" t="n"/>
    </row>
    <row r="158">
      <c r="F158" s="27" t="n"/>
      <c r="G158" s="27" t="n"/>
      <c r="H158" s="27" t="n"/>
    </row>
    <row r="159">
      <c r="F159" s="27" t="n"/>
      <c r="G159" s="27" t="n"/>
      <c r="H159" s="27" t="n"/>
    </row>
    <row r="160">
      <c r="F160" s="27" t="n"/>
      <c r="G160" s="27" t="n"/>
      <c r="H160" s="27" t="n"/>
    </row>
    <row r="161">
      <c r="F161" s="27" t="n"/>
      <c r="G161" s="27" t="n"/>
      <c r="H161" s="27" t="n"/>
    </row>
    <row r="162">
      <c r="F162" s="27" t="n"/>
      <c r="G162" s="27" t="n"/>
      <c r="H162" s="27" t="n"/>
    </row>
    <row r="163">
      <c r="F163" s="27" t="n"/>
      <c r="G163" s="27" t="n"/>
      <c r="H163" s="27" t="n"/>
    </row>
    <row r="164">
      <c r="F164" s="27" t="n"/>
      <c r="G164" s="27" t="n"/>
      <c r="H164" s="27" t="n"/>
    </row>
    <row r="165">
      <c r="F165" s="27" t="n"/>
      <c r="G165" s="27" t="n"/>
      <c r="H165" s="27" t="n"/>
    </row>
    <row r="166">
      <c r="F166" s="27" t="n"/>
      <c r="G166" s="27" t="n"/>
      <c r="H166" s="27" t="n"/>
    </row>
    <row r="167">
      <c r="F167" s="27" t="n"/>
      <c r="G167" s="27" t="n"/>
      <c r="H167" s="27" t="n"/>
    </row>
    <row r="168">
      <c r="F168" s="27" t="n"/>
      <c r="G168" s="27" t="n"/>
      <c r="H168" s="27" t="n"/>
    </row>
    <row r="169">
      <c r="F169" s="27" t="n"/>
      <c r="G169" s="27" t="n"/>
      <c r="H169" s="27" t="n"/>
    </row>
    <row r="170">
      <c r="F170" s="27" t="n"/>
      <c r="G170" s="27" t="n"/>
      <c r="H170" s="27" t="n"/>
    </row>
    <row r="171">
      <c r="F171" s="27" t="n"/>
      <c r="G171" s="27" t="n"/>
      <c r="H171" s="27" t="n"/>
    </row>
    <row r="172">
      <c r="F172" s="27" t="n"/>
      <c r="G172" s="27" t="n"/>
      <c r="H172" s="27" t="n"/>
    </row>
    <row r="173">
      <c r="F173" s="27" t="n"/>
      <c r="G173" s="27" t="n"/>
      <c r="H173" s="27" t="n"/>
    </row>
    <row r="174">
      <c r="F174" s="27" t="n"/>
      <c r="G174" s="27" t="n"/>
      <c r="H174" s="27" t="n"/>
    </row>
    <row r="175">
      <c r="F175" s="27" t="n"/>
      <c r="G175" s="27" t="n"/>
      <c r="H175" s="27" t="n"/>
    </row>
    <row r="176">
      <c r="F176" s="27" t="n"/>
      <c r="G176" s="27" t="n"/>
      <c r="H176" s="27" t="n"/>
    </row>
    <row r="177">
      <c r="F177" s="27" t="n"/>
      <c r="G177" s="27" t="n"/>
      <c r="H177" s="27" t="n"/>
    </row>
    <row r="178">
      <c r="F178" s="27" t="n"/>
      <c r="G178" s="27" t="n"/>
      <c r="H178" s="27" t="n"/>
    </row>
    <row r="179">
      <c r="F179" s="27" t="n"/>
      <c r="G179" s="27" t="n"/>
      <c r="H179" s="27" t="n"/>
    </row>
    <row r="180">
      <c r="F180" s="27" t="n"/>
      <c r="G180" s="27" t="n"/>
      <c r="H180" s="27" t="n"/>
    </row>
    <row r="181">
      <c r="F181" s="27" t="n"/>
      <c r="G181" s="27" t="n"/>
      <c r="H181" s="27" t="n"/>
    </row>
    <row r="182">
      <c r="F182" s="27" t="n"/>
      <c r="G182" s="27" t="n"/>
      <c r="H182" s="27" t="n"/>
    </row>
    <row r="183">
      <c r="F183" s="27" t="n"/>
      <c r="G183" s="27" t="n"/>
      <c r="H183" s="27" t="n"/>
    </row>
    <row r="184">
      <c r="F184" s="27" t="n"/>
      <c r="G184" s="27" t="n"/>
      <c r="H184" s="27" t="n"/>
    </row>
    <row r="185">
      <c r="F185" s="27" t="n"/>
      <c r="G185" s="27" t="n"/>
      <c r="H185" s="27" t="n"/>
    </row>
    <row r="186">
      <c r="F186" s="27" t="n"/>
      <c r="G186" s="27" t="n"/>
      <c r="H186" s="27" t="n"/>
    </row>
    <row r="187">
      <c r="F187" s="27" t="n"/>
      <c r="G187" s="27" t="n"/>
      <c r="H187" s="27" t="n"/>
    </row>
    <row r="188">
      <c r="F188" s="27" t="n"/>
      <c r="G188" s="27" t="n"/>
      <c r="H188" s="27" t="n"/>
    </row>
    <row r="189">
      <c r="F189" s="27" t="n"/>
      <c r="G189" s="27" t="n"/>
      <c r="H189" s="27" t="n"/>
    </row>
    <row r="190">
      <c r="F190" s="27" t="n"/>
      <c r="G190" s="27" t="n"/>
      <c r="H190" s="27" t="n"/>
    </row>
    <row r="191">
      <c r="F191" s="27" t="n"/>
      <c r="G191" s="27" t="n"/>
      <c r="H191" s="27" t="n"/>
    </row>
    <row r="192">
      <c r="F192" s="27" t="n"/>
      <c r="G192" s="27" t="n"/>
      <c r="H192" s="27" t="n"/>
    </row>
    <row r="193">
      <c r="F193" s="27" t="n"/>
      <c r="G193" s="27" t="n"/>
      <c r="H193" s="27" t="n"/>
    </row>
    <row r="194">
      <c r="F194" s="27" t="n"/>
      <c r="G194" s="27" t="n"/>
      <c r="H194" s="27" t="n"/>
    </row>
    <row r="195">
      <c r="F195" s="27" t="n"/>
      <c r="G195" s="27" t="n"/>
      <c r="H195" s="27" t="n"/>
    </row>
    <row r="196">
      <c r="F196" s="27" t="n"/>
      <c r="G196" s="27" t="n"/>
      <c r="H196" s="27" t="n"/>
    </row>
    <row r="197">
      <c r="F197" s="27" t="n"/>
      <c r="G197" s="27" t="n"/>
      <c r="H197" s="27" t="n"/>
    </row>
    <row r="198">
      <c r="F198" s="27" t="n"/>
      <c r="G198" s="27" t="n"/>
      <c r="H198" s="27" t="n"/>
    </row>
    <row r="199">
      <c r="F199" s="27" t="n"/>
      <c r="G199" s="27" t="n"/>
      <c r="H199" s="27" t="n"/>
    </row>
    <row r="200">
      <c r="F200" s="27" t="n"/>
      <c r="G200" s="27" t="n"/>
      <c r="H200" s="27" t="n"/>
    </row>
    <row r="201">
      <c r="F201" s="27" t="n"/>
      <c r="G201" s="27" t="n"/>
      <c r="H201" s="27" t="n"/>
    </row>
    <row r="202">
      <c r="F202" s="27" t="n"/>
      <c r="G202" s="27" t="n"/>
      <c r="H202" s="27" t="n"/>
    </row>
    <row r="203">
      <c r="F203" s="27" t="n"/>
      <c r="G203" s="27" t="n"/>
      <c r="H203" s="27" t="n"/>
    </row>
    <row r="204">
      <c r="F204" s="27" t="n"/>
      <c r="G204" s="27" t="n"/>
      <c r="H204" s="27" t="n"/>
    </row>
    <row r="205">
      <c r="F205" s="27" t="n"/>
      <c r="G205" s="27" t="n"/>
      <c r="H205" s="27" t="n"/>
    </row>
    <row r="206">
      <c r="F206" s="27" t="n"/>
      <c r="G206" s="27" t="n"/>
      <c r="H206" s="27" t="n"/>
    </row>
    <row r="207">
      <c r="F207" s="27" t="n"/>
      <c r="G207" s="27" t="n"/>
      <c r="H207" s="27" t="n"/>
    </row>
    <row r="208">
      <c r="F208" s="27" t="n"/>
      <c r="G208" s="27" t="n"/>
      <c r="H208" s="27" t="n"/>
    </row>
    <row r="209">
      <c r="F209" s="27" t="n"/>
      <c r="G209" s="27" t="n"/>
      <c r="H209" s="27" t="n"/>
    </row>
    <row r="210">
      <c r="F210" s="27" t="n"/>
      <c r="G210" s="27" t="n"/>
      <c r="H210" s="27" t="n"/>
    </row>
    <row r="211">
      <c r="F211" s="27" t="n"/>
      <c r="G211" s="27" t="n"/>
      <c r="H211" s="27" t="n"/>
    </row>
    <row r="212">
      <c r="F212" s="27" t="n"/>
      <c r="G212" s="27" t="n"/>
      <c r="H212" s="27" t="n"/>
    </row>
    <row r="213">
      <c r="F213" s="27" t="n"/>
      <c r="G213" s="27" t="n"/>
      <c r="H213" s="27" t="n"/>
    </row>
    <row r="214">
      <c r="F214" s="27" t="n"/>
      <c r="G214" s="27" t="n"/>
      <c r="H214" s="27" t="n"/>
    </row>
    <row r="215">
      <c r="F215" s="27" t="n"/>
      <c r="G215" s="27" t="n"/>
      <c r="H215" s="27" t="n"/>
    </row>
    <row r="216">
      <c r="F216" s="27" t="n"/>
      <c r="G216" s="27" t="n"/>
      <c r="H216" s="27" t="n"/>
    </row>
    <row r="217">
      <c r="F217" s="27" t="n"/>
      <c r="G217" s="27" t="n"/>
      <c r="H217" s="27" t="n"/>
    </row>
    <row r="218">
      <c r="F218" s="27" t="n"/>
      <c r="G218" s="27" t="n"/>
      <c r="H218" s="27" t="n"/>
    </row>
    <row r="219">
      <c r="F219" s="27" t="n"/>
      <c r="G219" s="27" t="n"/>
      <c r="H219" s="27" t="n"/>
    </row>
    <row r="220">
      <c r="F220" s="27" t="n"/>
      <c r="G220" s="27" t="n"/>
      <c r="H220" s="27" t="n"/>
    </row>
    <row r="221">
      <c r="F221" s="27" t="n"/>
      <c r="G221" s="27" t="n"/>
      <c r="H221" s="27" t="n"/>
    </row>
    <row r="222">
      <c r="F222" s="27" t="n"/>
      <c r="G222" s="27" t="n"/>
      <c r="H222" s="27" t="n"/>
    </row>
    <row r="223">
      <c r="F223" s="27" t="n"/>
      <c r="G223" s="27" t="n"/>
      <c r="H223" s="27" t="n"/>
    </row>
    <row r="224">
      <c r="F224" s="27" t="n"/>
      <c r="G224" s="27" t="n"/>
      <c r="H224" s="27" t="n"/>
    </row>
    <row r="225">
      <c r="F225" s="27" t="n"/>
      <c r="G225" s="27" t="n"/>
      <c r="H225" s="27" t="n"/>
    </row>
    <row r="226">
      <c r="F226" s="27" t="n"/>
      <c r="G226" s="27" t="n"/>
      <c r="H226" s="27" t="n"/>
    </row>
    <row r="227">
      <c r="F227" s="27" t="n"/>
      <c r="G227" s="27" t="n"/>
      <c r="H227" s="27" t="n"/>
    </row>
    <row r="228">
      <c r="F228" s="27" t="n"/>
      <c r="G228" s="27" t="n"/>
      <c r="H228" s="27" t="n"/>
    </row>
    <row r="229">
      <c r="F229" s="27" t="n"/>
      <c r="G229" s="27" t="n"/>
      <c r="H229" s="27" t="n"/>
    </row>
    <row r="230">
      <c r="F230" s="27" t="n"/>
      <c r="G230" s="27" t="n"/>
      <c r="H230" s="27" t="n"/>
    </row>
    <row r="231">
      <c r="F231" s="27" t="n"/>
      <c r="G231" s="27" t="n"/>
      <c r="H231" s="27" t="n"/>
    </row>
    <row r="232">
      <c r="F232" s="27" t="n"/>
      <c r="G232" s="27" t="n"/>
      <c r="H232" s="27" t="n"/>
    </row>
    <row r="233">
      <c r="F233" s="27" t="n"/>
      <c r="G233" s="27" t="n"/>
      <c r="H233" s="27" t="n"/>
    </row>
    <row r="234">
      <c r="F234" s="27" t="n"/>
      <c r="G234" s="27" t="n"/>
      <c r="H234" s="27" t="n"/>
    </row>
    <row r="235">
      <c r="F235" s="27" t="n"/>
      <c r="G235" s="27" t="n"/>
      <c r="H235" s="27" t="n"/>
    </row>
    <row r="236">
      <c r="F236" s="27" t="n"/>
      <c r="G236" s="27" t="n"/>
      <c r="H236" s="27" t="n"/>
    </row>
    <row r="237">
      <c r="F237" s="27" t="n"/>
      <c r="G237" s="27" t="n"/>
      <c r="H237" s="27" t="n"/>
    </row>
    <row r="238">
      <c r="F238" s="27" t="n"/>
      <c r="G238" s="27" t="n"/>
      <c r="H238" s="27" t="n"/>
    </row>
    <row r="239">
      <c r="F239" s="27" t="n"/>
      <c r="G239" s="27" t="n"/>
      <c r="H239" s="27" t="n"/>
    </row>
    <row r="240">
      <c r="F240" s="27" t="n"/>
      <c r="G240" s="27" t="n"/>
      <c r="H240" s="27" t="n"/>
    </row>
    <row r="241">
      <c r="F241" s="27" t="n"/>
      <c r="G241" s="27" t="n"/>
      <c r="H241" s="27" t="n"/>
    </row>
    <row r="242">
      <c r="F242" s="27" t="n"/>
      <c r="G242" s="27" t="n"/>
      <c r="H242" s="27" t="n"/>
    </row>
    <row r="243">
      <c r="F243" s="27" t="n"/>
      <c r="G243" s="27" t="n"/>
      <c r="H243" s="27" t="n"/>
    </row>
    <row r="244">
      <c r="F244" s="27" t="n"/>
      <c r="G244" s="27" t="n"/>
      <c r="H244" s="27" t="n"/>
    </row>
    <row r="245">
      <c r="F245" s="27" t="n"/>
      <c r="G245" s="27" t="n"/>
      <c r="H245" s="27" t="n"/>
    </row>
    <row r="246">
      <c r="F246" s="27" t="n"/>
      <c r="G246" s="27" t="n"/>
      <c r="H246" s="27" t="n"/>
    </row>
    <row r="247">
      <c r="F247" s="27" t="n"/>
      <c r="G247" s="27" t="n"/>
      <c r="H247" s="27" t="n"/>
    </row>
    <row r="248">
      <c r="F248" s="27" t="n"/>
      <c r="G248" s="27" t="n"/>
      <c r="H248" s="27" t="n"/>
    </row>
    <row r="249">
      <c r="F249" s="27" t="n"/>
      <c r="G249" s="27" t="n"/>
      <c r="H249" s="27" t="n"/>
    </row>
    <row r="250">
      <c r="F250" s="27" t="n"/>
      <c r="G250" s="27" t="n"/>
      <c r="H250" s="27" t="n"/>
    </row>
    <row r="251">
      <c r="F251" s="27" t="n"/>
      <c r="G251" s="27" t="n"/>
      <c r="H251" s="27" t="n"/>
    </row>
    <row r="252">
      <c r="F252" s="27" t="n"/>
      <c r="G252" s="27" t="n"/>
      <c r="H252" s="27" t="n"/>
    </row>
    <row r="253">
      <c r="F253" s="27" t="n"/>
      <c r="G253" s="27" t="n"/>
      <c r="H253" s="27" t="n"/>
    </row>
    <row r="254">
      <c r="F254" s="27" t="n"/>
      <c r="G254" s="27" t="n"/>
      <c r="H254" s="27" t="n"/>
    </row>
    <row r="255">
      <c r="F255" s="27" t="n"/>
      <c r="G255" s="27" t="n"/>
      <c r="H255" s="27" t="n"/>
    </row>
    <row r="256">
      <c r="F256" s="27" t="n"/>
      <c r="G256" s="27" t="n"/>
      <c r="H256" s="27" t="n"/>
    </row>
    <row r="257">
      <c r="F257" s="27" t="n"/>
      <c r="G257" s="27" t="n"/>
      <c r="H257" s="27" t="n"/>
    </row>
    <row r="258">
      <c r="F258" s="27" t="n"/>
      <c r="G258" s="27" t="n"/>
      <c r="H258" s="27" t="n"/>
    </row>
    <row r="259">
      <c r="F259" s="27" t="n"/>
      <c r="G259" s="27" t="n"/>
      <c r="H259" s="27" t="n"/>
    </row>
    <row r="260">
      <c r="F260" s="27" t="n"/>
      <c r="G260" s="27" t="n"/>
      <c r="H260" s="27" t="n"/>
    </row>
    <row r="261">
      <c r="F261" s="27" t="n"/>
      <c r="G261" s="27" t="n"/>
      <c r="H261" s="27" t="n"/>
    </row>
    <row r="262">
      <c r="F262" s="27" t="n"/>
      <c r="G262" s="27" t="n"/>
      <c r="H262" s="27" t="n"/>
    </row>
    <row r="263">
      <c r="F263" s="27" t="n"/>
      <c r="G263" s="27" t="n"/>
      <c r="H263" s="27" t="n"/>
    </row>
    <row r="264">
      <c r="F264" s="27" t="n"/>
      <c r="G264" s="27" t="n"/>
      <c r="H264" s="27" t="n"/>
    </row>
    <row r="265">
      <c r="F265" s="27" t="n"/>
      <c r="G265" s="27" t="n"/>
      <c r="H265" s="27" t="n"/>
    </row>
    <row r="266">
      <c r="F266" s="27" t="n"/>
      <c r="G266" s="27" t="n"/>
      <c r="H266" s="27" t="n"/>
    </row>
    <row r="267">
      <c r="F267" s="27" t="n"/>
      <c r="G267" s="27" t="n"/>
      <c r="H267" s="27" t="n"/>
    </row>
    <row r="268">
      <c r="F268" s="27" t="n"/>
      <c r="G268" s="27" t="n"/>
      <c r="H268" s="27" t="n"/>
    </row>
    <row r="269">
      <c r="F269" s="27" t="n"/>
      <c r="G269" s="27" t="n"/>
      <c r="H269" s="27" t="n"/>
    </row>
    <row r="270">
      <c r="F270" s="27" t="n"/>
      <c r="G270" s="27" t="n"/>
      <c r="H270" s="27" t="n"/>
    </row>
    <row r="271">
      <c r="F271" s="27" t="n"/>
      <c r="G271" s="27" t="n"/>
      <c r="H271" s="27" t="n"/>
    </row>
    <row r="272">
      <c r="F272" s="27" t="n"/>
      <c r="G272" s="27" t="n"/>
      <c r="H272" s="27" t="n"/>
    </row>
    <row r="273">
      <c r="F273" s="27" t="n"/>
      <c r="G273" s="27" t="n"/>
      <c r="H273" s="27" t="n"/>
    </row>
    <row r="274">
      <c r="F274" s="27" t="n"/>
      <c r="G274" s="27" t="n"/>
      <c r="H274" s="27" t="n"/>
    </row>
    <row r="275">
      <c r="F275" s="27" t="n"/>
      <c r="G275" s="27" t="n"/>
      <c r="H275" s="27" t="n"/>
    </row>
    <row r="276">
      <c r="F276" s="27" t="n"/>
      <c r="G276" s="27" t="n"/>
      <c r="H276" s="27" t="n"/>
    </row>
    <row r="277">
      <c r="F277" s="27" t="n"/>
      <c r="G277" s="27" t="n"/>
      <c r="H277" s="27" t="n"/>
    </row>
    <row r="278">
      <c r="F278" s="27" t="n"/>
      <c r="G278" s="27" t="n"/>
      <c r="H278" s="27" t="n"/>
    </row>
    <row r="279">
      <c r="F279" s="27" t="n"/>
      <c r="G279" s="27" t="n"/>
      <c r="H279" s="27" t="n"/>
    </row>
    <row r="280">
      <c r="F280" s="27" t="n"/>
      <c r="G280" s="27" t="n"/>
      <c r="H280" s="27" t="n"/>
    </row>
    <row r="281">
      <c r="F281" s="27" t="n"/>
      <c r="G281" s="27" t="n"/>
      <c r="H281" s="27" t="n"/>
    </row>
    <row r="282">
      <c r="F282" s="27" t="n"/>
      <c r="G282" s="27" t="n"/>
      <c r="H282" s="27" t="n"/>
    </row>
    <row r="283">
      <c r="F283" s="27" t="n"/>
      <c r="G283" s="27" t="n"/>
      <c r="H283" s="27" t="n"/>
    </row>
    <row r="284">
      <c r="F284" s="27" t="n"/>
      <c r="G284" s="27" t="n"/>
      <c r="H284" s="27" t="n"/>
    </row>
    <row r="285">
      <c r="F285" s="27" t="n"/>
      <c r="G285" s="27" t="n"/>
      <c r="H285" s="27" t="n"/>
    </row>
    <row r="286">
      <c r="F286" s="27" t="n"/>
      <c r="G286" s="27" t="n"/>
      <c r="H286" s="27" t="n"/>
    </row>
    <row r="287">
      <c r="F287" s="27" t="n"/>
      <c r="G287" s="27" t="n"/>
      <c r="H287" s="27" t="n"/>
    </row>
    <row r="288">
      <c r="F288" s="27" t="n"/>
      <c r="G288" s="27" t="n"/>
      <c r="H288" s="27" t="n"/>
    </row>
    <row r="289">
      <c r="F289" s="27" t="n"/>
      <c r="G289" s="27" t="n"/>
      <c r="H289" s="27" t="n"/>
    </row>
    <row r="290">
      <c r="F290" s="27" t="n"/>
      <c r="G290" s="27" t="n"/>
      <c r="H290" s="27" t="n"/>
    </row>
    <row r="291">
      <c r="F291" s="27" t="n"/>
      <c r="G291" s="27" t="n"/>
      <c r="H291" s="27" t="n"/>
    </row>
    <row r="292">
      <c r="F292" s="27" t="n"/>
      <c r="G292" s="27" t="n"/>
      <c r="H292" s="27" t="n"/>
    </row>
    <row r="293">
      <c r="F293" s="27" t="n"/>
      <c r="G293" s="27" t="n"/>
      <c r="H293" s="27" t="n"/>
    </row>
    <row r="294">
      <c r="F294" s="27" t="n"/>
      <c r="G294" s="27" t="n"/>
      <c r="H294" s="27" t="n"/>
    </row>
    <row r="295">
      <c r="F295" s="27" t="n"/>
      <c r="G295" s="27" t="n"/>
      <c r="H295" s="27" t="n"/>
    </row>
    <row r="296">
      <c r="F296" s="27" t="n"/>
      <c r="G296" s="27" t="n"/>
      <c r="H296" s="27" t="n"/>
    </row>
    <row r="297">
      <c r="F297" s="27" t="n"/>
      <c r="G297" s="27" t="n"/>
      <c r="H297" s="27" t="n"/>
    </row>
    <row r="298">
      <c r="F298" s="27" t="n"/>
      <c r="G298" s="27" t="n"/>
      <c r="H298" s="27" t="n"/>
    </row>
    <row r="299">
      <c r="F299" s="27" t="n"/>
      <c r="G299" s="27" t="n"/>
      <c r="H299" s="27" t="n"/>
    </row>
    <row r="300">
      <c r="F300" s="27" t="n"/>
      <c r="G300" s="27" t="n"/>
      <c r="H300" s="27" t="n"/>
    </row>
    <row r="301">
      <c r="F301" s="27" t="n"/>
      <c r="G301" s="27" t="n"/>
      <c r="H301" s="27" t="n"/>
    </row>
    <row r="302">
      <c r="F302" s="27" t="n"/>
      <c r="G302" s="27" t="n"/>
      <c r="H302" s="27" t="n"/>
    </row>
    <row r="303">
      <c r="F303" s="27" t="n"/>
      <c r="G303" s="27" t="n"/>
      <c r="H303" s="27" t="n"/>
    </row>
    <row r="304">
      <c r="F304" s="27" t="n"/>
      <c r="G304" s="27" t="n"/>
      <c r="H304" s="27" t="n"/>
    </row>
    <row r="305">
      <c r="F305" s="27" t="n"/>
      <c r="G305" s="27" t="n"/>
      <c r="H305" s="27" t="n"/>
    </row>
    <row r="306">
      <c r="F306" s="27" t="n"/>
      <c r="G306" s="27" t="n"/>
      <c r="H306" s="27" t="n"/>
    </row>
    <row r="307">
      <c r="F307" s="27" t="n"/>
      <c r="G307" s="27" t="n"/>
      <c r="H307" s="27" t="n"/>
    </row>
    <row r="308">
      <c r="F308" s="27" t="n"/>
      <c r="G308" s="27" t="n"/>
      <c r="H308" s="27" t="n"/>
    </row>
    <row r="309">
      <c r="F309" s="27" t="n"/>
      <c r="G309" s="27" t="n"/>
      <c r="H309" s="27" t="n"/>
    </row>
    <row r="310">
      <c r="F310" s="27" t="n"/>
      <c r="G310" s="27" t="n"/>
      <c r="H310" s="27" t="n"/>
    </row>
    <row r="311">
      <c r="F311" s="27" t="n"/>
      <c r="G311" s="27" t="n"/>
      <c r="H311" s="27" t="n"/>
    </row>
    <row r="312">
      <c r="F312" s="27" t="n"/>
      <c r="G312" s="27" t="n"/>
      <c r="H312" s="27" t="n"/>
    </row>
    <row r="313">
      <c r="F313" s="27" t="n"/>
      <c r="G313" s="27" t="n"/>
      <c r="H313" s="27" t="n"/>
    </row>
    <row r="314">
      <c r="F314" s="27" t="n"/>
      <c r="G314" s="27" t="n"/>
      <c r="H314" s="27" t="n"/>
    </row>
    <row r="315">
      <c r="F315" s="27" t="n"/>
      <c r="G315" s="27" t="n"/>
      <c r="H315" s="27" t="n"/>
    </row>
    <row r="316">
      <c r="F316" s="27" t="n"/>
      <c r="G316" s="27" t="n"/>
      <c r="H316" s="27" t="n"/>
    </row>
    <row r="317">
      <c r="F317" s="27" t="n"/>
      <c r="G317" s="27" t="n"/>
      <c r="H317" s="27" t="n"/>
    </row>
    <row r="318">
      <c r="F318" s="27" t="n"/>
      <c r="G318" s="27" t="n"/>
      <c r="H318" s="27" t="n"/>
    </row>
    <row r="319">
      <c r="F319" s="27" t="n"/>
      <c r="G319" s="27" t="n"/>
      <c r="H319" s="27" t="n"/>
    </row>
    <row r="320">
      <c r="F320" s="27" t="n"/>
      <c r="G320" s="27" t="n"/>
      <c r="H320" s="27" t="n"/>
    </row>
    <row r="321">
      <c r="F321" s="27" t="n"/>
      <c r="G321" s="27" t="n"/>
      <c r="H321" s="27" t="n"/>
    </row>
    <row r="322">
      <c r="F322" s="27" t="n"/>
      <c r="G322" s="27" t="n"/>
      <c r="H322" s="27" t="n"/>
    </row>
    <row r="323">
      <c r="F323" s="27" t="n"/>
      <c r="G323" s="27" t="n"/>
      <c r="H323" s="27" t="n"/>
    </row>
    <row r="324">
      <c r="F324" s="27" t="n"/>
      <c r="G324" s="27" t="n"/>
      <c r="H324" s="27" t="n"/>
    </row>
    <row r="325">
      <c r="F325" s="27" t="n"/>
      <c r="G325" s="27" t="n"/>
      <c r="H325" s="27" t="n"/>
    </row>
    <row r="326">
      <c r="F326" s="27" t="n"/>
      <c r="G326" s="27" t="n"/>
      <c r="H326" s="27" t="n"/>
    </row>
    <row r="327">
      <c r="F327" s="27" t="n"/>
      <c r="G327" s="27" t="n"/>
      <c r="H327" s="27" t="n"/>
    </row>
    <row r="328">
      <c r="F328" s="27" t="n"/>
      <c r="G328" s="27" t="n"/>
      <c r="H328" s="27" t="n"/>
    </row>
    <row r="329">
      <c r="F329" s="27" t="n"/>
      <c r="G329" s="27" t="n"/>
      <c r="H329" s="27" t="n"/>
    </row>
    <row r="330">
      <c r="F330" s="27" t="n"/>
      <c r="G330" s="27" t="n"/>
      <c r="H330" s="27" t="n"/>
    </row>
    <row r="331">
      <c r="F331" s="27" t="n"/>
      <c r="G331" s="27" t="n"/>
      <c r="H331" s="27" t="n"/>
    </row>
    <row r="332">
      <c r="F332" s="27" t="n"/>
      <c r="G332" s="27" t="n"/>
      <c r="H332" s="27" t="n"/>
    </row>
    <row r="333">
      <c r="F333" s="27" t="n"/>
      <c r="G333" s="27" t="n"/>
      <c r="H333" s="27" t="n"/>
    </row>
    <row r="334">
      <c r="F334" s="27" t="n"/>
      <c r="G334" s="27" t="n"/>
      <c r="H334" s="27" t="n"/>
    </row>
    <row r="335">
      <c r="F335" s="27" t="n"/>
      <c r="G335" s="27" t="n"/>
      <c r="H335" s="27" t="n"/>
    </row>
    <row r="336">
      <c r="F336" s="27" t="n"/>
      <c r="G336" s="27" t="n"/>
      <c r="H336" s="27" t="n"/>
    </row>
    <row r="337">
      <c r="F337" s="27" t="n"/>
      <c r="G337" s="27" t="n"/>
      <c r="H337" s="27" t="n"/>
    </row>
    <row r="338">
      <c r="F338" s="27" t="n"/>
      <c r="G338" s="27" t="n"/>
      <c r="H338" s="27" t="n"/>
    </row>
    <row r="339">
      <c r="F339" s="27" t="n"/>
      <c r="G339" s="27" t="n"/>
      <c r="H339" s="27" t="n"/>
    </row>
    <row r="340">
      <c r="F340" s="27" t="n"/>
      <c r="G340" s="27" t="n"/>
      <c r="H340" s="27" t="n"/>
    </row>
    <row r="341">
      <c r="F341" s="27" t="n"/>
      <c r="G341" s="27" t="n"/>
      <c r="H341" s="27" t="n"/>
    </row>
    <row r="342">
      <c r="F342" s="27" t="n"/>
      <c r="G342" s="27" t="n"/>
      <c r="H342" s="27" t="n"/>
    </row>
    <row r="343">
      <c r="F343" s="27" t="n"/>
      <c r="G343" s="27" t="n"/>
      <c r="H343" s="27" t="n"/>
    </row>
    <row r="344">
      <c r="F344" s="27" t="n"/>
      <c r="G344" s="27" t="n"/>
      <c r="H344" s="27" t="n"/>
    </row>
    <row r="345">
      <c r="F345" s="27" t="n"/>
      <c r="G345" s="27" t="n"/>
      <c r="H345" s="27" t="n"/>
    </row>
    <row r="346">
      <c r="F346" s="27" t="n"/>
      <c r="G346" s="27" t="n"/>
      <c r="H346" s="27" t="n"/>
    </row>
    <row r="347">
      <c r="F347" s="27" t="n"/>
      <c r="G347" s="27" t="n"/>
      <c r="H347" s="27" t="n"/>
    </row>
    <row r="348">
      <c r="F348" s="27" t="n"/>
      <c r="G348" s="27" t="n"/>
      <c r="H348" s="27" t="n"/>
    </row>
    <row r="349">
      <c r="F349" s="27" t="n"/>
      <c r="G349" s="27" t="n"/>
      <c r="H349" s="27" t="n"/>
    </row>
    <row r="350">
      <c r="F350" s="27" t="n"/>
      <c r="G350" s="27" t="n"/>
      <c r="H350" s="27" t="n"/>
    </row>
    <row r="351">
      <c r="F351" s="27" t="n"/>
      <c r="G351" s="27" t="n"/>
      <c r="H351" s="27" t="n"/>
    </row>
    <row r="352">
      <c r="F352" s="27" t="n"/>
      <c r="G352" s="27" t="n"/>
      <c r="H352" s="27" t="n"/>
    </row>
    <row r="353">
      <c r="F353" s="27" t="n"/>
      <c r="G353" s="27" t="n"/>
      <c r="H353" s="27" t="n"/>
    </row>
    <row r="354">
      <c r="F354" s="27" t="n"/>
      <c r="G354" s="27" t="n"/>
      <c r="H354" s="27" t="n"/>
    </row>
    <row r="355">
      <c r="F355" s="27" t="n"/>
      <c r="G355" s="27" t="n"/>
      <c r="H355" s="27" t="n"/>
    </row>
    <row r="356">
      <c r="F356" s="27" t="n"/>
      <c r="G356" s="27" t="n"/>
      <c r="H356" s="27" t="n"/>
    </row>
    <row r="357">
      <c r="F357" s="27" t="n"/>
      <c r="G357" s="27" t="n"/>
      <c r="H357" s="27" t="n"/>
    </row>
    <row r="358">
      <c r="F358" s="27" t="n"/>
      <c r="G358" s="27" t="n"/>
      <c r="H358" s="27" t="n"/>
    </row>
    <row r="359">
      <c r="F359" s="27" t="n"/>
      <c r="G359" s="27" t="n"/>
      <c r="H359" s="27" t="n"/>
    </row>
    <row r="360">
      <c r="F360" s="27" t="n"/>
      <c r="G360" s="27" t="n"/>
      <c r="H360" s="27" t="n"/>
    </row>
    <row r="361">
      <c r="F361" s="27" t="n"/>
      <c r="G361" s="27" t="n"/>
      <c r="H361" s="27" t="n"/>
    </row>
    <row r="362">
      <c r="F362" s="27" t="n"/>
      <c r="G362" s="27" t="n"/>
      <c r="H362" s="27" t="n"/>
    </row>
    <row r="363">
      <c r="F363" s="27" t="n"/>
      <c r="G363" s="27" t="n"/>
      <c r="H363" s="27" t="n"/>
    </row>
    <row r="364">
      <c r="F364" s="27" t="n"/>
      <c r="G364" s="27" t="n"/>
      <c r="H364" s="27" t="n"/>
    </row>
    <row r="365">
      <c r="F365" s="27" t="n"/>
      <c r="G365" s="27" t="n"/>
      <c r="H365" s="27" t="n"/>
    </row>
    <row r="366">
      <c r="F366" s="27" t="n"/>
      <c r="G366" s="27" t="n"/>
      <c r="H366" s="27" t="n"/>
    </row>
    <row r="367">
      <c r="F367" s="27" t="n"/>
      <c r="G367" s="27" t="n"/>
      <c r="H367" s="27" t="n"/>
    </row>
    <row r="368">
      <c r="F368" s="27" t="n"/>
      <c r="G368" s="27" t="n"/>
      <c r="H368" s="27" t="n"/>
    </row>
    <row r="369">
      <c r="F369" s="27" t="n"/>
      <c r="G369" s="27" t="n"/>
      <c r="H369" s="27" t="n"/>
    </row>
    <row r="370">
      <c r="F370" s="27" t="n"/>
      <c r="G370" s="27" t="n"/>
      <c r="H370" s="27" t="n"/>
    </row>
    <row r="371">
      <c r="F371" s="27" t="n"/>
      <c r="G371" s="27" t="n"/>
      <c r="H371" s="27" t="n"/>
    </row>
    <row r="372">
      <c r="F372" s="27" t="n"/>
      <c r="G372" s="27" t="n"/>
      <c r="H372" s="27" t="n"/>
    </row>
    <row r="373">
      <c r="F373" s="27" t="n"/>
      <c r="G373" s="27" t="n"/>
      <c r="H373" s="27" t="n"/>
    </row>
    <row r="374">
      <c r="F374" s="27" t="n"/>
      <c r="G374" s="27" t="n"/>
      <c r="H374" s="27" t="n"/>
    </row>
    <row r="375">
      <c r="F375" s="27" t="n"/>
      <c r="G375" s="27" t="n"/>
      <c r="H375" s="27" t="n"/>
    </row>
    <row r="376">
      <c r="F376" s="27" t="n"/>
      <c r="G376" s="27" t="n"/>
      <c r="H376" s="27" t="n"/>
    </row>
    <row r="377">
      <c r="F377" s="27" t="n"/>
      <c r="G377" s="27" t="n"/>
      <c r="H377" s="27" t="n"/>
    </row>
    <row r="378">
      <c r="F378" s="27" t="n"/>
      <c r="G378" s="27" t="n"/>
      <c r="H378" s="27" t="n"/>
    </row>
    <row r="379">
      <c r="F379" s="27" t="n"/>
      <c r="G379" s="27" t="n"/>
      <c r="H379" s="27" t="n"/>
    </row>
    <row r="380">
      <c r="F380" s="27" t="n"/>
      <c r="G380" s="27" t="n"/>
      <c r="H380" s="27" t="n"/>
    </row>
    <row r="381">
      <c r="F381" s="27" t="n"/>
      <c r="G381" s="27" t="n"/>
      <c r="H381" s="27" t="n"/>
    </row>
    <row r="382">
      <c r="F382" s="27" t="n"/>
      <c r="G382" s="27" t="n"/>
      <c r="H382" s="27" t="n"/>
    </row>
    <row r="383">
      <c r="F383" s="27" t="n"/>
      <c r="G383" s="27" t="n"/>
      <c r="H383" s="27" t="n"/>
    </row>
    <row r="384">
      <c r="F384" s="27" t="n"/>
      <c r="G384" s="27" t="n"/>
      <c r="H384" s="27" t="n"/>
    </row>
    <row r="385">
      <c r="F385" s="27" t="n"/>
      <c r="G385" s="27" t="n"/>
      <c r="H385" s="27" t="n"/>
    </row>
    <row r="386">
      <c r="F386" s="27" t="n"/>
      <c r="G386" s="27" t="n"/>
      <c r="H386" s="27" t="n"/>
    </row>
    <row r="387">
      <c r="F387" s="27" t="n"/>
      <c r="G387" s="27" t="n"/>
      <c r="H387" s="27" t="n"/>
    </row>
    <row r="388">
      <c r="F388" s="27" t="n"/>
      <c r="G388" s="27" t="n"/>
      <c r="H388" s="27" t="n"/>
    </row>
    <row r="389">
      <c r="F389" s="27" t="n"/>
      <c r="G389" s="27" t="n"/>
      <c r="H389" s="27" t="n"/>
    </row>
    <row r="390">
      <c r="F390" s="27" t="n"/>
      <c r="G390" s="27" t="n"/>
      <c r="H390" s="27" t="n"/>
    </row>
    <row r="391">
      <c r="F391" s="27" t="n"/>
      <c r="G391" s="27" t="n"/>
      <c r="H391" s="27" t="n"/>
    </row>
    <row r="392">
      <c r="F392" s="27" t="n"/>
      <c r="G392" s="27" t="n"/>
      <c r="H392" s="27" t="n"/>
    </row>
    <row r="393">
      <c r="F393" s="27" t="n"/>
      <c r="G393" s="27" t="n"/>
      <c r="H393" s="27" t="n"/>
    </row>
    <row r="394">
      <c r="F394" s="27" t="n"/>
      <c r="G394" s="27" t="n"/>
      <c r="H394" s="27" t="n"/>
    </row>
    <row r="395">
      <c r="F395" s="27" t="n"/>
      <c r="G395" s="27" t="n"/>
      <c r="H395" s="27" t="n"/>
    </row>
    <row r="396">
      <c r="F396" s="27" t="n"/>
      <c r="G396" s="27" t="n"/>
      <c r="H396" s="27" t="n"/>
    </row>
    <row r="397">
      <c r="F397" s="27" t="n"/>
      <c r="G397" s="27" t="n"/>
      <c r="H397" s="27" t="n"/>
    </row>
    <row r="398">
      <c r="F398" s="27" t="n"/>
      <c r="G398" s="27" t="n"/>
      <c r="H398" s="27" t="n"/>
    </row>
    <row r="399">
      <c r="F399" s="27" t="n"/>
      <c r="G399" s="27" t="n"/>
      <c r="H399" s="27" t="n"/>
    </row>
    <row r="400">
      <c r="F400" s="27" t="n"/>
      <c r="G400" s="27" t="n"/>
      <c r="H400" s="27" t="n"/>
    </row>
    <row r="401">
      <c r="F401" s="27" t="n"/>
      <c r="G401" s="27" t="n"/>
      <c r="H401" s="27" t="n"/>
    </row>
    <row r="402">
      <c r="F402" s="27" t="n"/>
      <c r="G402" s="27" t="n"/>
      <c r="H402" s="27" t="n"/>
    </row>
    <row r="403">
      <c r="F403" s="27" t="n"/>
      <c r="G403" s="27" t="n"/>
      <c r="H403" s="27" t="n"/>
    </row>
    <row r="404">
      <c r="F404" s="27" t="n"/>
      <c r="G404" s="27" t="n"/>
      <c r="H404" s="27" t="n"/>
    </row>
    <row r="405">
      <c r="F405" s="27" t="n"/>
      <c r="G405" s="27" t="n"/>
      <c r="H405" s="27" t="n"/>
    </row>
    <row r="406">
      <c r="F406" s="27" t="n"/>
      <c r="G406" s="27" t="n"/>
      <c r="H406" s="27" t="n"/>
    </row>
    <row r="407">
      <c r="F407" s="27" t="n"/>
      <c r="G407" s="27" t="n"/>
      <c r="H407" s="27" t="n"/>
    </row>
    <row r="408">
      <c r="F408" s="27" t="n"/>
      <c r="G408" s="27" t="n"/>
      <c r="H408" s="27" t="n"/>
    </row>
    <row r="409">
      <c r="F409" s="27" t="n"/>
      <c r="G409" s="27" t="n"/>
      <c r="H409" s="27" t="n"/>
    </row>
    <row r="410">
      <c r="F410" s="27" t="n"/>
      <c r="G410" s="27" t="n"/>
      <c r="H410" s="27" t="n"/>
    </row>
    <row r="411">
      <c r="F411" s="27" t="n"/>
      <c r="G411" s="27" t="n"/>
      <c r="H411" s="27" t="n"/>
    </row>
    <row r="412">
      <c r="F412" s="27" t="n"/>
      <c r="G412" s="27" t="n"/>
      <c r="H412" s="27" t="n"/>
    </row>
    <row r="413">
      <c r="F413" s="27" t="n"/>
      <c r="G413" s="27" t="n"/>
      <c r="H413" s="27" t="n"/>
    </row>
    <row r="414">
      <c r="F414" s="27" t="n"/>
      <c r="G414" s="27" t="n"/>
      <c r="H414" s="27" t="n"/>
    </row>
    <row r="415">
      <c r="F415" s="27" t="n"/>
      <c r="G415" s="27" t="n"/>
      <c r="H415" s="27" t="n"/>
    </row>
    <row r="416">
      <c r="F416" s="27" t="n"/>
      <c r="G416" s="27" t="n"/>
      <c r="H416" s="27" t="n"/>
    </row>
    <row r="417">
      <c r="F417" s="27" t="n"/>
      <c r="G417" s="27" t="n"/>
      <c r="H417" s="27" t="n"/>
    </row>
    <row r="418">
      <c r="F418" s="27" t="n"/>
      <c r="G418" s="27" t="n"/>
      <c r="H418" s="27" t="n"/>
    </row>
    <row r="419">
      <c r="F419" s="27" t="n"/>
      <c r="G419" s="27" t="n"/>
      <c r="H419" s="27" t="n"/>
    </row>
    <row r="420">
      <c r="F420" s="27" t="n"/>
      <c r="G420" s="27" t="n"/>
      <c r="H420" s="27" t="n"/>
    </row>
    <row r="421">
      <c r="F421" s="27" t="n"/>
      <c r="G421" s="27" t="n"/>
      <c r="H421" s="27" t="n"/>
    </row>
    <row r="422">
      <c r="F422" s="27" t="n"/>
      <c r="G422" s="27" t="n"/>
      <c r="H422" s="27" t="n"/>
    </row>
    <row r="423">
      <c r="F423" s="27" t="n"/>
      <c r="G423" s="27" t="n"/>
      <c r="H423" s="27" t="n"/>
    </row>
    <row r="424">
      <c r="F424" s="27" t="n"/>
      <c r="G424" s="27" t="n"/>
      <c r="H424" s="27" t="n"/>
    </row>
    <row r="425">
      <c r="F425" s="27" t="n"/>
      <c r="G425" s="27" t="n"/>
      <c r="H425" s="27" t="n"/>
    </row>
    <row r="426">
      <c r="F426" s="27" t="n"/>
      <c r="G426" s="27" t="n"/>
      <c r="H426" s="27" t="n"/>
    </row>
    <row r="427">
      <c r="F427" s="27" t="n"/>
      <c r="G427" s="27" t="n"/>
      <c r="H427" s="27" t="n"/>
    </row>
    <row r="428">
      <c r="F428" s="27" t="n"/>
      <c r="G428" s="27" t="n"/>
      <c r="H428" s="27" t="n"/>
    </row>
    <row r="429">
      <c r="F429" s="27" t="n"/>
      <c r="G429" s="27" t="n"/>
      <c r="H429" s="27" t="n"/>
    </row>
    <row r="430">
      <c r="F430" s="27" t="n"/>
      <c r="G430" s="27" t="n"/>
      <c r="H430" s="27" t="n"/>
    </row>
    <row r="431">
      <c r="F431" s="27" t="n"/>
      <c r="G431" s="27" t="n"/>
      <c r="H431" s="27" t="n"/>
    </row>
    <row r="432">
      <c r="F432" s="27" t="n"/>
      <c r="G432" s="27" t="n"/>
      <c r="H432" s="27" t="n"/>
    </row>
    <row r="433">
      <c r="F433" s="27" t="n"/>
      <c r="G433" s="27" t="n"/>
      <c r="H433" s="27" t="n"/>
    </row>
    <row r="434">
      <c r="F434" s="27" t="n"/>
      <c r="G434" s="27" t="n"/>
      <c r="H434" s="27" t="n"/>
    </row>
    <row r="435">
      <c r="F435" s="27" t="n"/>
      <c r="G435" s="27" t="n"/>
      <c r="H435" s="27" t="n"/>
    </row>
    <row r="436">
      <c r="F436" s="27" t="n"/>
      <c r="G436" s="27" t="n"/>
      <c r="H436" s="27" t="n"/>
    </row>
    <row r="437">
      <c r="F437" s="27" t="n"/>
      <c r="G437" s="27" t="n"/>
      <c r="H437" s="27" t="n"/>
    </row>
    <row r="438">
      <c r="F438" s="27" t="n"/>
      <c r="G438" s="27" t="n"/>
      <c r="H438" s="27" t="n"/>
    </row>
    <row r="439">
      <c r="F439" s="27" t="n"/>
      <c r="G439" s="27" t="n"/>
      <c r="H439" s="27" t="n"/>
    </row>
    <row r="440">
      <c r="F440" s="27" t="n"/>
      <c r="G440" s="27" t="n"/>
      <c r="H440" s="27" t="n"/>
    </row>
    <row r="441">
      <c r="F441" s="27" t="n"/>
      <c r="G441" s="27" t="n"/>
      <c r="H441" s="27" t="n"/>
    </row>
    <row r="442">
      <c r="F442" s="27" t="n"/>
      <c r="G442" s="27" t="n"/>
      <c r="H442" s="27" t="n"/>
    </row>
    <row r="443">
      <c r="F443" s="27" t="n"/>
      <c r="G443" s="27" t="n"/>
      <c r="H443" s="27" t="n"/>
    </row>
    <row r="444">
      <c r="F444" s="27" t="n"/>
      <c r="G444" s="27" t="n"/>
      <c r="H444" s="27" t="n"/>
    </row>
    <row r="445">
      <c r="F445" s="27" t="n"/>
      <c r="G445" s="27" t="n"/>
      <c r="H445" s="27" t="n"/>
    </row>
    <row r="446">
      <c r="F446" s="27" t="n"/>
      <c r="G446" s="27" t="n"/>
      <c r="H446" s="27" t="n"/>
    </row>
    <row r="447">
      <c r="F447" s="27" t="n"/>
      <c r="G447" s="27" t="n"/>
      <c r="H447" s="27" t="n"/>
    </row>
    <row r="448">
      <c r="F448" s="27" t="n"/>
      <c r="G448" s="27" t="n"/>
      <c r="H448" s="27" t="n"/>
    </row>
    <row r="449">
      <c r="F449" s="27" t="n"/>
      <c r="G449" s="27" t="n"/>
      <c r="H449" s="27" t="n"/>
    </row>
    <row r="450">
      <c r="F450" s="27" t="n"/>
      <c r="G450" s="27" t="n"/>
      <c r="H450" s="27" t="n"/>
    </row>
    <row r="451">
      <c r="F451" s="27" t="n"/>
      <c r="G451" s="27" t="n"/>
      <c r="H451" s="27" t="n"/>
    </row>
    <row r="452">
      <c r="F452" s="27" t="n"/>
      <c r="G452" s="27" t="n"/>
      <c r="H452" s="27" t="n"/>
    </row>
    <row r="453">
      <c r="F453" s="27" t="n"/>
      <c r="G453" s="27" t="n"/>
      <c r="H453" s="27" t="n"/>
    </row>
    <row r="454">
      <c r="F454" s="27" t="n"/>
      <c r="G454" s="27" t="n"/>
      <c r="H454" s="27" t="n"/>
    </row>
    <row r="455">
      <c r="F455" s="27" t="n"/>
      <c r="G455" s="27" t="n"/>
      <c r="H455" s="27" t="n"/>
    </row>
    <row r="456">
      <c r="F456" s="27" t="n"/>
      <c r="G456" s="27" t="n"/>
      <c r="H456" s="27" t="n"/>
    </row>
    <row r="457">
      <c r="F457" s="27" t="n"/>
      <c r="G457" s="27" t="n"/>
      <c r="H457" s="27" t="n"/>
    </row>
    <row r="458">
      <c r="F458" s="27" t="n"/>
      <c r="G458" s="27" t="n"/>
      <c r="H458" s="27" t="n"/>
    </row>
    <row r="459">
      <c r="F459" s="27" t="n"/>
      <c r="G459" s="27" t="n"/>
      <c r="H459" s="27" t="n"/>
    </row>
    <row r="460">
      <c r="F460" s="27" t="n"/>
      <c r="G460" s="27" t="n"/>
      <c r="H460" s="27" t="n"/>
    </row>
    <row r="461">
      <c r="F461" s="27" t="n"/>
      <c r="G461" s="27" t="n"/>
      <c r="H461" s="27" t="n"/>
    </row>
    <row r="462">
      <c r="F462" s="27" t="n"/>
      <c r="G462" s="27" t="n"/>
      <c r="H462" s="27" t="n"/>
    </row>
    <row r="463">
      <c r="F463" s="27" t="n"/>
      <c r="G463" s="27" t="n"/>
      <c r="H463" s="27" t="n"/>
    </row>
    <row r="464">
      <c r="F464" s="27" t="n"/>
      <c r="G464" s="27" t="n"/>
      <c r="H464" s="27" t="n"/>
    </row>
    <row r="465">
      <c r="F465" s="27" t="n"/>
      <c r="G465" s="27" t="n"/>
      <c r="H465" s="27" t="n"/>
    </row>
    <row r="466">
      <c r="F466" s="27" t="n"/>
      <c r="G466" s="27" t="n"/>
      <c r="H466" s="27" t="n"/>
    </row>
    <row r="467">
      <c r="F467" s="27" t="n"/>
      <c r="G467" s="27" t="n"/>
      <c r="H467" s="27" t="n"/>
    </row>
    <row r="468">
      <c r="F468" s="27" t="n"/>
      <c r="G468" s="27" t="n"/>
      <c r="H468" s="27" t="n"/>
    </row>
    <row r="469">
      <c r="F469" s="27" t="n"/>
      <c r="G469" s="27" t="n"/>
      <c r="H469" s="27" t="n"/>
    </row>
    <row r="470">
      <c r="F470" s="27" t="n"/>
      <c r="G470" s="27" t="n"/>
      <c r="H470" s="27" t="n"/>
    </row>
    <row r="471">
      <c r="F471" s="27" t="n"/>
      <c r="G471" s="27" t="n"/>
      <c r="H471" s="27" t="n"/>
    </row>
    <row r="472">
      <c r="F472" s="27" t="n"/>
      <c r="G472" s="27" t="n"/>
      <c r="H472" s="27" t="n"/>
    </row>
    <row r="473">
      <c r="F473" s="27" t="n"/>
      <c r="G473" s="27" t="n"/>
      <c r="H473" s="27" t="n"/>
    </row>
    <row r="474">
      <c r="F474" s="27" t="n"/>
      <c r="G474" s="27" t="n"/>
      <c r="H474" s="27" t="n"/>
    </row>
    <row r="475">
      <c r="F475" s="27" t="n"/>
      <c r="G475" s="27" t="n"/>
      <c r="H475" s="27" t="n"/>
    </row>
    <row r="476">
      <c r="F476" s="27" t="n"/>
      <c r="G476" s="27" t="n"/>
      <c r="H476" s="27" t="n"/>
    </row>
    <row r="477">
      <c r="F477" s="27" t="n"/>
      <c r="G477" s="27" t="n"/>
      <c r="H477" s="27" t="n"/>
    </row>
    <row r="478">
      <c r="F478" s="27" t="n"/>
      <c r="G478" s="27" t="n"/>
      <c r="H478" s="27" t="n"/>
    </row>
    <row r="479">
      <c r="F479" s="27" t="n"/>
      <c r="G479" s="27" t="n"/>
      <c r="H479" s="27" t="n"/>
    </row>
    <row r="480">
      <c r="F480" s="27" t="n"/>
      <c r="G480" s="27" t="n"/>
      <c r="H480" s="27" t="n"/>
    </row>
    <row r="481">
      <c r="F481" s="27" t="n"/>
      <c r="G481" s="27" t="n"/>
      <c r="H481" s="27" t="n"/>
    </row>
    <row r="482">
      <c r="F482" s="27" t="n"/>
      <c r="G482" s="27" t="n"/>
      <c r="H482" s="27" t="n"/>
    </row>
    <row r="483">
      <c r="F483" s="27" t="n"/>
      <c r="G483" s="27" t="n"/>
      <c r="H483" s="27" t="n"/>
    </row>
    <row r="484">
      <c r="F484" s="27" t="n"/>
      <c r="G484" s="27" t="n"/>
      <c r="H484" s="27" t="n"/>
    </row>
    <row r="485">
      <c r="F485" s="27" t="n"/>
      <c r="G485" s="27" t="n"/>
      <c r="H485" s="27" t="n"/>
    </row>
    <row r="486">
      <c r="F486" s="27" t="n"/>
      <c r="G486" s="27" t="n"/>
      <c r="H486" s="27" t="n"/>
    </row>
    <row r="487">
      <c r="F487" s="27" t="n"/>
      <c r="G487" s="27" t="n"/>
      <c r="H487" s="27" t="n"/>
    </row>
    <row r="488">
      <c r="F488" s="27" t="n"/>
      <c r="G488" s="27" t="n"/>
      <c r="H488" s="27" t="n"/>
    </row>
    <row r="489">
      <c r="F489" s="27" t="n"/>
      <c r="G489" s="27" t="n"/>
      <c r="H489" s="27" t="n"/>
    </row>
    <row r="490">
      <c r="F490" s="27" t="n"/>
      <c r="G490" s="27" t="n"/>
      <c r="H490" s="27" t="n"/>
    </row>
    <row r="491">
      <c r="F491" s="27" t="n"/>
      <c r="G491" s="27" t="n"/>
      <c r="H491" s="27" t="n"/>
    </row>
    <row r="492">
      <c r="F492" s="27" t="n"/>
      <c r="G492" s="27" t="n"/>
      <c r="H492" s="27" t="n"/>
    </row>
    <row r="493">
      <c r="F493" s="27" t="n"/>
      <c r="G493" s="27" t="n"/>
      <c r="H493" s="27" t="n"/>
    </row>
    <row r="494">
      <c r="F494" s="27" t="n"/>
      <c r="G494" s="27" t="n"/>
      <c r="H494" s="27" t="n"/>
    </row>
    <row r="495">
      <c r="F495" s="27" t="n"/>
      <c r="G495" s="27" t="n"/>
      <c r="H495" s="27" t="n"/>
    </row>
    <row r="496">
      <c r="F496" s="27" t="n"/>
      <c r="G496" s="27" t="n"/>
      <c r="H496" s="27" t="n"/>
    </row>
    <row r="497">
      <c r="F497" s="27" t="n"/>
      <c r="G497" s="27" t="n"/>
      <c r="H497" s="27" t="n"/>
    </row>
    <row r="498">
      <c r="F498" s="27" t="n"/>
      <c r="G498" s="27" t="n"/>
      <c r="H498" s="27" t="n"/>
    </row>
    <row r="499">
      <c r="F499" s="27" t="n"/>
      <c r="G499" s="27" t="n"/>
      <c r="H499" s="27" t="n"/>
    </row>
    <row r="500">
      <c r="F500" s="27" t="n"/>
      <c r="G500" s="27" t="n"/>
      <c r="H500" s="27" t="n"/>
    </row>
    <row r="501">
      <c r="F501" s="27" t="n"/>
      <c r="G501" s="27" t="n"/>
      <c r="H501" s="27" t="n"/>
    </row>
    <row r="502">
      <c r="F502" s="27" t="n"/>
      <c r="G502" s="27" t="n"/>
      <c r="H502" s="27" t="n"/>
    </row>
    <row r="503">
      <c r="F503" s="27" t="n"/>
      <c r="G503" s="27" t="n"/>
      <c r="H503" s="27" t="n"/>
    </row>
    <row r="504">
      <c r="F504" s="27" t="n"/>
      <c r="G504" s="27" t="n"/>
      <c r="H504" s="27" t="n"/>
    </row>
    <row r="505">
      <c r="F505" s="27" t="n"/>
      <c r="G505" s="27" t="n"/>
      <c r="H505" s="27" t="n"/>
    </row>
    <row r="506">
      <c r="F506" s="27" t="n"/>
      <c r="G506" s="27" t="n"/>
      <c r="H506" s="27" t="n"/>
    </row>
    <row r="507">
      <c r="F507" s="27" t="n"/>
      <c r="G507" s="27" t="n"/>
      <c r="H507" s="27" t="n"/>
    </row>
    <row r="508">
      <c r="F508" s="27" t="n"/>
      <c r="G508" s="27" t="n"/>
      <c r="H508" s="27" t="n"/>
    </row>
    <row r="509">
      <c r="F509" s="27" t="n"/>
      <c r="G509" s="27" t="n"/>
      <c r="H509" s="27" t="n"/>
    </row>
    <row r="510">
      <c r="F510" s="27" t="n"/>
      <c r="G510" s="27" t="n"/>
      <c r="H510" s="27" t="n"/>
    </row>
    <row r="511">
      <c r="F511" s="27" t="n"/>
      <c r="G511" s="27" t="n"/>
      <c r="H511" s="27" t="n"/>
    </row>
    <row r="512">
      <c r="F512" s="27" t="n"/>
      <c r="G512" s="27" t="n"/>
      <c r="H512" s="27" t="n"/>
    </row>
    <row r="513">
      <c r="F513" s="27" t="n"/>
      <c r="G513" s="27" t="n"/>
      <c r="H513" s="27" t="n"/>
    </row>
    <row r="514">
      <c r="F514" s="27" t="n"/>
      <c r="G514" s="27" t="n"/>
      <c r="H514" s="27" t="n"/>
    </row>
    <row r="515">
      <c r="F515" s="27" t="n"/>
      <c r="G515" s="27" t="n"/>
      <c r="H515" s="27" t="n"/>
    </row>
    <row r="516">
      <c r="F516" s="27" t="n"/>
      <c r="G516" s="27" t="n"/>
      <c r="H516" s="27" t="n"/>
    </row>
    <row r="517">
      <c r="F517" s="27" t="n"/>
      <c r="G517" s="27" t="n"/>
      <c r="H517" s="27" t="n"/>
    </row>
    <row r="518">
      <c r="F518" s="27" t="n"/>
      <c r="G518" s="27" t="n"/>
      <c r="H518" s="27" t="n"/>
    </row>
    <row r="519">
      <c r="F519" s="27" t="n"/>
      <c r="G519" s="27" t="n"/>
      <c r="H519" s="27" t="n"/>
    </row>
    <row r="520">
      <c r="F520" s="27" t="n"/>
      <c r="G520" s="27" t="n"/>
      <c r="H520" s="27" t="n"/>
    </row>
    <row r="521">
      <c r="F521" s="27" t="n"/>
      <c r="G521" s="27" t="n"/>
      <c r="H521" s="27" t="n"/>
    </row>
    <row r="522">
      <c r="F522" s="27" t="n"/>
      <c r="G522" s="27" t="n"/>
      <c r="H522" s="27" t="n"/>
    </row>
    <row r="523">
      <c r="F523" s="27" t="n"/>
      <c r="G523" s="27" t="n"/>
      <c r="H523" s="27" t="n"/>
    </row>
    <row r="524">
      <c r="F524" s="27" t="n"/>
      <c r="G524" s="27" t="n"/>
      <c r="H524" s="27" t="n"/>
    </row>
    <row r="525">
      <c r="F525" s="27" t="n"/>
      <c r="G525" s="27" t="n"/>
      <c r="H525" s="27" t="n"/>
    </row>
    <row r="526">
      <c r="F526" s="27" t="n"/>
      <c r="G526" s="27" t="n"/>
      <c r="H526" s="27" t="n"/>
    </row>
    <row r="527">
      <c r="F527" s="27" t="n"/>
      <c r="G527" s="27" t="n"/>
      <c r="H527" s="27" t="n"/>
    </row>
    <row r="528">
      <c r="F528" s="27" t="n"/>
      <c r="G528" s="27" t="n"/>
      <c r="H528" s="27" t="n"/>
    </row>
    <row r="529">
      <c r="F529" s="27" t="n"/>
      <c r="G529" s="27" t="n"/>
      <c r="H529" s="27" t="n"/>
    </row>
    <row r="530">
      <c r="F530" s="27" t="n"/>
      <c r="G530" s="27" t="n"/>
      <c r="H530" s="27" t="n"/>
    </row>
    <row r="531">
      <c r="F531" s="27" t="n"/>
      <c r="G531" s="27" t="n"/>
      <c r="H531" s="27" t="n"/>
    </row>
    <row r="532">
      <c r="F532" s="27" t="n"/>
      <c r="G532" s="27" t="n"/>
      <c r="H532" s="27" t="n"/>
    </row>
    <row r="533">
      <c r="F533" s="27" t="n"/>
      <c r="G533" s="27" t="n"/>
      <c r="H533" s="27" t="n"/>
    </row>
    <row r="534">
      <c r="F534" s="27" t="n"/>
      <c r="G534" s="27" t="n"/>
      <c r="H534" s="27" t="n"/>
    </row>
    <row r="535">
      <c r="F535" s="27" t="n"/>
      <c r="G535" s="27" t="n"/>
      <c r="H535" s="27" t="n"/>
    </row>
    <row r="536">
      <c r="F536" s="27" t="n"/>
      <c r="G536" s="27" t="n"/>
      <c r="H536" s="27" t="n"/>
    </row>
    <row r="537">
      <c r="F537" s="27" t="n"/>
      <c r="G537" s="27" t="n"/>
      <c r="H537" s="27" t="n"/>
    </row>
    <row r="538">
      <c r="F538" s="27" t="n"/>
      <c r="G538" s="27" t="n"/>
      <c r="H538" s="27" t="n"/>
    </row>
    <row r="539">
      <c r="F539" s="27" t="n"/>
      <c r="G539" s="27" t="n"/>
      <c r="H539" s="27" t="n"/>
    </row>
    <row r="540">
      <c r="F540" s="27" t="n"/>
      <c r="G540" s="27" t="n"/>
      <c r="H540" s="27" t="n"/>
    </row>
    <row r="541">
      <c r="F541" s="27" t="n"/>
      <c r="G541" s="27" t="n"/>
      <c r="H541" s="27" t="n"/>
    </row>
    <row r="542">
      <c r="F542" s="27" t="n"/>
      <c r="G542" s="27" t="n"/>
      <c r="H542" s="27" t="n"/>
    </row>
    <row r="543">
      <c r="F543" s="27" t="n"/>
      <c r="G543" s="27" t="n"/>
      <c r="H543" s="27" t="n"/>
    </row>
    <row r="544">
      <c r="F544" s="27" t="n"/>
      <c r="G544" s="27" t="n"/>
      <c r="H544" s="27" t="n"/>
    </row>
    <row r="545">
      <c r="F545" s="27" t="n"/>
      <c r="G545" s="27" t="n"/>
      <c r="H545" s="27" t="n"/>
    </row>
    <row r="546">
      <c r="F546" s="27" t="n"/>
      <c r="G546" s="27" t="n"/>
      <c r="H546" s="27" t="n"/>
    </row>
    <row r="547">
      <c r="F547" s="27" t="n"/>
      <c r="G547" s="27" t="n"/>
      <c r="H547" s="27" t="n"/>
    </row>
    <row r="548">
      <c r="F548" s="27" t="n"/>
      <c r="G548" s="27" t="n"/>
      <c r="H548" s="27" t="n"/>
    </row>
    <row r="549">
      <c r="F549" s="27" t="n"/>
      <c r="G549" s="27" t="n"/>
      <c r="H549" s="27" t="n"/>
    </row>
    <row r="550">
      <c r="F550" s="27" t="n"/>
      <c r="G550" s="27" t="n"/>
      <c r="H550" s="27" t="n"/>
    </row>
    <row r="551">
      <c r="F551" s="27" t="n"/>
      <c r="G551" s="27" t="n"/>
      <c r="H551" s="27" t="n"/>
    </row>
    <row r="552">
      <c r="F552" s="27" t="n"/>
      <c r="G552" s="27" t="n"/>
      <c r="H552" s="27" t="n"/>
    </row>
    <row r="553">
      <c r="F553" s="27" t="n"/>
      <c r="G553" s="27" t="n"/>
      <c r="H553" s="27" t="n"/>
    </row>
    <row r="554">
      <c r="F554" s="27" t="n"/>
      <c r="G554" s="27" t="n"/>
      <c r="H554" s="27" t="n"/>
    </row>
    <row r="555">
      <c r="F555" s="27" t="n"/>
      <c r="G555" s="27" t="n"/>
      <c r="H555" s="27" t="n"/>
    </row>
    <row r="556">
      <c r="F556" s="27" t="n"/>
      <c r="G556" s="27" t="n"/>
      <c r="H556" s="27" t="n"/>
    </row>
    <row r="557">
      <c r="F557" s="27" t="n"/>
      <c r="G557" s="27" t="n"/>
      <c r="H557" s="27" t="n"/>
    </row>
    <row r="558">
      <c r="F558" s="27" t="n"/>
      <c r="G558" s="27" t="n"/>
      <c r="H558" s="27" t="n"/>
    </row>
    <row r="559">
      <c r="F559" s="27" t="n"/>
      <c r="G559" s="27" t="n"/>
      <c r="H559" s="27" t="n"/>
    </row>
    <row r="560">
      <c r="F560" s="27" t="n"/>
      <c r="G560" s="27" t="n"/>
      <c r="H560" s="27" t="n"/>
    </row>
    <row r="561">
      <c r="F561" s="27" t="n"/>
      <c r="G561" s="27" t="n"/>
      <c r="H561" s="27" t="n"/>
    </row>
    <row r="562">
      <c r="F562" s="27" t="n"/>
      <c r="G562" s="27" t="n"/>
      <c r="H562" s="27" t="n"/>
    </row>
    <row r="563">
      <c r="F563" s="27" t="n"/>
      <c r="G563" s="27" t="n"/>
      <c r="H563" s="27" t="n"/>
    </row>
    <row r="564">
      <c r="F564" s="27" t="n"/>
      <c r="G564" s="27" t="n"/>
      <c r="H564" s="27" t="n"/>
    </row>
    <row r="565">
      <c r="F565" s="27" t="n"/>
      <c r="G565" s="27" t="n"/>
      <c r="H565" s="27" t="n"/>
    </row>
    <row r="566">
      <c r="F566" s="27" t="n"/>
      <c r="G566" s="27" t="n"/>
      <c r="H566" s="27" t="n"/>
    </row>
    <row r="567">
      <c r="F567" s="27" t="n"/>
      <c r="G567" s="27" t="n"/>
      <c r="H567" s="27" t="n"/>
    </row>
    <row r="568">
      <c r="F568" s="27" t="n"/>
      <c r="G568" s="27" t="n"/>
      <c r="H568" s="27" t="n"/>
    </row>
    <row r="569">
      <c r="F569" s="27" t="n"/>
      <c r="G569" s="27" t="n"/>
      <c r="H569" s="27" t="n"/>
    </row>
    <row r="570">
      <c r="F570" s="27" t="n"/>
      <c r="G570" s="27" t="n"/>
      <c r="H570" s="27" t="n"/>
    </row>
    <row r="571">
      <c r="F571" s="27" t="n"/>
      <c r="G571" s="27" t="n"/>
      <c r="H571" s="27" t="n"/>
    </row>
    <row r="572">
      <c r="F572" s="27" t="n"/>
      <c r="G572" s="27" t="n"/>
      <c r="H572" s="27" t="n"/>
    </row>
    <row r="573">
      <c r="F573" s="27" t="n"/>
      <c r="G573" s="27" t="n"/>
      <c r="H573" s="27" t="n"/>
    </row>
    <row r="574">
      <c r="F574" s="27" t="n"/>
      <c r="G574" s="27" t="n"/>
      <c r="H574" s="27" t="n"/>
    </row>
    <row r="575">
      <c r="F575" s="27" t="n"/>
      <c r="G575" s="27" t="n"/>
      <c r="H575" s="27" t="n"/>
    </row>
    <row r="576">
      <c r="F576" s="27" t="n"/>
      <c r="G576" s="27" t="n"/>
      <c r="H576" s="27" t="n"/>
    </row>
    <row r="577">
      <c r="F577" s="27" t="n"/>
      <c r="G577" s="27" t="n"/>
      <c r="H577" s="27" t="n"/>
    </row>
    <row r="578">
      <c r="F578" s="27" t="n"/>
      <c r="G578" s="27" t="n"/>
      <c r="H578" s="27" t="n"/>
    </row>
    <row r="579">
      <c r="F579" s="27" t="n"/>
      <c r="G579" s="27" t="n"/>
      <c r="H579" s="27" t="n"/>
    </row>
    <row r="580">
      <c r="F580" s="27" t="n"/>
      <c r="G580" s="27" t="n"/>
      <c r="H580" s="27" t="n"/>
    </row>
    <row r="581">
      <c r="F581" s="27" t="n"/>
      <c r="G581" s="27" t="n"/>
      <c r="H581" s="27" t="n"/>
    </row>
    <row r="582">
      <c r="F582" s="27" t="n"/>
      <c r="G582" s="27" t="n"/>
      <c r="H582" s="27" t="n"/>
    </row>
    <row r="583">
      <c r="F583" s="27" t="n"/>
      <c r="G583" s="27" t="n"/>
      <c r="H583" s="27" t="n"/>
    </row>
    <row r="584">
      <c r="F584" s="27" t="n"/>
      <c r="G584" s="27" t="n"/>
      <c r="H584" s="27" t="n"/>
    </row>
    <row r="585">
      <c r="F585" s="27" t="n"/>
      <c r="G585" s="27" t="n"/>
      <c r="H585" s="27" t="n"/>
    </row>
    <row r="586">
      <c r="F586" s="27" t="n"/>
      <c r="G586" s="27" t="n"/>
      <c r="H586" s="27" t="n"/>
    </row>
    <row r="587">
      <c r="F587" s="27" t="n"/>
      <c r="G587" s="27" t="n"/>
      <c r="H587" s="27" t="n"/>
    </row>
    <row r="588">
      <c r="F588" s="27" t="n"/>
      <c r="G588" s="27" t="n"/>
      <c r="H588" s="27" t="n"/>
    </row>
    <row r="589">
      <c r="F589" s="27" t="n"/>
      <c r="G589" s="27" t="n"/>
      <c r="H589" s="27" t="n"/>
    </row>
    <row r="590">
      <c r="F590" s="27" t="n"/>
      <c r="G590" s="27" t="n"/>
      <c r="H590" s="27" t="n"/>
    </row>
    <row r="591">
      <c r="F591" s="27" t="n"/>
      <c r="G591" s="27" t="n"/>
      <c r="H591" s="27" t="n"/>
    </row>
    <row r="592">
      <c r="F592" s="27" t="n"/>
      <c r="G592" s="27" t="n"/>
      <c r="H592" s="27" t="n"/>
    </row>
    <row r="593">
      <c r="F593" s="27" t="n"/>
      <c r="G593" s="27" t="n"/>
      <c r="H593" s="27" t="n"/>
    </row>
    <row r="594">
      <c r="F594" s="27" t="n"/>
      <c r="G594" s="27" t="n"/>
      <c r="H594" s="27" t="n"/>
    </row>
    <row r="595">
      <c r="F595" s="27" t="n"/>
      <c r="G595" s="27" t="n"/>
      <c r="H595" s="27" t="n"/>
    </row>
    <row r="596">
      <c r="F596" s="27" t="n"/>
      <c r="G596" s="27" t="n"/>
      <c r="H596" s="27" t="n"/>
    </row>
    <row r="597">
      <c r="F597" s="27" t="n"/>
      <c r="G597" s="27" t="n"/>
      <c r="H597" s="27" t="n"/>
    </row>
    <row r="598">
      <c r="F598" s="27" t="n"/>
      <c r="G598" s="27" t="n"/>
      <c r="H598" s="27" t="n"/>
    </row>
    <row r="599">
      <c r="F599" s="27" t="n"/>
      <c r="G599" s="27" t="n"/>
      <c r="H599" s="27" t="n"/>
    </row>
    <row r="600">
      <c r="F600" s="27" t="n"/>
      <c r="G600" s="27" t="n"/>
      <c r="H600" s="27" t="n"/>
    </row>
    <row r="601">
      <c r="F601" s="27" t="n"/>
      <c r="G601" s="27" t="n"/>
      <c r="H601" s="27" t="n"/>
    </row>
    <row r="602">
      <c r="F602" s="27" t="n"/>
      <c r="G602" s="27" t="n"/>
      <c r="H602" s="27" t="n"/>
    </row>
    <row r="603">
      <c r="F603" s="27" t="n"/>
      <c r="G603" s="27" t="n"/>
      <c r="H603" s="27" t="n"/>
    </row>
    <row r="604">
      <c r="F604" s="27" t="n"/>
      <c r="G604" s="27" t="n"/>
      <c r="H604" s="27" t="n"/>
    </row>
    <row r="605">
      <c r="F605" s="27" t="n"/>
      <c r="G605" s="27" t="n"/>
      <c r="H605" s="27" t="n"/>
    </row>
    <row r="606">
      <c r="F606" s="27" t="n"/>
      <c r="G606" s="27" t="n"/>
      <c r="H606" s="27" t="n"/>
    </row>
    <row r="607">
      <c r="F607" s="27" t="n"/>
      <c r="G607" s="27" t="n"/>
      <c r="H607" s="27" t="n"/>
    </row>
    <row r="608">
      <c r="F608" s="27" t="n"/>
      <c r="G608" s="27" t="n"/>
      <c r="H608" s="27" t="n"/>
    </row>
    <row r="609">
      <c r="F609" s="27" t="n"/>
      <c r="G609" s="27" t="n"/>
      <c r="H609" s="27" t="n"/>
    </row>
    <row r="610">
      <c r="F610" s="27" t="n"/>
      <c r="G610" s="27" t="n"/>
      <c r="H610" s="27" t="n"/>
    </row>
    <row r="611">
      <c r="F611" s="27" t="n"/>
      <c r="G611" s="27" t="n"/>
      <c r="H611" s="27" t="n"/>
    </row>
    <row r="612">
      <c r="F612" s="27" t="n"/>
      <c r="G612" s="27" t="n"/>
      <c r="H612" s="27" t="n"/>
    </row>
    <row r="613">
      <c r="F613" s="27" t="n"/>
      <c r="G613" s="27" t="n"/>
      <c r="H613" s="27" t="n"/>
    </row>
    <row r="614">
      <c r="F614" s="27" t="n"/>
      <c r="G614" s="27" t="n"/>
      <c r="H614" s="27" t="n"/>
    </row>
    <row r="615">
      <c r="F615" s="27" t="n"/>
      <c r="G615" s="27" t="n"/>
      <c r="H615" s="27" t="n"/>
    </row>
    <row r="616">
      <c r="F616" s="27" t="n"/>
      <c r="G616" s="27" t="n"/>
      <c r="H616" s="27" t="n"/>
    </row>
    <row r="617">
      <c r="F617" s="27" t="n"/>
      <c r="G617" s="27" t="n"/>
      <c r="H617" s="27" t="n"/>
    </row>
    <row r="618">
      <c r="F618" s="27" t="n"/>
      <c r="G618" s="27" t="n"/>
      <c r="H618" s="27" t="n"/>
    </row>
    <row r="619">
      <c r="F619" s="27" t="n"/>
      <c r="G619" s="27" t="n"/>
      <c r="H619" s="27" t="n"/>
    </row>
    <row r="620">
      <c r="F620" s="27" t="n"/>
      <c r="G620" s="27" t="n"/>
      <c r="H620" s="27" t="n"/>
    </row>
    <row r="621">
      <c r="F621" s="27" t="n"/>
      <c r="G621" s="27" t="n"/>
      <c r="H621" s="27" t="n"/>
    </row>
    <row r="622">
      <c r="F622" s="27" t="n"/>
      <c r="G622" s="27" t="n"/>
      <c r="H622" s="27" t="n"/>
    </row>
    <row r="623">
      <c r="F623" s="27" t="n"/>
      <c r="G623" s="27" t="n"/>
      <c r="H623" s="27" t="n"/>
    </row>
    <row r="624">
      <c r="F624" s="27" t="n"/>
      <c r="G624" s="27" t="n"/>
      <c r="H624" s="27" t="n"/>
    </row>
    <row r="625">
      <c r="F625" s="27" t="n"/>
      <c r="G625" s="27" t="n"/>
      <c r="H625" s="27" t="n"/>
    </row>
    <row r="626">
      <c r="F626" s="27" t="n"/>
      <c r="G626" s="27" t="n"/>
      <c r="H626" s="27" t="n"/>
    </row>
    <row r="627">
      <c r="F627" s="27" t="n"/>
      <c r="G627" s="27" t="n"/>
      <c r="H627" s="27" t="n"/>
    </row>
    <row r="628">
      <c r="F628" s="27" t="n"/>
      <c r="G628" s="27" t="n"/>
      <c r="H628" s="27" t="n"/>
    </row>
    <row r="629">
      <c r="F629" s="27" t="n"/>
      <c r="G629" s="27" t="n"/>
      <c r="H629" s="27" t="n"/>
    </row>
    <row r="630">
      <c r="F630" s="27" t="n"/>
      <c r="G630" s="27" t="n"/>
      <c r="H630" s="27" t="n"/>
    </row>
    <row r="631">
      <c r="F631" s="27" t="n"/>
      <c r="G631" s="27" t="n"/>
      <c r="H631" s="27" t="n"/>
    </row>
    <row r="632">
      <c r="F632" s="27" t="n"/>
      <c r="G632" s="27" t="n"/>
      <c r="H632" s="27" t="n"/>
    </row>
    <row r="633">
      <c r="F633" s="27" t="n"/>
      <c r="G633" s="27" t="n"/>
      <c r="H633" s="27" t="n"/>
    </row>
    <row r="634">
      <c r="F634" s="27" t="n"/>
      <c r="G634" s="27" t="n"/>
      <c r="H634" s="27" t="n"/>
    </row>
    <row r="635">
      <c r="F635" s="27" t="n"/>
      <c r="G635" s="27" t="n"/>
      <c r="H635" s="27" t="n"/>
    </row>
    <row r="636">
      <c r="F636" s="27" t="n"/>
      <c r="G636" s="27" t="n"/>
      <c r="H636" s="27" t="n"/>
    </row>
    <row r="637">
      <c r="F637" s="27" t="n"/>
      <c r="G637" s="27" t="n"/>
      <c r="H637" s="27" t="n"/>
    </row>
    <row r="638">
      <c r="F638" s="27" t="n"/>
      <c r="G638" s="27" t="n"/>
      <c r="H638" s="27" t="n"/>
    </row>
    <row r="639">
      <c r="F639" s="27" t="n"/>
      <c r="G639" s="27" t="n"/>
      <c r="H639" s="27" t="n"/>
    </row>
    <row r="640">
      <c r="F640" s="27" t="n"/>
      <c r="G640" s="27" t="n"/>
      <c r="H640" s="27" t="n"/>
    </row>
    <row r="641">
      <c r="F641" s="27" t="n"/>
      <c r="G641" s="27" t="n"/>
      <c r="H641" s="27" t="n"/>
    </row>
    <row r="642">
      <c r="F642" s="27" t="n"/>
      <c r="G642" s="27" t="n"/>
      <c r="H642" s="27" t="n"/>
    </row>
    <row r="643">
      <c r="F643" s="27" t="n"/>
      <c r="G643" s="27" t="n"/>
      <c r="H643" s="27" t="n"/>
    </row>
    <row r="644">
      <c r="F644" s="27" t="n"/>
      <c r="G644" s="27" t="n"/>
      <c r="H644" s="27" t="n"/>
    </row>
    <row r="645">
      <c r="F645" s="27" t="n"/>
      <c r="G645" s="27" t="n"/>
      <c r="H645" s="27" t="n"/>
    </row>
    <row r="646">
      <c r="F646" s="27" t="n"/>
      <c r="G646" s="27" t="n"/>
      <c r="H646" s="27" t="n"/>
    </row>
    <row r="647">
      <c r="F647" s="27" t="n"/>
      <c r="G647" s="27" t="n"/>
      <c r="H647" s="27" t="n"/>
    </row>
    <row r="648">
      <c r="F648" s="27" t="n"/>
      <c r="G648" s="27" t="n"/>
      <c r="H648" s="27" t="n"/>
    </row>
    <row r="649">
      <c r="F649" s="27" t="n"/>
      <c r="G649" s="27" t="n"/>
      <c r="H649" s="27" t="n"/>
    </row>
    <row r="650">
      <c r="F650" s="27" t="n"/>
      <c r="G650" s="27" t="n"/>
      <c r="H650" s="27" t="n"/>
    </row>
    <row r="651">
      <c r="F651" s="27" t="n"/>
      <c r="G651" s="27" t="n"/>
      <c r="H651" s="27" t="n"/>
    </row>
    <row r="652">
      <c r="F652" s="27" t="n"/>
      <c r="G652" s="27" t="n"/>
      <c r="H652" s="27" t="n"/>
    </row>
    <row r="653">
      <c r="F653" s="27" t="n"/>
      <c r="G653" s="27" t="n"/>
      <c r="H653" s="27" t="n"/>
    </row>
    <row r="654">
      <c r="F654" s="27" t="n"/>
      <c r="G654" s="27" t="n"/>
      <c r="H654" s="27" t="n"/>
    </row>
    <row r="655">
      <c r="F655" s="27" t="n"/>
      <c r="G655" s="27" t="n"/>
      <c r="H655" s="27" t="n"/>
    </row>
    <row r="656">
      <c r="F656" s="27" t="n"/>
      <c r="G656" s="27" t="n"/>
      <c r="H656" s="27" t="n"/>
    </row>
    <row r="657">
      <c r="F657" s="27" t="n"/>
      <c r="G657" s="27" t="n"/>
      <c r="H657" s="27" t="n"/>
    </row>
    <row r="658">
      <c r="F658" s="27" t="n"/>
      <c r="G658" s="27" t="n"/>
      <c r="H658" s="27" t="n"/>
    </row>
    <row r="659">
      <c r="F659" s="27" t="n"/>
      <c r="G659" s="27" t="n"/>
      <c r="H659" s="27" t="n"/>
    </row>
    <row r="660">
      <c r="F660" s="27" t="n"/>
      <c r="G660" s="27" t="n"/>
      <c r="H660" s="27" t="n"/>
    </row>
    <row r="661">
      <c r="F661" s="27" t="n"/>
      <c r="G661" s="27" t="n"/>
      <c r="H661" s="27" t="n"/>
    </row>
    <row r="662">
      <c r="F662" s="27" t="n"/>
      <c r="G662" s="27" t="n"/>
      <c r="H662" s="27" t="n"/>
    </row>
    <row r="663">
      <c r="F663" s="27" t="n"/>
      <c r="G663" s="27" t="n"/>
      <c r="H663" s="27" t="n"/>
    </row>
    <row r="664">
      <c r="F664" s="27" t="n"/>
      <c r="G664" s="27" t="n"/>
      <c r="H664" s="27" t="n"/>
    </row>
    <row r="665">
      <c r="F665" s="27" t="n"/>
      <c r="G665" s="27" t="n"/>
      <c r="H665" s="27" t="n"/>
    </row>
    <row r="666">
      <c r="F666" s="27" t="n"/>
      <c r="G666" s="27" t="n"/>
      <c r="H666" s="27" t="n"/>
    </row>
    <row r="667">
      <c r="F667" s="27" t="n"/>
      <c r="G667" s="27" t="n"/>
      <c r="H667" s="27" t="n"/>
    </row>
    <row r="668">
      <c r="F668" s="27" t="n"/>
      <c r="G668" s="27" t="n"/>
      <c r="H668" s="27" t="n"/>
    </row>
    <row r="669">
      <c r="F669" s="27" t="n"/>
      <c r="G669" s="27" t="n"/>
      <c r="H669" s="27" t="n"/>
    </row>
    <row r="670">
      <c r="F670" s="27" t="n"/>
      <c r="G670" s="27" t="n"/>
      <c r="H670" s="27" t="n"/>
    </row>
    <row r="671">
      <c r="F671" s="27" t="n"/>
      <c r="G671" s="27" t="n"/>
      <c r="H671" s="27" t="n"/>
    </row>
    <row r="672">
      <c r="F672" s="27" t="n"/>
      <c r="G672" s="27" t="n"/>
      <c r="H672" s="27" t="n"/>
    </row>
    <row r="673">
      <c r="F673" s="27" t="n"/>
      <c r="G673" s="27" t="n"/>
      <c r="H673" s="27" t="n"/>
    </row>
    <row r="674">
      <c r="F674" s="27" t="n"/>
      <c r="G674" s="27" t="n"/>
      <c r="H674" s="27" t="n"/>
    </row>
    <row r="675">
      <c r="F675" s="27" t="n"/>
      <c r="G675" s="27" t="n"/>
      <c r="H675" s="27" t="n"/>
    </row>
    <row r="676">
      <c r="F676" s="27" t="n"/>
      <c r="G676" s="27" t="n"/>
      <c r="H676" s="27" t="n"/>
    </row>
    <row r="677">
      <c r="F677" s="27" t="n"/>
      <c r="G677" s="27" t="n"/>
      <c r="H677" s="27" t="n"/>
    </row>
    <row r="678">
      <c r="F678" s="27" t="n"/>
      <c r="G678" s="27" t="n"/>
      <c r="H678" s="27" t="n"/>
    </row>
    <row r="679">
      <c r="F679" s="27" t="n"/>
      <c r="G679" s="27" t="n"/>
      <c r="H679" s="27" t="n"/>
    </row>
    <row r="680">
      <c r="F680" s="27" t="n"/>
      <c r="G680" s="27" t="n"/>
      <c r="H680" s="27" t="n"/>
    </row>
    <row r="681">
      <c r="F681" s="27" t="n"/>
      <c r="G681" s="27" t="n"/>
      <c r="H681" s="27" t="n"/>
    </row>
    <row r="682">
      <c r="F682" s="27" t="n"/>
      <c r="G682" s="27" t="n"/>
      <c r="H682" s="27" t="n"/>
    </row>
    <row r="683">
      <c r="F683" s="27" t="n"/>
      <c r="G683" s="27" t="n"/>
      <c r="H683" s="27" t="n"/>
    </row>
    <row r="684">
      <c r="F684" s="27" t="n"/>
      <c r="G684" s="27" t="n"/>
      <c r="H684" s="27" t="n"/>
    </row>
    <row r="685">
      <c r="F685" s="27" t="n"/>
      <c r="G685" s="27" t="n"/>
      <c r="H685" s="27" t="n"/>
    </row>
    <row r="686">
      <c r="F686" s="27" t="n"/>
      <c r="G686" s="27" t="n"/>
      <c r="H686" s="27" t="n"/>
    </row>
    <row r="687">
      <c r="F687" s="27" t="n"/>
      <c r="G687" s="27" t="n"/>
      <c r="H687" s="27" t="n"/>
    </row>
    <row r="688">
      <c r="F688" s="27" t="n"/>
      <c r="G688" s="27" t="n"/>
      <c r="H688" s="27" t="n"/>
    </row>
    <row r="689">
      <c r="F689" s="27" t="n"/>
      <c r="G689" s="27" t="n"/>
      <c r="H689" s="27" t="n"/>
    </row>
    <row r="690">
      <c r="F690" s="27" t="n"/>
      <c r="G690" s="27" t="n"/>
      <c r="H690" s="27" t="n"/>
    </row>
    <row r="691">
      <c r="F691" s="27" t="n"/>
      <c r="G691" s="27" t="n"/>
      <c r="H691" s="27" t="n"/>
    </row>
    <row r="692">
      <c r="F692" s="27" t="n"/>
      <c r="G692" s="27" t="n"/>
      <c r="H692" s="27" t="n"/>
    </row>
    <row r="693">
      <c r="F693" s="27" t="n"/>
      <c r="G693" s="27" t="n"/>
      <c r="H693" s="27" t="n"/>
    </row>
    <row r="694">
      <c r="F694" s="27" t="n"/>
      <c r="G694" s="27" t="n"/>
      <c r="H694" s="27" t="n"/>
    </row>
    <row r="695">
      <c r="F695" s="27" t="n"/>
      <c r="G695" s="27" t="n"/>
      <c r="H695" s="27" t="n"/>
    </row>
    <row r="696">
      <c r="F696" s="27" t="n"/>
      <c r="G696" s="27" t="n"/>
      <c r="H696" s="27" t="n"/>
    </row>
    <row r="697">
      <c r="F697" s="27" t="n"/>
      <c r="G697" s="27" t="n"/>
      <c r="H697" s="27" t="n"/>
    </row>
    <row r="698">
      <c r="F698" s="27" t="n"/>
      <c r="G698" s="27" t="n"/>
      <c r="H698" s="27" t="n"/>
    </row>
    <row r="699">
      <c r="F699" s="27" t="n"/>
      <c r="G699" s="27" t="n"/>
      <c r="H699" s="27" t="n"/>
    </row>
    <row r="700">
      <c r="F700" s="27" t="n"/>
      <c r="G700" s="27" t="n"/>
      <c r="H700" s="27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K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1" t="inlineStr">
        <is>
          <t>Milestone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Milestone ID</t>
        </is>
      </c>
      <c r="B4" s="10" t="inlineStr">
        <is>
          <t>Project ID</t>
        </is>
      </c>
      <c r="C4" s="10" t="inlineStr">
        <is>
          <t>Milestone Name</t>
        </is>
      </c>
      <c r="D4" s="10" t="inlineStr">
        <is>
          <t>Planned Date</t>
        </is>
      </c>
      <c r="E4" s="10" t="inlineStr">
        <is>
          <t>Actual Date</t>
        </is>
      </c>
      <c r="F4" s="10" t="inlineStr">
        <is>
          <t>Status</t>
        </is>
      </c>
      <c r="G4" s="10" t="inlineStr">
        <is>
          <t>Delay Days</t>
        </is>
      </c>
      <c r="H4" s="10" t="inlineStr">
        <is>
          <t>Owner</t>
        </is>
      </c>
      <c r="I4" s="10" t="inlineStr">
        <is>
          <t>Remarks</t>
        </is>
      </c>
    </row>
    <row r="5">
      <c r="A5" s="15">
        <f>IFERROR(FILTER('Data - Milestone Tracker'!A2:I350,('Data - Milestone Tracker'!$A$2:$A$350&lt;&gt;"")*(IF(C2="All",TRUE,'Data - Milestone Tracker'!$B$2:$B$350=C2))*(IF(E2="All",TRUE,'Data - Milestone Tracker'!$F$2:$F$350=E2))*(IF(G2="All",TRUE,'Data - Milestone Tracker'!$H$2:$H$350=G2))),"No matching records")</f>
        <v/>
      </c>
      <c r="B5" s="15" t="n"/>
      <c r="C5" s="15" t="n"/>
      <c r="D5" s="16" t="n"/>
      <c r="E5" s="16" t="n"/>
      <c r="F5" s="15" t="n"/>
      <c r="G5" s="15" t="n"/>
      <c r="H5" s="15" t="n"/>
      <c r="I5" s="15" t="n"/>
    </row>
    <row r="6">
      <c r="A6" s="15" t="n"/>
      <c r="B6" s="15" t="n"/>
      <c r="C6" s="15" t="n"/>
      <c r="D6" s="16" t="n"/>
      <c r="E6" s="16" t="n"/>
      <c r="F6" s="15" t="n"/>
      <c r="G6" s="15" t="n"/>
      <c r="H6" s="15" t="n"/>
      <c r="I6" s="15" t="n"/>
    </row>
    <row r="7">
      <c r="A7" s="15" t="n"/>
      <c r="B7" s="15" t="n"/>
      <c r="C7" s="15" t="n"/>
      <c r="D7" s="16" t="n"/>
      <c r="E7" s="16" t="n"/>
      <c r="F7" s="15" t="n"/>
      <c r="G7" s="15" t="n"/>
      <c r="H7" s="15" t="n"/>
      <c r="I7" s="15" t="n"/>
    </row>
    <row r="8">
      <c r="A8" s="15" t="n"/>
      <c r="B8" s="15" t="n"/>
      <c r="C8" s="15" t="n"/>
      <c r="D8" s="16" t="n"/>
      <c r="E8" s="16" t="n"/>
      <c r="F8" s="15" t="n"/>
      <c r="G8" s="15" t="n"/>
      <c r="H8" s="15" t="n"/>
      <c r="I8" s="15" t="n"/>
    </row>
    <row r="9">
      <c r="A9" s="15" t="n"/>
      <c r="B9" s="15" t="n"/>
      <c r="C9" s="15" t="n"/>
      <c r="D9" s="16" t="n"/>
      <c r="E9" s="16" t="n"/>
      <c r="F9" s="15" t="n"/>
      <c r="G9" s="15" t="n"/>
      <c r="H9" s="15" t="n"/>
      <c r="I9" s="15" t="n"/>
    </row>
    <row r="10">
      <c r="A10" s="15" t="n"/>
      <c r="B10" s="15" t="n"/>
      <c r="C10" s="15" t="n"/>
      <c r="D10" s="16" t="n"/>
      <c r="E10" s="16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6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6" t="n"/>
      <c r="E12" s="16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6" t="n"/>
      <c r="E13" s="16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6" t="n"/>
      <c r="E14" s="16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6" t="n"/>
      <c r="E15" s="16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6" t="n"/>
      <c r="E16" s="16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6" t="n"/>
      <c r="E17" s="16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6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6" t="n"/>
      <c r="E19" s="16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6" t="n"/>
      <c r="E20" s="16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6" t="n"/>
      <c r="E21" s="16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6" t="n"/>
      <c r="E22" s="16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6" t="n"/>
      <c r="E23" s="16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6" t="n"/>
      <c r="E24" s="16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6" t="n"/>
      <c r="E25" s="16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6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6" t="n"/>
      <c r="E27" s="16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6" t="n"/>
      <c r="E28" s="16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6" t="n"/>
      <c r="E29" s="16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6" t="n"/>
      <c r="E30" s="16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6" t="n"/>
      <c r="E31" s="16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6" t="n"/>
      <c r="E32" s="16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6" t="n"/>
      <c r="E33" s="16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6" t="n"/>
      <c r="E34" s="16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6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6" t="n"/>
      <c r="E36" s="16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6" t="n"/>
      <c r="E37" s="16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6" t="n"/>
      <c r="E38" s="16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6" t="n"/>
      <c r="E39" s="16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6" t="n"/>
      <c r="E40" s="16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6" t="n"/>
      <c r="E41" s="16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6" t="n"/>
      <c r="E42" s="16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6" t="n"/>
      <c r="E43" s="16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6" t="n"/>
      <c r="E44" s="16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6" t="n"/>
      <c r="E45" s="16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6" t="n"/>
      <c r="E46" s="16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6" t="n"/>
      <c r="E47" s="16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6" t="n"/>
      <c r="E48" s="16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6" t="n"/>
      <c r="E49" s="16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6" t="n"/>
      <c r="E50" s="16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6" t="n"/>
      <c r="E51" s="16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6" t="n"/>
      <c r="E52" s="16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6" t="n"/>
      <c r="E53" s="16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6" t="n"/>
      <c r="E54" s="16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6" t="n"/>
      <c r="E55" s="16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6" t="n"/>
      <c r="E56" s="16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6" t="n"/>
      <c r="E57" s="16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6" t="n"/>
      <c r="E58" s="16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6" t="n"/>
      <c r="E59" s="16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6" t="n"/>
      <c r="E60" s="16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6" t="n"/>
      <c r="E61" s="16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6" t="n"/>
      <c r="E62" s="16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6" t="n"/>
      <c r="E63" s="16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6" t="n"/>
      <c r="E64" s="16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6" t="n"/>
      <c r="E65" s="16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6" t="n"/>
      <c r="E66" s="16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6" t="n"/>
      <c r="E67" s="16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6" t="n"/>
      <c r="E68" s="16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6" t="n"/>
      <c r="E69" s="16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6" t="n"/>
      <c r="E70" s="16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6" t="n"/>
      <c r="E71" s="16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6" t="n"/>
      <c r="E72" s="16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6" t="n"/>
      <c r="E73" s="16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6" t="n"/>
      <c r="E74" s="16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6" t="n"/>
      <c r="E75" s="16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6" t="n"/>
      <c r="E76" s="16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6" t="n"/>
      <c r="E77" s="16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6" t="n"/>
      <c r="E78" s="16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6" t="n"/>
      <c r="E79" s="16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6" t="n"/>
      <c r="E80" s="16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6" t="n"/>
      <c r="E81" s="16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6" t="n"/>
      <c r="E82" s="16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6" t="n"/>
      <c r="E83" s="16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6" t="n"/>
      <c r="E84" s="16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6" t="n"/>
      <c r="E85" s="16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6" t="n"/>
      <c r="E86" s="16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6" t="n"/>
      <c r="E87" s="16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6" t="n"/>
      <c r="E88" s="16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6" t="n"/>
      <c r="E89" s="16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6" t="n"/>
      <c r="E90" s="16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6" t="n"/>
      <c r="E91" s="16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6" t="n"/>
      <c r="E92" s="16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6" t="n"/>
      <c r="E93" s="16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6" t="n"/>
      <c r="E94" s="16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6" t="n"/>
      <c r="E95" s="16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6" t="n"/>
      <c r="E96" s="16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6" t="n"/>
      <c r="E97" s="16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6" t="n"/>
      <c r="E98" s="16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6" t="n"/>
      <c r="E99" s="16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6" t="n"/>
      <c r="E100" s="16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6" t="n"/>
      <c r="E101" s="16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6" t="n"/>
      <c r="E102" s="16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6" t="n"/>
      <c r="E103" s="16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6" t="n"/>
      <c r="E104" s="16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6" t="n"/>
      <c r="E105" s="16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6" t="n"/>
      <c r="E106" s="16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6" t="n"/>
      <c r="E107" s="16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6" t="n"/>
      <c r="E108" s="16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6" t="n"/>
      <c r="E109" s="16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6" t="n"/>
      <c r="E110" s="16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6" t="n"/>
      <c r="E111" s="16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6" t="n"/>
      <c r="E112" s="16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6" t="n"/>
      <c r="E113" s="16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6" t="n"/>
      <c r="E114" s="16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6" t="n"/>
      <c r="E115" s="16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6" t="n"/>
      <c r="E116" s="16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6" t="n"/>
      <c r="E117" s="16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6" t="n"/>
      <c r="E118" s="16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6" t="n"/>
      <c r="E119" s="16" t="n"/>
      <c r="F119" s="15" t="n"/>
      <c r="G119" s="15" t="n"/>
      <c r="H119" s="15" t="n"/>
      <c r="I119" s="15" t="n"/>
    </row>
    <row r="120">
      <c r="D120" s="27" t="n"/>
      <c r="E120" s="27" t="n"/>
    </row>
    <row r="121">
      <c r="D121" s="27" t="n"/>
      <c r="E121" s="27" t="n"/>
    </row>
    <row r="122">
      <c r="D122" s="27" t="n"/>
      <c r="E122" s="27" t="n"/>
    </row>
    <row r="123">
      <c r="D123" s="27" t="n"/>
      <c r="E123" s="27" t="n"/>
    </row>
    <row r="124">
      <c r="D124" s="27" t="n"/>
      <c r="E124" s="27" t="n"/>
    </row>
    <row r="125">
      <c r="D125" s="27" t="n"/>
      <c r="E125" s="27" t="n"/>
    </row>
    <row r="126">
      <c r="D126" s="27" t="n"/>
      <c r="E126" s="27" t="n"/>
    </row>
    <row r="127">
      <c r="D127" s="27" t="n"/>
      <c r="E127" s="27" t="n"/>
    </row>
    <row r="128">
      <c r="D128" s="27" t="n"/>
      <c r="E128" s="27" t="n"/>
    </row>
    <row r="129">
      <c r="D129" s="27" t="n"/>
      <c r="E129" s="27" t="n"/>
    </row>
    <row r="130">
      <c r="D130" s="27" t="n"/>
      <c r="E130" s="27" t="n"/>
    </row>
    <row r="131">
      <c r="D131" s="27" t="n"/>
      <c r="E131" s="27" t="n"/>
    </row>
    <row r="132">
      <c r="D132" s="27" t="n"/>
      <c r="E132" s="27" t="n"/>
    </row>
    <row r="133">
      <c r="D133" s="27" t="n"/>
      <c r="E133" s="27" t="n"/>
    </row>
    <row r="134">
      <c r="D134" s="27" t="n"/>
      <c r="E134" s="27" t="n"/>
    </row>
    <row r="135">
      <c r="D135" s="27" t="n"/>
      <c r="E135" s="27" t="n"/>
    </row>
    <row r="136">
      <c r="D136" s="27" t="n"/>
      <c r="E136" s="27" t="n"/>
    </row>
    <row r="137">
      <c r="D137" s="27" t="n"/>
      <c r="E137" s="27" t="n"/>
    </row>
    <row r="138">
      <c r="D138" s="27" t="n"/>
      <c r="E138" s="27" t="n"/>
    </row>
    <row r="139">
      <c r="D139" s="27" t="n"/>
      <c r="E139" s="27" t="n"/>
    </row>
    <row r="140">
      <c r="D140" s="27" t="n"/>
      <c r="E140" s="27" t="n"/>
    </row>
    <row r="141">
      <c r="D141" s="27" t="n"/>
      <c r="E141" s="27" t="n"/>
    </row>
    <row r="142">
      <c r="D142" s="27" t="n"/>
      <c r="E142" s="27" t="n"/>
    </row>
    <row r="143">
      <c r="D143" s="27" t="n"/>
      <c r="E143" s="27" t="n"/>
    </row>
    <row r="144">
      <c r="D144" s="27" t="n"/>
      <c r="E144" s="27" t="n"/>
    </row>
    <row r="145">
      <c r="D145" s="27" t="n"/>
      <c r="E145" s="27" t="n"/>
    </row>
    <row r="146">
      <c r="D146" s="27" t="n"/>
      <c r="E146" s="27" t="n"/>
    </row>
    <row r="147">
      <c r="D147" s="27" t="n"/>
      <c r="E147" s="27" t="n"/>
    </row>
    <row r="148">
      <c r="D148" s="27" t="n"/>
      <c r="E148" s="27" t="n"/>
    </row>
    <row r="149">
      <c r="D149" s="27" t="n"/>
      <c r="E149" s="27" t="n"/>
    </row>
    <row r="150">
      <c r="D150" s="27" t="n"/>
      <c r="E150" s="27" t="n"/>
    </row>
    <row r="151">
      <c r="D151" s="27" t="n"/>
      <c r="E151" s="27" t="n"/>
    </row>
    <row r="152">
      <c r="D152" s="27" t="n"/>
      <c r="E152" s="27" t="n"/>
    </row>
    <row r="153">
      <c r="D153" s="27" t="n"/>
      <c r="E153" s="27" t="n"/>
    </row>
    <row r="154">
      <c r="D154" s="27" t="n"/>
      <c r="E154" s="27" t="n"/>
    </row>
    <row r="155">
      <c r="D155" s="27" t="n"/>
      <c r="E155" s="27" t="n"/>
    </row>
    <row r="156">
      <c r="D156" s="27" t="n"/>
      <c r="E156" s="27" t="n"/>
    </row>
    <row r="157">
      <c r="D157" s="27" t="n"/>
      <c r="E157" s="27" t="n"/>
    </row>
    <row r="158">
      <c r="D158" s="27" t="n"/>
      <c r="E158" s="27" t="n"/>
    </row>
    <row r="159">
      <c r="D159" s="27" t="n"/>
      <c r="E159" s="27" t="n"/>
    </row>
    <row r="160">
      <c r="D160" s="27" t="n"/>
      <c r="E160" s="27" t="n"/>
    </row>
    <row r="161">
      <c r="D161" s="27" t="n"/>
      <c r="E161" s="27" t="n"/>
    </row>
    <row r="162">
      <c r="D162" s="27" t="n"/>
      <c r="E162" s="27" t="n"/>
    </row>
    <row r="163">
      <c r="D163" s="27" t="n"/>
      <c r="E163" s="27" t="n"/>
    </row>
    <row r="164">
      <c r="D164" s="27" t="n"/>
      <c r="E164" s="27" t="n"/>
    </row>
    <row r="165">
      <c r="D165" s="27" t="n"/>
      <c r="E165" s="27" t="n"/>
    </row>
    <row r="166">
      <c r="D166" s="27" t="n"/>
      <c r="E166" s="27" t="n"/>
    </row>
    <row r="167">
      <c r="D167" s="27" t="n"/>
      <c r="E167" s="27" t="n"/>
    </row>
    <row r="168">
      <c r="D168" s="27" t="n"/>
      <c r="E168" s="27" t="n"/>
    </row>
    <row r="169">
      <c r="D169" s="27" t="n"/>
      <c r="E169" s="27" t="n"/>
    </row>
    <row r="170">
      <c r="D170" s="27" t="n"/>
      <c r="E170" s="27" t="n"/>
    </row>
    <row r="171">
      <c r="D171" s="27" t="n"/>
      <c r="E171" s="27" t="n"/>
    </row>
    <row r="172">
      <c r="D172" s="27" t="n"/>
      <c r="E172" s="27" t="n"/>
    </row>
    <row r="173">
      <c r="D173" s="27" t="n"/>
      <c r="E173" s="27" t="n"/>
    </row>
    <row r="174">
      <c r="D174" s="27" t="n"/>
      <c r="E174" s="27" t="n"/>
    </row>
    <row r="175">
      <c r="D175" s="27" t="n"/>
      <c r="E175" s="27" t="n"/>
    </row>
    <row r="176">
      <c r="D176" s="27" t="n"/>
      <c r="E176" s="27" t="n"/>
    </row>
    <row r="177">
      <c r="D177" s="27" t="n"/>
      <c r="E177" s="27" t="n"/>
    </row>
    <row r="178">
      <c r="D178" s="27" t="n"/>
      <c r="E178" s="27" t="n"/>
    </row>
    <row r="179">
      <c r="D179" s="27" t="n"/>
      <c r="E179" s="27" t="n"/>
    </row>
    <row r="180">
      <c r="D180" s="27" t="n"/>
      <c r="E180" s="27" t="n"/>
    </row>
    <row r="181">
      <c r="D181" s="27" t="n"/>
      <c r="E181" s="27" t="n"/>
    </row>
    <row r="182">
      <c r="D182" s="27" t="n"/>
      <c r="E182" s="27" t="n"/>
    </row>
    <row r="183">
      <c r="D183" s="27" t="n"/>
      <c r="E183" s="27" t="n"/>
    </row>
    <row r="184">
      <c r="D184" s="27" t="n"/>
      <c r="E184" s="27" t="n"/>
    </row>
    <row r="185">
      <c r="D185" s="27" t="n"/>
      <c r="E185" s="27" t="n"/>
    </row>
    <row r="186">
      <c r="D186" s="27" t="n"/>
      <c r="E186" s="27" t="n"/>
    </row>
    <row r="187">
      <c r="D187" s="27" t="n"/>
      <c r="E187" s="27" t="n"/>
    </row>
    <row r="188">
      <c r="D188" s="27" t="n"/>
      <c r="E188" s="27" t="n"/>
    </row>
    <row r="189">
      <c r="D189" s="27" t="n"/>
      <c r="E189" s="27" t="n"/>
    </row>
    <row r="190">
      <c r="D190" s="27" t="n"/>
      <c r="E190" s="27" t="n"/>
    </row>
    <row r="191">
      <c r="D191" s="27" t="n"/>
      <c r="E191" s="27" t="n"/>
    </row>
    <row r="192">
      <c r="D192" s="27" t="n"/>
      <c r="E192" s="27" t="n"/>
    </row>
    <row r="193">
      <c r="D193" s="27" t="n"/>
      <c r="E193" s="27" t="n"/>
    </row>
    <row r="194">
      <c r="D194" s="27" t="n"/>
      <c r="E194" s="27" t="n"/>
    </row>
    <row r="195">
      <c r="D195" s="27" t="n"/>
      <c r="E195" s="27" t="n"/>
    </row>
    <row r="196">
      <c r="D196" s="27" t="n"/>
      <c r="E196" s="27" t="n"/>
    </row>
    <row r="197">
      <c r="D197" s="27" t="n"/>
      <c r="E197" s="27" t="n"/>
    </row>
    <row r="198">
      <c r="D198" s="27" t="n"/>
      <c r="E198" s="27" t="n"/>
    </row>
    <row r="199">
      <c r="D199" s="27" t="n"/>
      <c r="E199" s="27" t="n"/>
    </row>
    <row r="200">
      <c r="D200" s="27" t="n"/>
      <c r="E200" s="27" t="n"/>
    </row>
    <row r="201">
      <c r="D201" s="27" t="n"/>
      <c r="E201" s="27" t="n"/>
    </row>
    <row r="202">
      <c r="D202" s="27" t="n"/>
      <c r="E202" s="27" t="n"/>
    </row>
    <row r="203">
      <c r="D203" s="27" t="n"/>
      <c r="E203" s="27" t="n"/>
    </row>
    <row r="204">
      <c r="D204" s="27" t="n"/>
      <c r="E204" s="27" t="n"/>
    </row>
    <row r="205">
      <c r="D205" s="27" t="n"/>
      <c r="E205" s="27" t="n"/>
    </row>
    <row r="206">
      <c r="D206" s="27" t="n"/>
      <c r="E206" s="27" t="n"/>
    </row>
    <row r="207">
      <c r="D207" s="27" t="n"/>
      <c r="E207" s="27" t="n"/>
    </row>
    <row r="208">
      <c r="D208" s="27" t="n"/>
      <c r="E208" s="27" t="n"/>
    </row>
    <row r="209">
      <c r="D209" s="27" t="n"/>
      <c r="E209" s="27" t="n"/>
    </row>
    <row r="210">
      <c r="D210" s="27" t="n"/>
      <c r="E210" s="27" t="n"/>
    </row>
    <row r="211">
      <c r="D211" s="27" t="n"/>
      <c r="E211" s="27" t="n"/>
    </row>
    <row r="212">
      <c r="D212" s="27" t="n"/>
      <c r="E212" s="27" t="n"/>
    </row>
    <row r="213">
      <c r="D213" s="27" t="n"/>
      <c r="E213" s="27" t="n"/>
    </row>
    <row r="214">
      <c r="D214" s="27" t="n"/>
      <c r="E214" s="27" t="n"/>
    </row>
    <row r="215">
      <c r="D215" s="27" t="n"/>
      <c r="E215" s="27" t="n"/>
    </row>
    <row r="216">
      <c r="D216" s="27" t="n"/>
      <c r="E216" s="27" t="n"/>
    </row>
    <row r="217">
      <c r="D217" s="27" t="n"/>
      <c r="E217" s="27" t="n"/>
    </row>
    <row r="218">
      <c r="D218" s="27" t="n"/>
      <c r="E218" s="27" t="n"/>
    </row>
    <row r="219">
      <c r="D219" s="27" t="n"/>
      <c r="E219" s="27" t="n"/>
    </row>
    <row r="220">
      <c r="D220" s="27" t="n"/>
      <c r="E220" s="27" t="n"/>
    </row>
    <row r="221">
      <c r="D221" s="27" t="n"/>
      <c r="E221" s="27" t="n"/>
    </row>
    <row r="222">
      <c r="D222" s="27" t="n"/>
      <c r="E222" s="27" t="n"/>
    </row>
    <row r="223">
      <c r="D223" s="27" t="n"/>
      <c r="E223" s="27" t="n"/>
    </row>
    <row r="224">
      <c r="D224" s="27" t="n"/>
      <c r="E224" s="27" t="n"/>
    </row>
    <row r="225">
      <c r="D225" s="27" t="n"/>
      <c r="E225" s="27" t="n"/>
    </row>
    <row r="226">
      <c r="D226" s="27" t="n"/>
      <c r="E226" s="27" t="n"/>
    </row>
    <row r="227">
      <c r="D227" s="27" t="n"/>
      <c r="E227" s="27" t="n"/>
    </row>
    <row r="228">
      <c r="D228" s="27" t="n"/>
      <c r="E228" s="27" t="n"/>
    </row>
    <row r="229">
      <c r="D229" s="27" t="n"/>
      <c r="E229" s="27" t="n"/>
    </row>
    <row r="230">
      <c r="D230" s="27" t="n"/>
      <c r="E230" s="27" t="n"/>
    </row>
    <row r="231">
      <c r="D231" s="27" t="n"/>
      <c r="E231" s="27" t="n"/>
    </row>
    <row r="232">
      <c r="D232" s="27" t="n"/>
      <c r="E232" s="27" t="n"/>
    </row>
    <row r="233">
      <c r="D233" s="27" t="n"/>
      <c r="E233" s="27" t="n"/>
    </row>
    <row r="234">
      <c r="D234" s="27" t="n"/>
      <c r="E234" s="27" t="n"/>
    </row>
    <row r="235">
      <c r="D235" s="27" t="n"/>
      <c r="E235" s="27" t="n"/>
    </row>
    <row r="236">
      <c r="D236" s="27" t="n"/>
      <c r="E236" s="27" t="n"/>
    </row>
    <row r="237">
      <c r="D237" s="27" t="n"/>
      <c r="E237" s="27" t="n"/>
    </row>
    <row r="238">
      <c r="D238" s="27" t="n"/>
      <c r="E238" s="27" t="n"/>
    </row>
    <row r="239">
      <c r="D239" s="27" t="n"/>
      <c r="E239" s="27" t="n"/>
    </row>
    <row r="240">
      <c r="D240" s="27" t="n"/>
      <c r="E240" s="27" t="n"/>
    </row>
    <row r="241">
      <c r="D241" s="27" t="n"/>
      <c r="E241" s="27" t="n"/>
    </row>
    <row r="242">
      <c r="D242" s="27" t="n"/>
      <c r="E242" s="27" t="n"/>
    </row>
    <row r="243">
      <c r="D243" s="27" t="n"/>
      <c r="E243" s="27" t="n"/>
    </row>
    <row r="244">
      <c r="D244" s="27" t="n"/>
      <c r="E244" s="27" t="n"/>
    </row>
    <row r="245">
      <c r="D245" s="27" t="n"/>
      <c r="E245" s="27" t="n"/>
    </row>
    <row r="246">
      <c r="D246" s="27" t="n"/>
      <c r="E246" s="27" t="n"/>
    </row>
    <row r="247">
      <c r="D247" s="27" t="n"/>
      <c r="E247" s="27" t="n"/>
    </row>
    <row r="248">
      <c r="D248" s="27" t="n"/>
      <c r="E248" s="27" t="n"/>
    </row>
    <row r="249">
      <c r="D249" s="27" t="n"/>
      <c r="E249" s="27" t="n"/>
    </row>
    <row r="250">
      <c r="D250" s="27" t="n"/>
      <c r="E250" s="27" t="n"/>
    </row>
    <row r="251">
      <c r="D251" s="27" t="n"/>
      <c r="E251" s="27" t="n"/>
    </row>
    <row r="252">
      <c r="D252" s="27" t="n"/>
      <c r="E252" s="27" t="n"/>
    </row>
    <row r="253">
      <c r="D253" s="27" t="n"/>
      <c r="E253" s="27" t="n"/>
    </row>
    <row r="254">
      <c r="D254" s="27" t="n"/>
      <c r="E254" s="27" t="n"/>
    </row>
    <row r="255">
      <c r="D255" s="27" t="n"/>
      <c r="E255" s="27" t="n"/>
    </row>
    <row r="256">
      <c r="D256" s="27" t="n"/>
      <c r="E256" s="27" t="n"/>
    </row>
    <row r="257">
      <c r="D257" s="27" t="n"/>
      <c r="E257" s="27" t="n"/>
    </row>
    <row r="258">
      <c r="D258" s="27" t="n"/>
      <c r="E258" s="27" t="n"/>
    </row>
    <row r="259">
      <c r="D259" s="27" t="n"/>
      <c r="E259" s="27" t="n"/>
    </row>
    <row r="260">
      <c r="D260" s="27" t="n"/>
      <c r="E260" s="27" t="n"/>
    </row>
    <row r="261">
      <c r="D261" s="27" t="n"/>
      <c r="E261" s="27" t="n"/>
    </row>
    <row r="262">
      <c r="D262" s="27" t="n"/>
      <c r="E262" s="27" t="n"/>
    </row>
    <row r="263">
      <c r="D263" s="27" t="n"/>
      <c r="E263" s="27" t="n"/>
    </row>
    <row r="264">
      <c r="D264" s="27" t="n"/>
      <c r="E264" s="27" t="n"/>
    </row>
    <row r="265">
      <c r="D265" s="27" t="n"/>
      <c r="E265" s="27" t="n"/>
    </row>
    <row r="266">
      <c r="D266" s="27" t="n"/>
      <c r="E266" s="27" t="n"/>
    </row>
    <row r="267">
      <c r="D267" s="27" t="n"/>
      <c r="E267" s="27" t="n"/>
    </row>
    <row r="268">
      <c r="D268" s="27" t="n"/>
      <c r="E268" s="27" t="n"/>
    </row>
    <row r="269">
      <c r="D269" s="27" t="n"/>
      <c r="E269" s="27" t="n"/>
    </row>
    <row r="270">
      <c r="D270" s="27" t="n"/>
      <c r="E270" s="27" t="n"/>
    </row>
    <row r="271">
      <c r="D271" s="27" t="n"/>
      <c r="E271" s="27" t="n"/>
    </row>
    <row r="272">
      <c r="D272" s="27" t="n"/>
      <c r="E272" s="27" t="n"/>
    </row>
    <row r="273">
      <c r="D273" s="27" t="n"/>
      <c r="E273" s="27" t="n"/>
    </row>
    <row r="274">
      <c r="D274" s="27" t="n"/>
      <c r="E274" s="27" t="n"/>
    </row>
    <row r="275">
      <c r="D275" s="27" t="n"/>
      <c r="E275" s="27" t="n"/>
    </row>
    <row r="276">
      <c r="D276" s="27" t="n"/>
      <c r="E276" s="27" t="n"/>
    </row>
    <row r="277">
      <c r="D277" s="27" t="n"/>
      <c r="E277" s="27" t="n"/>
    </row>
    <row r="278">
      <c r="D278" s="27" t="n"/>
      <c r="E278" s="27" t="n"/>
    </row>
    <row r="279">
      <c r="D279" s="27" t="n"/>
      <c r="E279" s="27" t="n"/>
    </row>
    <row r="280">
      <c r="D280" s="27" t="n"/>
      <c r="E280" s="27" t="n"/>
    </row>
    <row r="281">
      <c r="D281" s="27" t="n"/>
      <c r="E281" s="27" t="n"/>
    </row>
    <row r="282">
      <c r="D282" s="27" t="n"/>
      <c r="E282" s="27" t="n"/>
    </row>
    <row r="283">
      <c r="D283" s="27" t="n"/>
      <c r="E283" s="27" t="n"/>
    </row>
    <row r="284">
      <c r="D284" s="27" t="n"/>
      <c r="E284" s="27" t="n"/>
    </row>
    <row r="285">
      <c r="D285" s="27" t="n"/>
      <c r="E285" s="27" t="n"/>
    </row>
    <row r="286">
      <c r="D286" s="27" t="n"/>
      <c r="E286" s="27" t="n"/>
    </row>
    <row r="287">
      <c r="D287" s="27" t="n"/>
      <c r="E287" s="27" t="n"/>
    </row>
    <row r="288">
      <c r="D288" s="27" t="n"/>
      <c r="E288" s="27" t="n"/>
    </row>
    <row r="289">
      <c r="D289" s="27" t="n"/>
      <c r="E289" s="27" t="n"/>
    </row>
    <row r="290">
      <c r="D290" s="27" t="n"/>
      <c r="E290" s="27" t="n"/>
    </row>
    <row r="291">
      <c r="D291" s="27" t="n"/>
      <c r="E291" s="27" t="n"/>
    </row>
    <row r="292">
      <c r="D292" s="27" t="n"/>
      <c r="E292" s="27" t="n"/>
    </row>
    <row r="293">
      <c r="D293" s="27" t="n"/>
      <c r="E293" s="27" t="n"/>
    </row>
    <row r="294">
      <c r="D294" s="27" t="n"/>
      <c r="E294" s="27" t="n"/>
    </row>
    <row r="295">
      <c r="D295" s="27" t="n"/>
      <c r="E295" s="27" t="n"/>
    </row>
    <row r="296">
      <c r="D296" s="27" t="n"/>
      <c r="E296" s="27" t="n"/>
    </row>
    <row r="297">
      <c r="D297" s="27" t="n"/>
      <c r="E297" s="27" t="n"/>
    </row>
    <row r="298">
      <c r="D298" s="27" t="n"/>
      <c r="E298" s="27" t="n"/>
    </row>
    <row r="299">
      <c r="D299" s="27" t="n"/>
      <c r="E299" s="27" t="n"/>
    </row>
    <row r="300">
      <c r="D300" s="27" t="n"/>
      <c r="E300" s="27" t="n"/>
    </row>
    <row r="301">
      <c r="D301" s="27" t="n"/>
      <c r="E301" s="27" t="n"/>
    </row>
    <row r="302">
      <c r="D302" s="27" t="n"/>
      <c r="E302" s="27" t="n"/>
    </row>
    <row r="303">
      <c r="D303" s="27" t="n"/>
      <c r="E303" s="27" t="n"/>
    </row>
    <row r="304">
      <c r="D304" s="27" t="n"/>
      <c r="E304" s="27" t="n"/>
    </row>
    <row r="305">
      <c r="D305" s="27" t="n"/>
      <c r="E305" s="27" t="n"/>
    </row>
    <row r="306">
      <c r="D306" s="27" t="n"/>
      <c r="E306" s="27" t="n"/>
    </row>
    <row r="307">
      <c r="D307" s="27" t="n"/>
      <c r="E307" s="27" t="n"/>
    </row>
    <row r="308">
      <c r="D308" s="27" t="n"/>
      <c r="E308" s="27" t="n"/>
    </row>
    <row r="309">
      <c r="D309" s="27" t="n"/>
      <c r="E309" s="27" t="n"/>
    </row>
    <row r="310">
      <c r="D310" s="27" t="n"/>
      <c r="E310" s="27" t="n"/>
    </row>
    <row r="311">
      <c r="D311" s="27" t="n"/>
      <c r="E311" s="27" t="n"/>
    </row>
    <row r="312">
      <c r="D312" s="27" t="n"/>
      <c r="E312" s="27" t="n"/>
    </row>
    <row r="313">
      <c r="D313" s="27" t="n"/>
      <c r="E313" s="27" t="n"/>
    </row>
    <row r="314">
      <c r="D314" s="27" t="n"/>
      <c r="E314" s="27" t="n"/>
    </row>
    <row r="315">
      <c r="D315" s="27" t="n"/>
      <c r="E315" s="27" t="n"/>
    </row>
    <row r="316">
      <c r="D316" s="27" t="n"/>
      <c r="E316" s="27" t="n"/>
    </row>
    <row r="317">
      <c r="D317" s="27" t="n"/>
      <c r="E317" s="27" t="n"/>
    </row>
    <row r="318">
      <c r="D318" s="27" t="n"/>
      <c r="E318" s="27" t="n"/>
    </row>
    <row r="319">
      <c r="D319" s="27" t="n"/>
      <c r="E319" s="27" t="n"/>
    </row>
    <row r="320">
      <c r="D320" s="27" t="n"/>
      <c r="E320" s="27" t="n"/>
    </row>
    <row r="321">
      <c r="D321" s="27" t="n"/>
      <c r="E321" s="27" t="n"/>
    </row>
    <row r="322">
      <c r="D322" s="27" t="n"/>
      <c r="E322" s="27" t="n"/>
    </row>
    <row r="323">
      <c r="D323" s="27" t="n"/>
      <c r="E323" s="27" t="n"/>
    </row>
    <row r="324">
      <c r="D324" s="27" t="n"/>
      <c r="E324" s="27" t="n"/>
    </row>
    <row r="325">
      <c r="D325" s="27" t="n"/>
      <c r="E325" s="27" t="n"/>
    </row>
    <row r="326">
      <c r="D326" s="27" t="n"/>
      <c r="E326" s="27" t="n"/>
    </row>
    <row r="327">
      <c r="D327" s="27" t="n"/>
      <c r="E327" s="27" t="n"/>
    </row>
    <row r="328">
      <c r="D328" s="27" t="n"/>
      <c r="E328" s="27" t="n"/>
    </row>
    <row r="329">
      <c r="D329" s="27" t="n"/>
      <c r="E329" s="27" t="n"/>
    </row>
    <row r="330">
      <c r="D330" s="27" t="n"/>
      <c r="E330" s="27" t="n"/>
    </row>
    <row r="331">
      <c r="D331" s="27" t="n"/>
      <c r="E331" s="27" t="n"/>
    </row>
    <row r="332">
      <c r="D332" s="27" t="n"/>
      <c r="E332" s="27" t="n"/>
    </row>
    <row r="333">
      <c r="D333" s="27" t="n"/>
      <c r="E333" s="27" t="n"/>
    </row>
    <row r="334">
      <c r="D334" s="27" t="n"/>
      <c r="E334" s="27" t="n"/>
    </row>
    <row r="335">
      <c r="D335" s="27" t="n"/>
      <c r="E335" s="27" t="n"/>
    </row>
    <row r="336">
      <c r="D336" s="27" t="n"/>
      <c r="E336" s="27" t="n"/>
    </row>
    <row r="337">
      <c r="D337" s="27" t="n"/>
      <c r="E337" s="27" t="n"/>
    </row>
    <row r="338">
      <c r="D338" s="27" t="n"/>
      <c r="E338" s="27" t="n"/>
    </row>
    <row r="339">
      <c r="D339" s="27" t="n"/>
      <c r="E339" s="27" t="n"/>
    </row>
    <row r="340">
      <c r="D340" s="27" t="n"/>
      <c r="E340" s="27" t="n"/>
    </row>
    <row r="341">
      <c r="D341" s="27" t="n"/>
      <c r="E341" s="27" t="n"/>
    </row>
    <row r="342">
      <c r="D342" s="27" t="n"/>
      <c r="E342" s="27" t="n"/>
    </row>
    <row r="343">
      <c r="D343" s="27" t="n"/>
      <c r="E343" s="27" t="n"/>
    </row>
    <row r="344">
      <c r="D344" s="27" t="n"/>
      <c r="E344" s="27" t="n"/>
    </row>
    <row r="345">
      <c r="D345" s="27" t="n"/>
      <c r="E345" s="27" t="n"/>
    </row>
    <row r="346">
      <c r="D346" s="27" t="n"/>
      <c r="E346" s="27" t="n"/>
    </row>
    <row r="347">
      <c r="D347" s="27" t="n"/>
      <c r="E347" s="27" t="n"/>
    </row>
    <row r="348">
      <c r="D348" s="27" t="n"/>
      <c r="E348" s="27" t="n"/>
    </row>
    <row r="349">
      <c r="D349" s="27" t="n"/>
      <c r="E349" s="27" t="n"/>
    </row>
    <row r="350">
      <c r="D350" s="27" t="n"/>
      <c r="E350" s="27" t="n"/>
    </row>
    <row r="351">
      <c r="D351" s="27" t="n"/>
      <c r="E351" s="27" t="n"/>
    </row>
    <row r="352">
      <c r="D352" s="27" t="n"/>
      <c r="E352" s="27" t="n"/>
    </row>
    <row r="353">
      <c r="D353" s="27" t="n"/>
      <c r="E353" s="27" t="n"/>
    </row>
    <row r="354">
      <c r="D354" s="27" t="n"/>
      <c r="E354" s="27" t="n"/>
    </row>
    <row r="355">
      <c r="D355" s="27" t="n"/>
      <c r="E355" s="27" t="n"/>
    </row>
    <row r="356">
      <c r="D356" s="27" t="n"/>
      <c r="E356" s="27" t="n"/>
    </row>
    <row r="357">
      <c r="D357" s="27" t="n"/>
      <c r="E357" s="27" t="n"/>
    </row>
    <row r="358">
      <c r="D358" s="27" t="n"/>
      <c r="E358" s="27" t="n"/>
    </row>
    <row r="359">
      <c r="D359" s="27" t="n"/>
      <c r="E359" s="27" t="n"/>
    </row>
    <row r="360">
      <c r="D360" s="27" t="n"/>
      <c r="E360" s="27" t="n"/>
    </row>
    <row r="361">
      <c r="D361" s="27" t="n"/>
      <c r="E361" s="27" t="n"/>
    </row>
    <row r="362">
      <c r="D362" s="27" t="n"/>
      <c r="E362" s="27" t="n"/>
    </row>
    <row r="363">
      <c r="D363" s="27" t="n"/>
      <c r="E363" s="27" t="n"/>
    </row>
    <row r="364">
      <c r="D364" s="27" t="n"/>
      <c r="E364" s="27" t="n"/>
    </row>
    <row r="365">
      <c r="D365" s="27" t="n"/>
      <c r="E365" s="27" t="n"/>
    </row>
    <row r="366">
      <c r="D366" s="27" t="n"/>
      <c r="E366" s="27" t="n"/>
    </row>
    <row r="367">
      <c r="D367" s="27" t="n"/>
      <c r="E367" s="27" t="n"/>
    </row>
    <row r="368">
      <c r="D368" s="27" t="n"/>
      <c r="E368" s="27" t="n"/>
    </row>
    <row r="369">
      <c r="D369" s="27" t="n"/>
      <c r="E369" s="27" t="n"/>
    </row>
    <row r="370">
      <c r="D370" s="27" t="n"/>
      <c r="E370" s="27" t="n"/>
    </row>
    <row r="371">
      <c r="D371" s="27" t="n"/>
      <c r="E371" s="27" t="n"/>
    </row>
    <row r="372">
      <c r="D372" s="27" t="n"/>
      <c r="E372" s="27" t="n"/>
    </row>
    <row r="373">
      <c r="D373" s="27" t="n"/>
      <c r="E373" s="27" t="n"/>
    </row>
    <row r="374">
      <c r="D374" s="27" t="n"/>
      <c r="E374" s="27" t="n"/>
    </row>
    <row r="375">
      <c r="D375" s="27" t="n"/>
      <c r="E375" s="27" t="n"/>
    </row>
    <row r="376">
      <c r="D376" s="27" t="n"/>
      <c r="E376" s="27" t="n"/>
    </row>
    <row r="377">
      <c r="D377" s="27" t="n"/>
      <c r="E377" s="27" t="n"/>
    </row>
    <row r="378">
      <c r="D378" s="27" t="n"/>
      <c r="E378" s="27" t="n"/>
    </row>
    <row r="379">
      <c r="D379" s="27" t="n"/>
      <c r="E379" s="27" t="n"/>
    </row>
    <row r="380">
      <c r="D380" s="27" t="n"/>
      <c r="E380" s="27" t="n"/>
    </row>
    <row r="381">
      <c r="D381" s="27" t="n"/>
      <c r="E381" s="27" t="n"/>
    </row>
    <row r="382">
      <c r="D382" s="27" t="n"/>
      <c r="E382" s="27" t="n"/>
    </row>
    <row r="383">
      <c r="D383" s="27" t="n"/>
      <c r="E383" s="27" t="n"/>
    </row>
    <row r="384">
      <c r="D384" s="27" t="n"/>
      <c r="E384" s="27" t="n"/>
    </row>
    <row r="385">
      <c r="D385" s="27" t="n"/>
      <c r="E385" s="27" t="n"/>
    </row>
    <row r="386">
      <c r="D386" s="27" t="n"/>
      <c r="E386" s="27" t="n"/>
    </row>
    <row r="387">
      <c r="D387" s="27" t="n"/>
      <c r="E387" s="27" t="n"/>
    </row>
    <row r="388">
      <c r="D388" s="27" t="n"/>
      <c r="E388" s="27" t="n"/>
    </row>
    <row r="389">
      <c r="D389" s="27" t="n"/>
      <c r="E389" s="27" t="n"/>
    </row>
    <row r="390">
      <c r="D390" s="27" t="n"/>
      <c r="E390" s="27" t="n"/>
    </row>
    <row r="391">
      <c r="D391" s="27" t="n"/>
      <c r="E391" s="27" t="n"/>
    </row>
    <row r="392">
      <c r="D392" s="27" t="n"/>
      <c r="E392" s="27" t="n"/>
    </row>
    <row r="393">
      <c r="D393" s="27" t="n"/>
      <c r="E393" s="27" t="n"/>
    </row>
    <row r="394">
      <c r="D394" s="27" t="n"/>
      <c r="E394" s="27" t="n"/>
    </row>
    <row r="395">
      <c r="D395" s="27" t="n"/>
      <c r="E395" s="27" t="n"/>
    </row>
    <row r="396">
      <c r="D396" s="27" t="n"/>
      <c r="E396" s="27" t="n"/>
    </row>
    <row r="397">
      <c r="D397" s="27" t="n"/>
      <c r="E397" s="27" t="n"/>
    </row>
    <row r="398">
      <c r="D398" s="27" t="n"/>
      <c r="E398" s="27" t="n"/>
    </row>
    <row r="399">
      <c r="D399" s="27" t="n"/>
      <c r="E399" s="27" t="n"/>
    </row>
    <row r="400">
      <c r="D400" s="27" t="n"/>
      <c r="E400" s="27" t="n"/>
    </row>
    <row r="401">
      <c r="D401" s="27" t="n"/>
      <c r="E401" s="27" t="n"/>
    </row>
    <row r="402">
      <c r="D402" s="27" t="n"/>
      <c r="E402" s="27" t="n"/>
    </row>
    <row r="403">
      <c r="D403" s="27" t="n"/>
      <c r="E403" s="27" t="n"/>
    </row>
    <row r="404">
      <c r="D404" s="27" t="n"/>
      <c r="E404" s="27" t="n"/>
    </row>
    <row r="405">
      <c r="D405" s="27" t="n"/>
      <c r="E405" s="27" t="n"/>
    </row>
    <row r="406">
      <c r="D406" s="27" t="n"/>
      <c r="E406" s="27" t="n"/>
    </row>
    <row r="407">
      <c r="D407" s="27" t="n"/>
      <c r="E407" s="27" t="n"/>
    </row>
    <row r="408">
      <c r="D408" s="27" t="n"/>
      <c r="E408" s="27" t="n"/>
    </row>
    <row r="409">
      <c r="D409" s="27" t="n"/>
      <c r="E409" s="27" t="n"/>
    </row>
    <row r="410">
      <c r="D410" s="27" t="n"/>
      <c r="E410" s="27" t="n"/>
    </row>
    <row r="411">
      <c r="D411" s="27" t="n"/>
      <c r="E411" s="27" t="n"/>
    </row>
    <row r="412">
      <c r="D412" s="27" t="n"/>
      <c r="E412" s="27" t="n"/>
    </row>
    <row r="413">
      <c r="D413" s="27" t="n"/>
      <c r="E413" s="27" t="n"/>
    </row>
    <row r="414">
      <c r="D414" s="27" t="n"/>
      <c r="E414" s="27" t="n"/>
    </row>
    <row r="415">
      <c r="D415" s="27" t="n"/>
      <c r="E415" s="27" t="n"/>
    </row>
    <row r="416">
      <c r="D416" s="27" t="n"/>
      <c r="E416" s="27" t="n"/>
    </row>
    <row r="417">
      <c r="D417" s="27" t="n"/>
      <c r="E417" s="27" t="n"/>
    </row>
    <row r="418">
      <c r="D418" s="27" t="n"/>
      <c r="E418" s="27" t="n"/>
    </row>
    <row r="419">
      <c r="D419" s="27" t="n"/>
      <c r="E419" s="27" t="n"/>
    </row>
    <row r="420">
      <c r="D420" s="27" t="n"/>
      <c r="E420" s="27" t="n"/>
    </row>
    <row r="421">
      <c r="D421" s="27" t="n"/>
      <c r="E421" s="27" t="n"/>
    </row>
    <row r="422">
      <c r="D422" s="27" t="n"/>
      <c r="E422" s="27" t="n"/>
    </row>
    <row r="423">
      <c r="D423" s="27" t="n"/>
      <c r="E423" s="27" t="n"/>
    </row>
    <row r="424">
      <c r="D424" s="27" t="n"/>
      <c r="E424" s="27" t="n"/>
    </row>
    <row r="425">
      <c r="D425" s="27" t="n"/>
      <c r="E425" s="27" t="n"/>
    </row>
    <row r="426">
      <c r="D426" s="27" t="n"/>
      <c r="E426" s="27" t="n"/>
    </row>
    <row r="427">
      <c r="D427" s="27" t="n"/>
      <c r="E427" s="27" t="n"/>
    </row>
    <row r="428">
      <c r="D428" s="27" t="n"/>
      <c r="E428" s="27" t="n"/>
    </row>
    <row r="429">
      <c r="D429" s="27" t="n"/>
      <c r="E429" s="27" t="n"/>
    </row>
    <row r="430">
      <c r="D430" s="27" t="n"/>
      <c r="E430" s="27" t="n"/>
    </row>
    <row r="431">
      <c r="D431" s="27" t="n"/>
      <c r="E431" s="27" t="n"/>
    </row>
    <row r="432">
      <c r="D432" s="27" t="n"/>
      <c r="E432" s="27" t="n"/>
    </row>
    <row r="433">
      <c r="D433" s="27" t="n"/>
      <c r="E433" s="27" t="n"/>
    </row>
    <row r="434">
      <c r="D434" s="27" t="n"/>
      <c r="E434" s="27" t="n"/>
    </row>
    <row r="435">
      <c r="D435" s="27" t="n"/>
      <c r="E435" s="27" t="n"/>
    </row>
    <row r="436">
      <c r="D436" s="27" t="n"/>
      <c r="E436" s="27" t="n"/>
    </row>
    <row r="437">
      <c r="D437" s="27" t="n"/>
      <c r="E437" s="27" t="n"/>
    </row>
    <row r="438">
      <c r="D438" s="27" t="n"/>
      <c r="E438" s="27" t="n"/>
    </row>
    <row r="439">
      <c r="D439" s="27" t="n"/>
      <c r="E439" s="27" t="n"/>
    </row>
    <row r="440">
      <c r="D440" s="27" t="n"/>
      <c r="E440" s="27" t="n"/>
    </row>
    <row r="441">
      <c r="D441" s="27" t="n"/>
      <c r="E441" s="27" t="n"/>
    </row>
    <row r="442">
      <c r="D442" s="27" t="n"/>
      <c r="E442" s="27" t="n"/>
    </row>
    <row r="443">
      <c r="D443" s="27" t="n"/>
      <c r="E443" s="27" t="n"/>
    </row>
    <row r="444">
      <c r="D444" s="27" t="n"/>
      <c r="E444" s="27" t="n"/>
    </row>
    <row r="445">
      <c r="D445" s="27" t="n"/>
      <c r="E445" s="27" t="n"/>
    </row>
    <row r="446">
      <c r="D446" s="27" t="n"/>
      <c r="E446" s="27" t="n"/>
    </row>
    <row r="447">
      <c r="D447" s="27" t="n"/>
      <c r="E447" s="27" t="n"/>
    </row>
    <row r="448">
      <c r="D448" s="27" t="n"/>
      <c r="E448" s="27" t="n"/>
    </row>
    <row r="449">
      <c r="D449" s="27" t="n"/>
      <c r="E449" s="27" t="n"/>
    </row>
    <row r="450">
      <c r="D450" s="27" t="n"/>
      <c r="E450" s="27" t="n"/>
    </row>
    <row r="451">
      <c r="D451" s="27" t="n"/>
      <c r="E451" s="27" t="n"/>
    </row>
    <row r="452">
      <c r="D452" s="27" t="n"/>
      <c r="E452" s="27" t="n"/>
    </row>
    <row r="453">
      <c r="D453" s="27" t="n"/>
      <c r="E453" s="27" t="n"/>
    </row>
    <row r="454">
      <c r="D454" s="27" t="n"/>
      <c r="E454" s="27" t="n"/>
    </row>
    <row r="455">
      <c r="D455" s="27" t="n"/>
      <c r="E455" s="27" t="n"/>
    </row>
    <row r="456">
      <c r="D456" s="27" t="n"/>
      <c r="E456" s="27" t="n"/>
    </row>
    <row r="457">
      <c r="D457" s="27" t="n"/>
      <c r="E457" s="27" t="n"/>
    </row>
    <row r="458">
      <c r="D458" s="27" t="n"/>
      <c r="E458" s="27" t="n"/>
    </row>
    <row r="459">
      <c r="D459" s="27" t="n"/>
      <c r="E459" s="27" t="n"/>
    </row>
    <row r="460">
      <c r="D460" s="27" t="n"/>
      <c r="E460" s="27" t="n"/>
    </row>
    <row r="461">
      <c r="D461" s="27" t="n"/>
      <c r="E461" s="27" t="n"/>
    </row>
    <row r="462">
      <c r="D462" s="27" t="n"/>
      <c r="E462" s="27" t="n"/>
    </row>
    <row r="463">
      <c r="D463" s="27" t="n"/>
      <c r="E463" s="27" t="n"/>
    </row>
    <row r="464">
      <c r="D464" s="27" t="n"/>
      <c r="E464" s="27" t="n"/>
    </row>
    <row r="465">
      <c r="D465" s="27" t="n"/>
      <c r="E465" s="27" t="n"/>
    </row>
    <row r="466">
      <c r="D466" s="27" t="n"/>
      <c r="E466" s="27" t="n"/>
    </row>
    <row r="467">
      <c r="D467" s="27" t="n"/>
      <c r="E467" s="27" t="n"/>
    </row>
    <row r="468">
      <c r="D468" s="27" t="n"/>
      <c r="E468" s="27" t="n"/>
    </row>
    <row r="469">
      <c r="D469" s="27" t="n"/>
      <c r="E469" s="27" t="n"/>
    </row>
    <row r="470">
      <c r="D470" s="27" t="n"/>
      <c r="E470" s="27" t="n"/>
    </row>
    <row r="471">
      <c r="D471" s="27" t="n"/>
      <c r="E471" s="27" t="n"/>
    </row>
    <row r="472">
      <c r="D472" s="27" t="n"/>
      <c r="E472" s="27" t="n"/>
    </row>
    <row r="473">
      <c r="D473" s="27" t="n"/>
      <c r="E473" s="27" t="n"/>
    </row>
    <row r="474">
      <c r="D474" s="27" t="n"/>
      <c r="E474" s="27" t="n"/>
    </row>
    <row r="475">
      <c r="D475" s="27" t="n"/>
      <c r="E475" s="27" t="n"/>
    </row>
    <row r="476">
      <c r="D476" s="27" t="n"/>
      <c r="E476" s="27" t="n"/>
    </row>
    <row r="477">
      <c r="D477" s="27" t="n"/>
      <c r="E477" s="27" t="n"/>
    </row>
    <row r="478">
      <c r="D478" s="27" t="n"/>
      <c r="E478" s="27" t="n"/>
    </row>
    <row r="479">
      <c r="D479" s="27" t="n"/>
      <c r="E479" s="27" t="n"/>
    </row>
    <row r="480">
      <c r="D480" s="27" t="n"/>
      <c r="E480" s="27" t="n"/>
    </row>
    <row r="481">
      <c r="D481" s="27" t="n"/>
      <c r="E481" s="27" t="n"/>
    </row>
    <row r="482">
      <c r="D482" s="27" t="n"/>
      <c r="E482" s="27" t="n"/>
    </row>
    <row r="483">
      <c r="D483" s="27" t="n"/>
      <c r="E483" s="27" t="n"/>
    </row>
    <row r="484">
      <c r="D484" s="27" t="n"/>
      <c r="E484" s="27" t="n"/>
    </row>
    <row r="485">
      <c r="D485" s="27" t="n"/>
      <c r="E485" s="27" t="n"/>
    </row>
    <row r="486">
      <c r="D486" s="27" t="n"/>
      <c r="E486" s="27" t="n"/>
    </row>
    <row r="487">
      <c r="D487" s="27" t="n"/>
      <c r="E487" s="27" t="n"/>
    </row>
    <row r="488">
      <c r="D488" s="27" t="n"/>
      <c r="E488" s="27" t="n"/>
    </row>
    <row r="489">
      <c r="D489" s="27" t="n"/>
      <c r="E489" s="27" t="n"/>
    </row>
    <row r="490">
      <c r="D490" s="27" t="n"/>
      <c r="E490" s="27" t="n"/>
    </row>
    <row r="491">
      <c r="D491" s="27" t="n"/>
      <c r="E491" s="27" t="n"/>
    </row>
    <row r="492">
      <c r="D492" s="27" t="n"/>
      <c r="E492" s="27" t="n"/>
    </row>
    <row r="493">
      <c r="D493" s="27" t="n"/>
      <c r="E493" s="27" t="n"/>
    </row>
    <row r="494">
      <c r="D494" s="27" t="n"/>
      <c r="E494" s="27" t="n"/>
    </row>
    <row r="495">
      <c r="D495" s="27" t="n"/>
      <c r="E495" s="27" t="n"/>
    </row>
    <row r="496">
      <c r="D496" s="27" t="n"/>
      <c r="E496" s="27" t="n"/>
    </row>
    <row r="497">
      <c r="D497" s="27" t="n"/>
      <c r="E497" s="27" t="n"/>
    </row>
    <row r="498">
      <c r="D498" s="27" t="n"/>
      <c r="E498" s="27" t="n"/>
    </row>
    <row r="499">
      <c r="D499" s="27" t="n"/>
      <c r="E499" s="27" t="n"/>
    </row>
    <row r="500">
      <c r="D500" s="27" t="n"/>
      <c r="E500" s="27" t="n"/>
    </row>
    <row r="501">
      <c r="D501" s="27" t="n"/>
      <c r="E501" s="27" t="n"/>
    </row>
    <row r="502">
      <c r="D502" s="27" t="n"/>
      <c r="E502" s="27" t="n"/>
    </row>
    <row r="503">
      <c r="D503" s="27" t="n"/>
      <c r="E503" s="27" t="n"/>
    </row>
    <row r="504">
      <c r="D504" s="27" t="n"/>
      <c r="E504" s="27" t="n"/>
    </row>
    <row r="505">
      <c r="D505" s="27" t="n"/>
      <c r="E505" s="27" t="n"/>
    </row>
    <row r="506">
      <c r="D506" s="27" t="n"/>
      <c r="E506" s="27" t="n"/>
    </row>
    <row r="507">
      <c r="D507" s="27" t="n"/>
      <c r="E507" s="27" t="n"/>
    </row>
    <row r="508">
      <c r="D508" s="27" t="n"/>
      <c r="E508" s="27" t="n"/>
    </row>
    <row r="509">
      <c r="D509" s="27" t="n"/>
      <c r="E509" s="27" t="n"/>
    </row>
    <row r="510">
      <c r="D510" s="27" t="n"/>
      <c r="E510" s="27" t="n"/>
    </row>
    <row r="511">
      <c r="D511" s="27" t="n"/>
      <c r="E511" s="27" t="n"/>
    </row>
    <row r="512">
      <c r="D512" s="27" t="n"/>
      <c r="E512" s="27" t="n"/>
    </row>
    <row r="513">
      <c r="D513" s="27" t="n"/>
      <c r="E513" s="27" t="n"/>
    </row>
    <row r="514">
      <c r="D514" s="27" t="n"/>
      <c r="E514" s="27" t="n"/>
    </row>
    <row r="515">
      <c r="D515" s="27" t="n"/>
      <c r="E515" s="27" t="n"/>
    </row>
    <row r="516">
      <c r="D516" s="27" t="n"/>
      <c r="E516" s="27" t="n"/>
    </row>
    <row r="517">
      <c r="D517" s="27" t="n"/>
      <c r="E517" s="27" t="n"/>
    </row>
    <row r="518">
      <c r="D518" s="27" t="n"/>
      <c r="E518" s="27" t="n"/>
    </row>
    <row r="519">
      <c r="D519" s="27" t="n"/>
      <c r="E519" s="27" t="n"/>
    </row>
    <row r="520">
      <c r="D520" s="27" t="n"/>
      <c r="E520" s="27" t="n"/>
    </row>
    <row r="521">
      <c r="D521" s="27" t="n"/>
      <c r="E521" s="27" t="n"/>
    </row>
    <row r="522">
      <c r="D522" s="27" t="n"/>
      <c r="E522" s="27" t="n"/>
    </row>
    <row r="523">
      <c r="D523" s="27" t="n"/>
      <c r="E523" s="27" t="n"/>
    </row>
    <row r="524">
      <c r="D524" s="27" t="n"/>
      <c r="E524" s="27" t="n"/>
    </row>
    <row r="525">
      <c r="D525" s="27" t="n"/>
      <c r="E525" s="27" t="n"/>
    </row>
    <row r="526">
      <c r="D526" s="27" t="n"/>
      <c r="E526" s="27" t="n"/>
    </row>
    <row r="527">
      <c r="D527" s="27" t="n"/>
      <c r="E527" s="27" t="n"/>
    </row>
    <row r="528">
      <c r="D528" s="27" t="n"/>
      <c r="E528" s="27" t="n"/>
    </row>
    <row r="529">
      <c r="D529" s="27" t="n"/>
      <c r="E529" s="27" t="n"/>
    </row>
    <row r="530">
      <c r="D530" s="27" t="n"/>
      <c r="E530" s="27" t="n"/>
    </row>
    <row r="531">
      <c r="D531" s="27" t="n"/>
      <c r="E531" s="27" t="n"/>
    </row>
    <row r="532">
      <c r="D532" s="27" t="n"/>
      <c r="E532" s="27" t="n"/>
    </row>
    <row r="533">
      <c r="D533" s="27" t="n"/>
      <c r="E533" s="27" t="n"/>
    </row>
    <row r="534">
      <c r="D534" s="27" t="n"/>
      <c r="E534" s="27" t="n"/>
    </row>
    <row r="535">
      <c r="D535" s="27" t="n"/>
      <c r="E535" s="27" t="n"/>
    </row>
    <row r="536">
      <c r="D536" s="27" t="n"/>
      <c r="E536" s="27" t="n"/>
    </row>
    <row r="537">
      <c r="D537" s="27" t="n"/>
      <c r="E537" s="27" t="n"/>
    </row>
    <row r="538">
      <c r="D538" s="27" t="n"/>
      <c r="E538" s="27" t="n"/>
    </row>
    <row r="539">
      <c r="D539" s="27" t="n"/>
      <c r="E539" s="27" t="n"/>
    </row>
    <row r="540">
      <c r="D540" s="27" t="n"/>
      <c r="E540" s="27" t="n"/>
    </row>
    <row r="541">
      <c r="D541" s="27" t="n"/>
      <c r="E541" s="27" t="n"/>
    </row>
    <row r="542">
      <c r="D542" s="27" t="n"/>
      <c r="E542" s="27" t="n"/>
    </row>
    <row r="543">
      <c r="D543" s="27" t="n"/>
      <c r="E543" s="27" t="n"/>
    </row>
    <row r="544">
      <c r="D544" s="27" t="n"/>
      <c r="E544" s="27" t="n"/>
    </row>
    <row r="545">
      <c r="D545" s="27" t="n"/>
      <c r="E545" s="27" t="n"/>
    </row>
    <row r="546">
      <c r="D546" s="27" t="n"/>
      <c r="E546" s="27" t="n"/>
    </row>
    <row r="547">
      <c r="D547" s="27" t="n"/>
      <c r="E547" s="27" t="n"/>
    </row>
    <row r="548">
      <c r="D548" s="27" t="n"/>
      <c r="E548" s="27" t="n"/>
    </row>
    <row r="549">
      <c r="D549" s="27" t="n"/>
      <c r="E549" s="27" t="n"/>
    </row>
    <row r="550">
      <c r="D550" s="27" t="n"/>
      <c r="E550" s="27" t="n"/>
    </row>
    <row r="551">
      <c r="D551" s="27" t="n"/>
      <c r="E551" s="27" t="n"/>
    </row>
    <row r="552">
      <c r="D552" s="27" t="n"/>
      <c r="E552" s="27" t="n"/>
    </row>
    <row r="553">
      <c r="D553" s="27" t="n"/>
      <c r="E553" s="27" t="n"/>
    </row>
    <row r="554">
      <c r="D554" s="27" t="n"/>
      <c r="E554" s="27" t="n"/>
    </row>
    <row r="555">
      <c r="D555" s="27" t="n"/>
      <c r="E555" s="27" t="n"/>
    </row>
    <row r="556">
      <c r="D556" s="27" t="n"/>
      <c r="E556" s="27" t="n"/>
    </row>
    <row r="557">
      <c r="D557" s="27" t="n"/>
      <c r="E557" s="27" t="n"/>
    </row>
    <row r="558">
      <c r="D558" s="27" t="n"/>
      <c r="E558" s="27" t="n"/>
    </row>
    <row r="559">
      <c r="D559" s="27" t="n"/>
      <c r="E559" s="27" t="n"/>
    </row>
    <row r="560">
      <c r="D560" s="27" t="n"/>
      <c r="E560" s="27" t="n"/>
    </row>
    <row r="561">
      <c r="D561" s="27" t="n"/>
      <c r="E561" s="27" t="n"/>
    </row>
    <row r="562">
      <c r="D562" s="27" t="n"/>
      <c r="E562" s="27" t="n"/>
    </row>
    <row r="563">
      <c r="D563" s="27" t="n"/>
      <c r="E563" s="27" t="n"/>
    </row>
    <row r="564">
      <c r="D564" s="27" t="n"/>
      <c r="E564" s="27" t="n"/>
    </row>
    <row r="565">
      <c r="D565" s="27" t="n"/>
      <c r="E565" s="27" t="n"/>
    </row>
    <row r="566">
      <c r="D566" s="27" t="n"/>
      <c r="E566" s="27" t="n"/>
    </row>
    <row r="567">
      <c r="D567" s="27" t="n"/>
      <c r="E567" s="27" t="n"/>
    </row>
    <row r="568">
      <c r="D568" s="27" t="n"/>
      <c r="E568" s="27" t="n"/>
    </row>
    <row r="569">
      <c r="D569" s="27" t="n"/>
      <c r="E569" s="27" t="n"/>
    </row>
    <row r="570">
      <c r="D570" s="27" t="n"/>
      <c r="E570" s="27" t="n"/>
    </row>
    <row r="571">
      <c r="D571" s="27" t="n"/>
      <c r="E571" s="27" t="n"/>
    </row>
    <row r="572">
      <c r="D572" s="27" t="n"/>
      <c r="E572" s="27" t="n"/>
    </row>
    <row r="573">
      <c r="D573" s="27" t="n"/>
      <c r="E573" s="27" t="n"/>
    </row>
    <row r="574">
      <c r="D574" s="27" t="n"/>
      <c r="E574" s="27" t="n"/>
    </row>
    <row r="575">
      <c r="D575" s="27" t="n"/>
      <c r="E575" s="27" t="n"/>
    </row>
    <row r="576">
      <c r="D576" s="27" t="n"/>
      <c r="E576" s="27" t="n"/>
    </row>
    <row r="577">
      <c r="D577" s="27" t="n"/>
      <c r="E577" s="27" t="n"/>
    </row>
    <row r="578">
      <c r="D578" s="27" t="n"/>
      <c r="E578" s="27" t="n"/>
    </row>
    <row r="579">
      <c r="D579" s="27" t="n"/>
      <c r="E579" s="27" t="n"/>
    </row>
    <row r="580">
      <c r="D580" s="27" t="n"/>
      <c r="E580" s="27" t="n"/>
    </row>
    <row r="581">
      <c r="D581" s="27" t="n"/>
      <c r="E581" s="27" t="n"/>
    </row>
    <row r="582">
      <c r="D582" s="27" t="n"/>
      <c r="E582" s="27" t="n"/>
    </row>
    <row r="583">
      <c r="D583" s="27" t="n"/>
      <c r="E583" s="27" t="n"/>
    </row>
    <row r="584">
      <c r="D584" s="27" t="n"/>
      <c r="E584" s="27" t="n"/>
    </row>
    <row r="585">
      <c r="D585" s="27" t="n"/>
      <c r="E585" s="27" t="n"/>
    </row>
    <row r="586">
      <c r="D586" s="27" t="n"/>
      <c r="E586" s="27" t="n"/>
    </row>
    <row r="587">
      <c r="D587" s="27" t="n"/>
      <c r="E587" s="27" t="n"/>
    </row>
    <row r="588">
      <c r="D588" s="27" t="n"/>
      <c r="E588" s="27" t="n"/>
    </row>
    <row r="589">
      <c r="D589" s="27" t="n"/>
      <c r="E589" s="27" t="n"/>
    </row>
    <row r="590">
      <c r="D590" s="27" t="n"/>
      <c r="E590" s="27" t="n"/>
    </row>
    <row r="591">
      <c r="D591" s="27" t="n"/>
      <c r="E591" s="27" t="n"/>
    </row>
    <row r="592">
      <c r="D592" s="27" t="n"/>
      <c r="E592" s="27" t="n"/>
    </row>
    <row r="593">
      <c r="D593" s="27" t="n"/>
      <c r="E593" s="27" t="n"/>
    </row>
    <row r="594">
      <c r="D594" s="27" t="n"/>
      <c r="E594" s="27" t="n"/>
    </row>
    <row r="595">
      <c r="D595" s="27" t="n"/>
      <c r="E595" s="27" t="n"/>
    </row>
    <row r="596">
      <c r="D596" s="27" t="n"/>
      <c r="E596" s="27" t="n"/>
    </row>
    <row r="597">
      <c r="D597" s="27" t="n"/>
      <c r="E597" s="27" t="n"/>
    </row>
    <row r="598">
      <c r="D598" s="27" t="n"/>
      <c r="E598" s="27" t="n"/>
    </row>
    <row r="599">
      <c r="D599" s="27" t="n"/>
      <c r="E599" s="27" t="n"/>
    </row>
    <row r="600">
      <c r="D600" s="27" t="n"/>
      <c r="E600" s="27" t="n"/>
    </row>
    <row r="601">
      <c r="D601" s="27" t="n"/>
      <c r="E601" s="27" t="n"/>
    </row>
    <row r="602">
      <c r="D602" s="27" t="n"/>
      <c r="E602" s="27" t="n"/>
    </row>
    <row r="603">
      <c r="D603" s="27" t="n"/>
      <c r="E603" s="27" t="n"/>
    </row>
    <row r="604">
      <c r="D604" s="27" t="n"/>
      <c r="E604" s="27" t="n"/>
    </row>
    <row r="605">
      <c r="D605" s="27" t="n"/>
      <c r="E605" s="27" t="n"/>
    </row>
    <row r="606">
      <c r="D606" s="27" t="n"/>
      <c r="E606" s="27" t="n"/>
    </row>
    <row r="607">
      <c r="D607" s="27" t="n"/>
      <c r="E607" s="27" t="n"/>
    </row>
    <row r="608">
      <c r="D608" s="27" t="n"/>
      <c r="E608" s="27" t="n"/>
    </row>
    <row r="609">
      <c r="D609" s="27" t="n"/>
      <c r="E609" s="27" t="n"/>
    </row>
    <row r="610">
      <c r="D610" s="27" t="n"/>
      <c r="E610" s="27" t="n"/>
    </row>
    <row r="611">
      <c r="D611" s="27" t="n"/>
      <c r="E611" s="27" t="n"/>
    </row>
    <row r="612">
      <c r="D612" s="27" t="n"/>
      <c r="E612" s="27" t="n"/>
    </row>
    <row r="613">
      <c r="D613" s="27" t="n"/>
      <c r="E613" s="27" t="n"/>
    </row>
    <row r="614">
      <c r="D614" s="27" t="n"/>
      <c r="E614" s="27" t="n"/>
    </row>
    <row r="615">
      <c r="D615" s="27" t="n"/>
      <c r="E615" s="27" t="n"/>
    </row>
    <row r="616">
      <c r="D616" s="27" t="n"/>
      <c r="E616" s="27" t="n"/>
    </row>
    <row r="617">
      <c r="D617" s="27" t="n"/>
      <c r="E617" s="27" t="n"/>
    </row>
    <row r="618">
      <c r="D618" s="27" t="n"/>
      <c r="E618" s="27" t="n"/>
    </row>
    <row r="619">
      <c r="D619" s="27" t="n"/>
      <c r="E619" s="27" t="n"/>
    </row>
    <row r="620">
      <c r="D620" s="27" t="n"/>
      <c r="E620" s="27" t="n"/>
    </row>
    <row r="621">
      <c r="D621" s="27" t="n"/>
      <c r="E621" s="27" t="n"/>
    </row>
    <row r="622">
      <c r="D622" s="27" t="n"/>
      <c r="E622" s="27" t="n"/>
    </row>
    <row r="623">
      <c r="D623" s="27" t="n"/>
      <c r="E623" s="27" t="n"/>
    </row>
    <row r="624">
      <c r="D624" s="27" t="n"/>
      <c r="E624" s="27" t="n"/>
    </row>
    <row r="625">
      <c r="D625" s="27" t="n"/>
      <c r="E625" s="27" t="n"/>
    </row>
    <row r="626">
      <c r="D626" s="27" t="n"/>
      <c r="E626" s="27" t="n"/>
    </row>
    <row r="627">
      <c r="D627" s="27" t="n"/>
      <c r="E627" s="27" t="n"/>
    </row>
    <row r="628">
      <c r="D628" s="27" t="n"/>
      <c r="E628" s="27" t="n"/>
    </row>
    <row r="629">
      <c r="D629" s="27" t="n"/>
      <c r="E629" s="27" t="n"/>
    </row>
    <row r="630">
      <c r="D630" s="27" t="n"/>
      <c r="E630" s="27" t="n"/>
    </row>
    <row r="631">
      <c r="D631" s="27" t="n"/>
      <c r="E631" s="27" t="n"/>
    </row>
    <row r="632">
      <c r="D632" s="27" t="n"/>
      <c r="E632" s="27" t="n"/>
    </row>
    <row r="633">
      <c r="D633" s="27" t="n"/>
      <c r="E633" s="27" t="n"/>
    </row>
    <row r="634">
      <c r="D634" s="27" t="n"/>
      <c r="E634" s="27" t="n"/>
    </row>
    <row r="635">
      <c r="D635" s="27" t="n"/>
      <c r="E635" s="27" t="n"/>
    </row>
    <row r="636">
      <c r="D636" s="27" t="n"/>
      <c r="E636" s="27" t="n"/>
    </row>
    <row r="637">
      <c r="D637" s="27" t="n"/>
      <c r="E637" s="27" t="n"/>
    </row>
    <row r="638">
      <c r="D638" s="27" t="n"/>
      <c r="E638" s="27" t="n"/>
    </row>
    <row r="639">
      <c r="D639" s="27" t="n"/>
      <c r="E639" s="27" t="n"/>
    </row>
    <row r="640">
      <c r="D640" s="27" t="n"/>
      <c r="E640" s="27" t="n"/>
    </row>
    <row r="641">
      <c r="D641" s="27" t="n"/>
      <c r="E641" s="27" t="n"/>
    </row>
    <row r="642">
      <c r="D642" s="27" t="n"/>
      <c r="E642" s="27" t="n"/>
    </row>
    <row r="643">
      <c r="D643" s="27" t="n"/>
      <c r="E643" s="27" t="n"/>
    </row>
    <row r="644">
      <c r="D644" s="27" t="n"/>
      <c r="E644" s="27" t="n"/>
    </row>
    <row r="645">
      <c r="D645" s="27" t="n"/>
      <c r="E645" s="27" t="n"/>
    </row>
    <row r="646">
      <c r="D646" s="27" t="n"/>
      <c r="E646" s="27" t="n"/>
    </row>
    <row r="647">
      <c r="D647" s="27" t="n"/>
      <c r="E647" s="27" t="n"/>
    </row>
    <row r="648">
      <c r="D648" s="27" t="n"/>
      <c r="E648" s="27" t="n"/>
    </row>
    <row r="649">
      <c r="D649" s="27" t="n"/>
      <c r="E649" s="27" t="n"/>
    </row>
    <row r="650">
      <c r="D650" s="27" t="n"/>
      <c r="E650" s="27" t="n"/>
    </row>
    <row r="651">
      <c r="D651" s="27" t="n"/>
      <c r="E651" s="27" t="n"/>
    </row>
    <row r="652">
      <c r="D652" s="27" t="n"/>
      <c r="E652" s="27" t="n"/>
    </row>
    <row r="653">
      <c r="D653" s="27" t="n"/>
      <c r="E653" s="27" t="n"/>
    </row>
    <row r="654">
      <c r="D654" s="27" t="n"/>
      <c r="E654" s="27" t="n"/>
    </row>
    <row r="655">
      <c r="D655" s="27" t="n"/>
      <c r="E655" s="27" t="n"/>
    </row>
    <row r="656">
      <c r="D656" s="27" t="n"/>
      <c r="E656" s="27" t="n"/>
    </row>
    <row r="657">
      <c r="D657" s="27" t="n"/>
      <c r="E657" s="27" t="n"/>
    </row>
    <row r="658">
      <c r="D658" s="27" t="n"/>
      <c r="E658" s="27" t="n"/>
    </row>
    <row r="659">
      <c r="D659" s="27" t="n"/>
      <c r="E659" s="27" t="n"/>
    </row>
    <row r="660">
      <c r="D660" s="27" t="n"/>
      <c r="E660" s="27" t="n"/>
    </row>
    <row r="661">
      <c r="D661" s="27" t="n"/>
      <c r="E661" s="27" t="n"/>
    </row>
    <row r="662">
      <c r="D662" s="27" t="n"/>
      <c r="E662" s="27" t="n"/>
    </row>
    <row r="663">
      <c r="D663" s="27" t="n"/>
      <c r="E663" s="27" t="n"/>
    </row>
    <row r="664">
      <c r="D664" s="27" t="n"/>
      <c r="E664" s="27" t="n"/>
    </row>
    <row r="665">
      <c r="D665" s="27" t="n"/>
      <c r="E665" s="27" t="n"/>
    </row>
    <row r="666">
      <c r="D666" s="27" t="n"/>
      <c r="E666" s="27" t="n"/>
    </row>
    <row r="667">
      <c r="D667" s="27" t="n"/>
      <c r="E667" s="27" t="n"/>
    </row>
    <row r="668">
      <c r="D668" s="27" t="n"/>
      <c r="E668" s="27" t="n"/>
    </row>
    <row r="669">
      <c r="D669" s="27" t="n"/>
      <c r="E669" s="27" t="n"/>
    </row>
    <row r="670">
      <c r="D670" s="27" t="n"/>
      <c r="E670" s="27" t="n"/>
    </row>
    <row r="671">
      <c r="D671" s="27" t="n"/>
      <c r="E671" s="27" t="n"/>
    </row>
    <row r="672">
      <c r="D672" s="27" t="n"/>
      <c r="E672" s="27" t="n"/>
    </row>
    <row r="673">
      <c r="D673" s="27" t="n"/>
      <c r="E673" s="27" t="n"/>
    </row>
    <row r="674">
      <c r="D674" s="27" t="n"/>
      <c r="E674" s="27" t="n"/>
    </row>
    <row r="675">
      <c r="D675" s="27" t="n"/>
      <c r="E675" s="27" t="n"/>
    </row>
    <row r="676">
      <c r="D676" s="27" t="n"/>
      <c r="E676" s="27" t="n"/>
    </row>
    <row r="677">
      <c r="D677" s="27" t="n"/>
      <c r="E677" s="27" t="n"/>
    </row>
    <row r="678">
      <c r="D678" s="27" t="n"/>
      <c r="E678" s="27" t="n"/>
    </row>
    <row r="679">
      <c r="D679" s="27" t="n"/>
      <c r="E679" s="27" t="n"/>
    </row>
    <row r="680">
      <c r="D680" s="27" t="n"/>
      <c r="E680" s="27" t="n"/>
    </row>
    <row r="681">
      <c r="D681" s="27" t="n"/>
      <c r="E681" s="27" t="n"/>
    </row>
    <row r="682">
      <c r="D682" s="27" t="n"/>
      <c r="E682" s="27" t="n"/>
    </row>
    <row r="683">
      <c r="D683" s="27" t="n"/>
      <c r="E683" s="27" t="n"/>
    </row>
    <row r="684">
      <c r="D684" s="27" t="n"/>
      <c r="E684" s="27" t="n"/>
    </row>
    <row r="685">
      <c r="D685" s="27" t="n"/>
      <c r="E685" s="27" t="n"/>
    </row>
    <row r="686">
      <c r="D686" s="27" t="n"/>
      <c r="E686" s="27" t="n"/>
    </row>
    <row r="687">
      <c r="D687" s="27" t="n"/>
      <c r="E687" s="27" t="n"/>
    </row>
    <row r="688">
      <c r="D688" s="27" t="n"/>
      <c r="E688" s="27" t="n"/>
    </row>
    <row r="689">
      <c r="D689" s="27" t="n"/>
      <c r="E689" s="27" t="n"/>
    </row>
    <row r="690">
      <c r="D690" s="27" t="n"/>
      <c r="E690" s="27" t="n"/>
    </row>
    <row r="691">
      <c r="D691" s="27" t="n"/>
      <c r="E691" s="27" t="n"/>
    </row>
    <row r="692">
      <c r="D692" s="27" t="n"/>
      <c r="E692" s="27" t="n"/>
    </row>
    <row r="693">
      <c r="D693" s="27" t="n"/>
      <c r="E693" s="27" t="n"/>
    </row>
    <row r="694">
      <c r="D694" s="27" t="n"/>
      <c r="E694" s="27" t="n"/>
    </row>
    <row r="695">
      <c r="D695" s="27" t="n"/>
      <c r="E695" s="27" t="n"/>
    </row>
    <row r="696">
      <c r="D696" s="27" t="n"/>
      <c r="E696" s="27" t="n"/>
    </row>
    <row r="697">
      <c r="D697" s="27" t="n"/>
      <c r="E697" s="27" t="n"/>
    </row>
    <row r="698">
      <c r="D698" s="27" t="n"/>
      <c r="E698" s="27" t="n"/>
    </row>
    <row r="699">
      <c r="D699" s="27" t="n"/>
      <c r="E699" s="27" t="n"/>
    </row>
    <row r="700">
      <c r="D700" s="27" t="n"/>
      <c r="E700" s="27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Progress,Completed,Delayed,At Risk"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1" t="inlineStr">
        <is>
          <t>Issue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Severity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Issue ID</t>
        </is>
      </c>
      <c r="B4" s="10" t="inlineStr">
        <is>
          <t>Project ID</t>
        </is>
      </c>
      <c r="C4" s="10" t="inlineStr">
        <is>
          <t>Issue Description</t>
        </is>
      </c>
      <c r="D4" s="10" t="inlineStr">
        <is>
          <t>Raised By</t>
        </is>
      </c>
      <c r="E4" s="10" t="inlineStr">
        <is>
          <t>Raised Date</t>
        </is>
      </c>
      <c r="F4" s="10" t="inlineStr">
        <is>
          <t>Assigned To</t>
        </is>
      </c>
      <c r="G4" s="10" t="inlineStr">
        <is>
          <t>Severity</t>
        </is>
      </c>
      <c r="H4" s="10" t="inlineStr">
        <is>
          <t>Status</t>
        </is>
      </c>
      <c r="I4" s="10" t="inlineStr">
        <is>
          <t>Target Resolution Date</t>
        </is>
      </c>
      <c r="J4" s="10" t="inlineStr">
        <is>
          <t>Actual Resolution Date</t>
        </is>
      </c>
      <c r="K4" s="10" t="inlineStr">
        <is>
          <t>Delay Days</t>
        </is>
      </c>
      <c r="L4" s="10" t="inlineStr">
        <is>
          <t>Remarks</t>
        </is>
      </c>
    </row>
    <row r="5">
      <c r="A5" s="15">
        <f>IFERROR(FILTER('Data - Issue Tracker'!A2:L400,('Data - Issue Tracker'!$A$2:$A$400&lt;&gt;"")*(IF(C2="All",TRUE,'Data - Issue Tracker'!$B$2:$B$400=C2))*(IF(E2="All",TRUE,'Data - Issue Tracker'!$G$2:$G$400=E2))*(IF(G2="All",TRUE,'Data - Issue Tracker'!$H$2:$H$400=G2))*(IF(I2="All",TRUE,'Data - Issue Tracker'!$F$2:$F$400=I2))),"No matching records")</f>
        <v/>
      </c>
      <c r="B5" s="15" t="n"/>
      <c r="C5" s="15" t="n"/>
      <c r="D5" s="15" t="n"/>
      <c r="E5" s="16" t="n"/>
      <c r="F5" s="15" t="n"/>
      <c r="G5" s="15" t="n"/>
      <c r="H5" s="15" t="n"/>
      <c r="I5" s="16" t="n"/>
      <c r="J5" s="16" t="n"/>
      <c r="K5" s="15" t="n"/>
      <c r="L5" s="15" t="n"/>
    </row>
    <row r="6">
      <c r="A6" s="15" t="n"/>
      <c r="B6" s="15" t="n"/>
      <c r="C6" s="15" t="n"/>
      <c r="D6" s="15" t="n"/>
      <c r="E6" s="16" t="n"/>
      <c r="F6" s="15" t="n"/>
      <c r="G6" s="15" t="n"/>
      <c r="H6" s="15" t="n"/>
      <c r="I6" s="16" t="n"/>
      <c r="J6" s="16" t="n"/>
      <c r="K6" s="15" t="n"/>
      <c r="L6" s="15" t="n"/>
    </row>
    <row r="7">
      <c r="A7" s="15" t="n"/>
      <c r="B7" s="15" t="n"/>
      <c r="C7" s="15" t="n"/>
      <c r="D7" s="15" t="n"/>
      <c r="E7" s="16" t="n"/>
      <c r="F7" s="15" t="n"/>
      <c r="G7" s="15" t="n"/>
      <c r="H7" s="15" t="n"/>
      <c r="I7" s="16" t="n"/>
      <c r="J7" s="16" t="n"/>
      <c r="K7" s="15" t="n"/>
      <c r="L7" s="15" t="n"/>
    </row>
    <row r="8">
      <c r="A8" s="15" t="n"/>
      <c r="B8" s="15" t="n"/>
      <c r="C8" s="15" t="n"/>
      <c r="D8" s="15" t="n"/>
      <c r="E8" s="16" t="n"/>
      <c r="F8" s="15" t="n"/>
      <c r="G8" s="15" t="n"/>
      <c r="H8" s="15" t="n"/>
      <c r="I8" s="16" t="n"/>
      <c r="J8" s="16" t="n"/>
      <c r="K8" s="15" t="n"/>
      <c r="L8" s="15" t="n"/>
    </row>
    <row r="9">
      <c r="A9" s="15" t="n"/>
      <c r="B9" s="15" t="n"/>
      <c r="C9" s="15" t="n"/>
      <c r="D9" s="15" t="n"/>
      <c r="E9" s="16" t="n"/>
      <c r="F9" s="15" t="n"/>
      <c r="G9" s="15" t="n"/>
      <c r="H9" s="15" t="n"/>
      <c r="I9" s="16" t="n"/>
      <c r="J9" s="16" t="n"/>
      <c r="K9" s="15" t="n"/>
      <c r="L9" s="15" t="n"/>
    </row>
    <row r="10">
      <c r="A10" s="15" t="n"/>
      <c r="B10" s="15" t="n"/>
      <c r="C10" s="15" t="n"/>
      <c r="D10" s="15" t="n"/>
      <c r="E10" s="16" t="n"/>
      <c r="F10" s="15" t="n"/>
      <c r="G10" s="15" t="n"/>
      <c r="H10" s="15" t="n"/>
      <c r="I10" s="16" t="n"/>
      <c r="J10" s="16" t="n"/>
      <c r="K10" s="15" t="n"/>
      <c r="L10" s="15" t="n"/>
    </row>
    <row r="11">
      <c r="A11" s="15" t="n"/>
      <c r="B11" s="15" t="n"/>
      <c r="C11" s="15" t="n"/>
      <c r="D11" s="15" t="n"/>
      <c r="E11" s="16" t="n"/>
      <c r="F11" s="15" t="n"/>
      <c r="G11" s="15" t="n"/>
      <c r="H11" s="15" t="n"/>
      <c r="I11" s="16" t="n"/>
      <c r="J11" s="16" t="n"/>
      <c r="K11" s="15" t="n"/>
      <c r="L11" s="15" t="n"/>
    </row>
    <row r="12">
      <c r="A12" s="15" t="n"/>
      <c r="B12" s="15" t="n"/>
      <c r="C12" s="15" t="n"/>
      <c r="D12" s="15" t="n"/>
      <c r="E12" s="16" t="n"/>
      <c r="F12" s="15" t="n"/>
      <c r="G12" s="15" t="n"/>
      <c r="H12" s="15" t="n"/>
      <c r="I12" s="16" t="n"/>
      <c r="J12" s="16" t="n"/>
      <c r="K12" s="15" t="n"/>
      <c r="L12" s="15" t="n"/>
    </row>
    <row r="13">
      <c r="A13" s="15" t="n"/>
      <c r="B13" s="15" t="n"/>
      <c r="C13" s="15" t="n"/>
      <c r="D13" s="15" t="n"/>
      <c r="E13" s="16" t="n"/>
      <c r="F13" s="15" t="n"/>
      <c r="G13" s="15" t="n"/>
      <c r="H13" s="15" t="n"/>
      <c r="I13" s="16" t="n"/>
      <c r="J13" s="16" t="n"/>
      <c r="K13" s="15" t="n"/>
      <c r="L13" s="15" t="n"/>
    </row>
    <row r="14">
      <c r="A14" s="15" t="n"/>
      <c r="B14" s="15" t="n"/>
      <c r="C14" s="15" t="n"/>
      <c r="D14" s="15" t="n"/>
      <c r="E14" s="16" t="n"/>
      <c r="F14" s="15" t="n"/>
      <c r="G14" s="15" t="n"/>
      <c r="H14" s="15" t="n"/>
      <c r="I14" s="16" t="n"/>
      <c r="J14" s="16" t="n"/>
      <c r="K14" s="15" t="n"/>
      <c r="L14" s="15" t="n"/>
    </row>
    <row r="15">
      <c r="A15" s="15" t="n"/>
      <c r="B15" s="15" t="n"/>
      <c r="C15" s="15" t="n"/>
      <c r="D15" s="15" t="n"/>
      <c r="E15" s="16" t="n"/>
      <c r="F15" s="15" t="n"/>
      <c r="G15" s="15" t="n"/>
      <c r="H15" s="15" t="n"/>
      <c r="I15" s="16" t="n"/>
      <c r="J15" s="16" t="n"/>
      <c r="K15" s="15" t="n"/>
      <c r="L15" s="15" t="n"/>
    </row>
    <row r="16">
      <c r="A16" s="15" t="n"/>
      <c r="B16" s="15" t="n"/>
      <c r="C16" s="15" t="n"/>
      <c r="D16" s="15" t="n"/>
      <c r="E16" s="16" t="n"/>
      <c r="F16" s="15" t="n"/>
      <c r="G16" s="15" t="n"/>
      <c r="H16" s="15" t="n"/>
      <c r="I16" s="16" t="n"/>
      <c r="J16" s="16" t="n"/>
      <c r="K16" s="15" t="n"/>
      <c r="L16" s="15" t="n"/>
    </row>
    <row r="17">
      <c r="A17" s="15" t="n"/>
      <c r="B17" s="15" t="n"/>
      <c r="C17" s="15" t="n"/>
      <c r="D17" s="15" t="n"/>
      <c r="E17" s="16" t="n"/>
      <c r="F17" s="15" t="n"/>
      <c r="G17" s="15" t="n"/>
      <c r="H17" s="15" t="n"/>
      <c r="I17" s="16" t="n"/>
      <c r="J17" s="16" t="n"/>
      <c r="K17" s="15" t="n"/>
      <c r="L17" s="15" t="n"/>
    </row>
    <row r="18">
      <c r="A18" s="15" t="n"/>
      <c r="B18" s="15" t="n"/>
      <c r="C18" s="15" t="n"/>
      <c r="D18" s="15" t="n"/>
      <c r="E18" s="16" t="n"/>
      <c r="F18" s="15" t="n"/>
      <c r="G18" s="15" t="n"/>
      <c r="H18" s="15" t="n"/>
      <c r="I18" s="16" t="n"/>
      <c r="J18" s="16" t="n"/>
      <c r="K18" s="15" t="n"/>
      <c r="L18" s="15" t="n"/>
    </row>
    <row r="19">
      <c r="A19" s="15" t="n"/>
      <c r="B19" s="15" t="n"/>
      <c r="C19" s="15" t="n"/>
      <c r="D19" s="15" t="n"/>
      <c r="E19" s="16" t="n"/>
      <c r="F19" s="15" t="n"/>
      <c r="G19" s="15" t="n"/>
      <c r="H19" s="15" t="n"/>
      <c r="I19" s="16" t="n"/>
      <c r="J19" s="16" t="n"/>
      <c r="K19" s="15" t="n"/>
      <c r="L19" s="15" t="n"/>
    </row>
    <row r="20">
      <c r="A20" s="15" t="n"/>
      <c r="B20" s="15" t="n"/>
      <c r="C20" s="15" t="n"/>
      <c r="D20" s="15" t="n"/>
      <c r="E20" s="16" t="n"/>
      <c r="F20" s="15" t="n"/>
      <c r="G20" s="15" t="n"/>
      <c r="H20" s="15" t="n"/>
      <c r="I20" s="16" t="n"/>
      <c r="J20" s="16" t="n"/>
      <c r="K20" s="15" t="n"/>
      <c r="L20" s="15" t="n"/>
    </row>
    <row r="21">
      <c r="A21" s="15" t="n"/>
      <c r="B21" s="15" t="n"/>
      <c r="C21" s="15" t="n"/>
      <c r="D21" s="15" t="n"/>
      <c r="E21" s="16" t="n"/>
      <c r="F21" s="15" t="n"/>
      <c r="G21" s="15" t="n"/>
      <c r="H21" s="15" t="n"/>
      <c r="I21" s="16" t="n"/>
      <c r="J21" s="16" t="n"/>
      <c r="K21" s="15" t="n"/>
      <c r="L21" s="15" t="n"/>
    </row>
    <row r="22">
      <c r="A22" s="15" t="n"/>
      <c r="B22" s="15" t="n"/>
      <c r="C22" s="15" t="n"/>
      <c r="D22" s="15" t="n"/>
      <c r="E22" s="16" t="n"/>
      <c r="F22" s="15" t="n"/>
      <c r="G22" s="15" t="n"/>
      <c r="H22" s="15" t="n"/>
      <c r="I22" s="16" t="n"/>
      <c r="J22" s="16" t="n"/>
      <c r="K22" s="15" t="n"/>
      <c r="L22" s="15" t="n"/>
    </row>
    <row r="23">
      <c r="A23" s="15" t="n"/>
      <c r="B23" s="15" t="n"/>
      <c r="C23" s="15" t="n"/>
      <c r="D23" s="15" t="n"/>
      <c r="E23" s="16" t="n"/>
      <c r="F23" s="15" t="n"/>
      <c r="G23" s="15" t="n"/>
      <c r="H23" s="15" t="n"/>
      <c r="I23" s="16" t="n"/>
      <c r="J23" s="16" t="n"/>
      <c r="K23" s="15" t="n"/>
      <c r="L23" s="15" t="n"/>
    </row>
    <row r="24">
      <c r="A24" s="15" t="n"/>
      <c r="B24" s="15" t="n"/>
      <c r="C24" s="15" t="n"/>
      <c r="D24" s="15" t="n"/>
      <c r="E24" s="16" t="n"/>
      <c r="F24" s="15" t="n"/>
      <c r="G24" s="15" t="n"/>
      <c r="H24" s="15" t="n"/>
      <c r="I24" s="16" t="n"/>
      <c r="J24" s="16" t="n"/>
      <c r="K24" s="15" t="n"/>
      <c r="L24" s="15" t="n"/>
    </row>
    <row r="25">
      <c r="A25" s="15" t="n"/>
      <c r="B25" s="15" t="n"/>
      <c r="C25" s="15" t="n"/>
      <c r="D25" s="15" t="n"/>
      <c r="E25" s="16" t="n"/>
      <c r="F25" s="15" t="n"/>
      <c r="G25" s="15" t="n"/>
      <c r="H25" s="15" t="n"/>
      <c r="I25" s="16" t="n"/>
      <c r="J25" s="16" t="n"/>
      <c r="K25" s="15" t="n"/>
      <c r="L25" s="15" t="n"/>
    </row>
    <row r="26">
      <c r="A26" s="15" t="n"/>
      <c r="B26" s="15" t="n"/>
      <c r="C26" s="15" t="n"/>
      <c r="D26" s="15" t="n"/>
      <c r="E26" s="16" t="n"/>
      <c r="F26" s="15" t="n"/>
      <c r="G26" s="15" t="n"/>
      <c r="H26" s="15" t="n"/>
      <c r="I26" s="16" t="n"/>
      <c r="J26" s="16" t="n"/>
      <c r="K26" s="15" t="n"/>
      <c r="L26" s="15" t="n"/>
    </row>
    <row r="27">
      <c r="A27" s="15" t="n"/>
      <c r="B27" s="15" t="n"/>
      <c r="C27" s="15" t="n"/>
      <c r="D27" s="15" t="n"/>
      <c r="E27" s="16" t="n"/>
      <c r="F27" s="15" t="n"/>
      <c r="G27" s="15" t="n"/>
      <c r="H27" s="15" t="n"/>
      <c r="I27" s="16" t="n"/>
      <c r="J27" s="16" t="n"/>
      <c r="K27" s="15" t="n"/>
      <c r="L27" s="15" t="n"/>
    </row>
    <row r="28">
      <c r="A28" s="15" t="n"/>
      <c r="B28" s="15" t="n"/>
      <c r="C28" s="15" t="n"/>
      <c r="D28" s="15" t="n"/>
      <c r="E28" s="16" t="n"/>
      <c r="F28" s="15" t="n"/>
      <c r="G28" s="15" t="n"/>
      <c r="H28" s="15" t="n"/>
      <c r="I28" s="16" t="n"/>
      <c r="J28" s="16" t="n"/>
      <c r="K28" s="15" t="n"/>
      <c r="L28" s="15" t="n"/>
    </row>
    <row r="29">
      <c r="A29" s="15" t="n"/>
      <c r="B29" s="15" t="n"/>
      <c r="C29" s="15" t="n"/>
      <c r="D29" s="15" t="n"/>
      <c r="E29" s="16" t="n"/>
      <c r="F29" s="15" t="n"/>
      <c r="G29" s="15" t="n"/>
      <c r="H29" s="15" t="n"/>
      <c r="I29" s="16" t="n"/>
      <c r="J29" s="16" t="n"/>
      <c r="K29" s="15" t="n"/>
      <c r="L29" s="15" t="n"/>
    </row>
    <row r="30">
      <c r="A30" s="15" t="n"/>
      <c r="B30" s="15" t="n"/>
      <c r="C30" s="15" t="n"/>
      <c r="D30" s="15" t="n"/>
      <c r="E30" s="16" t="n"/>
      <c r="F30" s="15" t="n"/>
      <c r="G30" s="15" t="n"/>
      <c r="H30" s="15" t="n"/>
      <c r="I30" s="16" t="n"/>
      <c r="J30" s="16" t="n"/>
      <c r="K30" s="15" t="n"/>
      <c r="L30" s="15" t="n"/>
    </row>
    <row r="31">
      <c r="A31" s="15" t="n"/>
      <c r="B31" s="15" t="n"/>
      <c r="C31" s="15" t="n"/>
      <c r="D31" s="15" t="n"/>
      <c r="E31" s="16" t="n"/>
      <c r="F31" s="15" t="n"/>
      <c r="G31" s="15" t="n"/>
      <c r="H31" s="15" t="n"/>
      <c r="I31" s="16" t="n"/>
      <c r="J31" s="16" t="n"/>
      <c r="K31" s="15" t="n"/>
      <c r="L31" s="15" t="n"/>
    </row>
    <row r="32">
      <c r="A32" s="15" t="n"/>
      <c r="B32" s="15" t="n"/>
      <c r="C32" s="15" t="n"/>
      <c r="D32" s="15" t="n"/>
      <c r="E32" s="16" t="n"/>
      <c r="F32" s="15" t="n"/>
      <c r="G32" s="15" t="n"/>
      <c r="H32" s="15" t="n"/>
      <c r="I32" s="16" t="n"/>
      <c r="J32" s="16" t="n"/>
      <c r="K32" s="15" t="n"/>
      <c r="L32" s="15" t="n"/>
    </row>
    <row r="33">
      <c r="A33" s="15" t="n"/>
      <c r="B33" s="15" t="n"/>
      <c r="C33" s="15" t="n"/>
      <c r="D33" s="15" t="n"/>
      <c r="E33" s="16" t="n"/>
      <c r="F33" s="15" t="n"/>
      <c r="G33" s="15" t="n"/>
      <c r="H33" s="15" t="n"/>
      <c r="I33" s="16" t="n"/>
      <c r="J33" s="16" t="n"/>
      <c r="K33" s="15" t="n"/>
      <c r="L33" s="15" t="n"/>
    </row>
    <row r="34">
      <c r="A34" s="15" t="n"/>
      <c r="B34" s="15" t="n"/>
      <c r="C34" s="15" t="n"/>
      <c r="D34" s="15" t="n"/>
      <c r="E34" s="16" t="n"/>
      <c r="F34" s="15" t="n"/>
      <c r="G34" s="15" t="n"/>
      <c r="H34" s="15" t="n"/>
      <c r="I34" s="16" t="n"/>
      <c r="J34" s="16" t="n"/>
      <c r="K34" s="15" t="n"/>
      <c r="L34" s="15" t="n"/>
    </row>
    <row r="35">
      <c r="A35" s="15" t="n"/>
      <c r="B35" s="15" t="n"/>
      <c r="C35" s="15" t="n"/>
      <c r="D35" s="15" t="n"/>
      <c r="E35" s="16" t="n"/>
      <c r="F35" s="15" t="n"/>
      <c r="G35" s="15" t="n"/>
      <c r="H35" s="15" t="n"/>
      <c r="I35" s="16" t="n"/>
      <c r="J35" s="16" t="n"/>
      <c r="K35" s="15" t="n"/>
      <c r="L35" s="15" t="n"/>
    </row>
    <row r="36">
      <c r="A36" s="15" t="n"/>
      <c r="B36" s="15" t="n"/>
      <c r="C36" s="15" t="n"/>
      <c r="D36" s="15" t="n"/>
      <c r="E36" s="16" t="n"/>
      <c r="F36" s="15" t="n"/>
      <c r="G36" s="15" t="n"/>
      <c r="H36" s="15" t="n"/>
      <c r="I36" s="16" t="n"/>
      <c r="J36" s="16" t="n"/>
      <c r="K36" s="15" t="n"/>
      <c r="L36" s="15" t="n"/>
    </row>
    <row r="37">
      <c r="A37" s="15" t="n"/>
      <c r="B37" s="15" t="n"/>
      <c r="C37" s="15" t="n"/>
      <c r="D37" s="15" t="n"/>
      <c r="E37" s="16" t="n"/>
      <c r="F37" s="15" t="n"/>
      <c r="G37" s="15" t="n"/>
      <c r="H37" s="15" t="n"/>
      <c r="I37" s="16" t="n"/>
      <c r="J37" s="16" t="n"/>
      <c r="K37" s="15" t="n"/>
      <c r="L37" s="15" t="n"/>
    </row>
    <row r="38">
      <c r="A38" s="15" t="n"/>
      <c r="B38" s="15" t="n"/>
      <c r="C38" s="15" t="n"/>
      <c r="D38" s="15" t="n"/>
      <c r="E38" s="16" t="n"/>
      <c r="F38" s="15" t="n"/>
      <c r="G38" s="15" t="n"/>
      <c r="H38" s="15" t="n"/>
      <c r="I38" s="16" t="n"/>
      <c r="J38" s="16" t="n"/>
      <c r="K38" s="15" t="n"/>
      <c r="L38" s="15" t="n"/>
    </row>
    <row r="39">
      <c r="A39" s="15" t="n"/>
      <c r="B39" s="15" t="n"/>
      <c r="C39" s="15" t="n"/>
      <c r="D39" s="15" t="n"/>
      <c r="E39" s="16" t="n"/>
      <c r="F39" s="15" t="n"/>
      <c r="G39" s="15" t="n"/>
      <c r="H39" s="15" t="n"/>
      <c r="I39" s="16" t="n"/>
      <c r="J39" s="16" t="n"/>
      <c r="K39" s="15" t="n"/>
      <c r="L39" s="15" t="n"/>
    </row>
    <row r="40">
      <c r="A40" s="15" t="n"/>
      <c r="B40" s="15" t="n"/>
      <c r="C40" s="15" t="n"/>
      <c r="D40" s="15" t="n"/>
      <c r="E40" s="16" t="n"/>
      <c r="F40" s="15" t="n"/>
      <c r="G40" s="15" t="n"/>
      <c r="H40" s="15" t="n"/>
      <c r="I40" s="16" t="n"/>
      <c r="J40" s="16" t="n"/>
      <c r="K40" s="15" t="n"/>
      <c r="L40" s="15" t="n"/>
    </row>
    <row r="41">
      <c r="A41" s="15" t="n"/>
      <c r="B41" s="15" t="n"/>
      <c r="C41" s="15" t="n"/>
      <c r="D41" s="15" t="n"/>
      <c r="E41" s="16" t="n"/>
      <c r="F41" s="15" t="n"/>
      <c r="G41" s="15" t="n"/>
      <c r="H41" s="15" t="n"/>
      <c r="I41" s="16" t="n"/>
      <c r="J41" s="16" t="n"/>
      <c r="K41" s="15" t="n"/>
      <c r="L41" s="15" t="n"/>
    </row>
    <row r="42">
      <c r="A42" s="15" t="n"/>
      <c r="B42" s="15" t="n"/>
      <c r="C42" s="15" t="n"/>
      <c r="D42" s="15" t="n"/>
      <c r="E42" s="16" t="n"/>
      <c r="F42" s="15" t="n"/>
      <c r="G42" s="15" t="n"/>
      <c r="H42" s="15" t="n"/>
      <c r="I42" s="16" t="n"/>
      <c r="J42" s="16" t="n"/>
      <c r="K42" s="15" t="n"/>
      <c r="L42" s="15" t="n"/>
    </row>
    <row r="43">
      <c r="A43" s="15" t="n"/>
      <c r="B43" s="15" t="n"/>
      <c r="C43" s="15" t="n"/>
      <c r="D43" s="15" t="n"/>
      <c r="E43" s="16" t="n"/>
      <c r="F43" s="15" t="n"/>
      <c r="G43" s="15" t="n"/>
      <c r="H43" s="15" t="n"/>
      <c r="I43" s="16" t="n"/>
      <c r="J43" s="16" t="n"/>
      <c r="K43" s="15" t="n"/>
      <c r="L43" s="15" t="n"/>
    </row>
    <row r="44">
      <c r="A44" s="15" t="n"/>
      <c r="B44" s="15" t="n"/>
      <c r="C44" s="15" t="n"/>
      <c r="D44" s="15" t="n"/>
      <c r="E44" s="16" t="n"/>
      <c r="F44" s="15" t="n"/>
      <c r="G44" s="15" t="n"/>
      <c r="H44" s="15" t="n"/>
      <c r="I44" s="16" t="n"/>
      <c r="J44" s="16" t="n"/>
      <c r="K44" s="15" t="n"/>
      <c r="L44" s="15" t="n"/>
    </row>
    <row r="45">
      <c r="A45" s="15" t="n"/>
      <c r="B45" s="15" t="n"/>
      <c r="C45" s="15" t="n"/>
      <c r="D45" s="15" t="n"/>
      <c r="E45" s="16" t="n"/>
      <c r="F45" s="15" t="n"/>
      <c r="G45" s="15" t="n"/>
      <c r="H45" s="15" t="n"/>
      <c r="I45" s="16" t="n"/>
      <c r="J45" s="16" t="n"/>
      <c r="K45" s="15" t="n"/>
      <c r="L45" s="15" t="n"/>
    </row>
    <row r="46">
      <c r="A46" s="15" t="n"/>
      <c r="B46" s="15" t="n"/>
      <c r="C46" s="15" t="n"/>
      <c r="D46" s="15" t="n"/>
      <c r="E46" s="16" t="n"/>
      <c r="F46" s="15" t="n"/>
      <c r="G46" s="15" t="n"/>
      <c r="H46" s="15" t="n"/>
      <c r="I46" s="16" t="n"/>
      <c r="J46" s="16" t="n"/>
      <c r="K46" s="15" t="n"/>
      <c r="L46" s="15" t="n"/>
    </row>
    <row r="47">
      <c r="A47" s="15" t="n"/>
      <c r="B47" s="15" t="n"/>
      <c r="C47" s="15" t="n"/>
      <c r="D47" s="15" t="n"/>
      <c r="E47" s="16" t="n"/>
      <c r="F47" s="15" t="n"/>
      <c r="G47" s="15" t="n"/>
      <c r="H47" s="15" t="n"/>
      <c r="I47" s="16" t="n"/>
      <c r="J47" s="16" t="n"/>
      <c r="K47" s="15" t="n"/>
      <c r="L47" s="15" t="n"/>
    </row>
    <row r="48">
      <c r="A48" s="15" t="n"/>
      <c r="B48" s="15" t="n"/>
      <c r="C48" s="15" t="n"/>
      <c r="D48" s="15" t="n"/>
      <c r="E48" s="16" t="n"/>
      <c r="F48" s="15" t="n"/>
      <c r="G48" s="15" t="n"/>
      <c r="H48" s="15" t="n"/>
      <c r="I48" s="16" t="n"/>
      <c r="J48" s="16" t="n"/>
      <c r="K48" s="15" t="n"/>
      <c r="L48" s="15" t="n"/>
    </row>
    <row r="49">
      <c r="A49" s="15" t="n"/>
      <c r="B49" s="15" t="n"/>
      <c r="C49" s="15" t="n"/>
      <c r="D49" s="15" t="n"/>
      <c r="E49" s="16" t="n"/>
      <c r="F49" s="15" t="n"/>
      <c r="G49" s="15" t="n"/>
      <c r="H49" s="15" t="n"/>
      <c r="I49" s="16" t="n"/>
      <c r="J49" s="16" t="n"/>
      <c r="K49" s="15" t="n"/>
      <c r="L49" s="15" t="n"/>
    </row>
    <row r="50">
      <c r="A50" s="15" t="n"/>
      <c r="B50" s="15" t="n"/>
      <c r="C50" s="15" t="n"/>
      <c r="D50" s="15" t="n"/>
      <c r="E50" s="16" t="n"/>
      <c r="F50" s="15" t="n"/>
      <c r="G50" s="15" t="n"/>
      <c r="H50" s="15" t="n"/>
      <c r="I50" s="16" t="n"/>
      <c r="J50" s="16" t="n"/>
      <c r="K50" s="15" t="n"/>
      <c r="L50" s="15" t="n"/>
    </row>
    <row r="51">
      <c r="A51" s="15" t="n"/>
      <c r="B51" s="15" t="n"/>
      <c r="C51" s="15" t="n"/>
      <c r="D51" s="15" t="n"/>
      <c r="E51" s="16" t="n"/>
      <c r="F51" s="15" t="n"/>
      <c r="G51" s="15" t="n"/>
      <c r="H51" s="15" t="n"/>
      <c r="I51" s="16" t="n"/>
      <c r="J51" s="16" t="n"/>
      <c r="K51" s="15" t="n"/>
      <c r="L51" s="15" t="n"/>
    </row>
    <row r="52">
      <c r="A52" s="15" t="n"/>
      <c r="B52" s="15" t="n"/>
      <c r="C52" s="15" t="n"/>
      <c r="D52" s="15" t="n"/>
      <c r="E52" s="16" t="n"/>
      <c r="F52" s="15" t="n"/>
      <c r="G52" s="15" t="n"/>
      <c r="H52" s="15" t="n"/>
      <c r="I52" s="16" t="n"/>
      <c r="J52" s="16" t="n"/>
      <c r="K52" s="15" t="n"/>
      <c r="L52" s="15" t="n"/>
    </row>
    <row r="53">
      <c r="A53" s="15" t="n"/>
      <c r="B53" s="15" t="n"/>
      <c r="C53" s="15" t="n"/>
      <c r="D53" s="15" t="n"/>
      <c r="E53" s="16" t="n"/>
      <c r="F53" s="15" t="n"/>
      <c r="G53" s="15" t="n"/>
      <c r="H53" s="15" t="n"/>
      <c r="I53" s="16" t="n"/>
      <c r="J53" s="16" t="n"/>
      <c r="K53" s="15" t="n"/>
      <c r="L53" s="15" t="n"/>
    </row>
    <row r="54">
      <c r="A54" s="15" t="n"/>
      <c r="B54" s="15" t="n"/>
      <c r="C54" s="15" t="n"/>
      <c r="D54" s="15" t="n"/>
      <c r="E54" s="16" t="n"/>
      <c r="F54" s="15" t="n"/>
      <c r="G54" s="15" t="n"/>
      <c r="H54" s="15" t="n"/>
      <c r="I54" s="16" t="n"/>
      <c r="J54" s="16" t="n"/>
      <c r="K54" s="15" t="n"/>
      <c r="L54" s="15" t="n"/>
    </row>
    <row r="55">
      <c r="A55" s="15" t="n"/>
      <c r="B55" s="15" t="n"/>
      <c r="C55" s="15" t="n"/>
      <c r="D55" s="15" t="n"/>
      <c r="E55" s="16" t="n"/>
      <c r="F55" s="15" t="n"/>
      <c r="G55" s="15" t="n"/>
      <c r="H55" s="15" t="n"/>
      <c r="I55" s="16" t="n"/>
      <c r="J55" s="16" t="n"/>
      <c r="K55" s="15" t="n"/>
      <c r="L55" s="15" t="n"/>
    </row>
    <row r="56">
      <c r="A56" s="15" t="n"/>
      <c r="B56" s="15" t="n"/>
      <c r="C56" s="15" t="n"/>
      <c r="D56" s="15" t="n"/>
      <c r="E56" s="16" t="n"/>
      <c r="F56" s="15" t="n"/>
      <c r="G56" s="15" t="n"/>
      <c r="H56" s="15" t="n"/>
      <c r="I56" s="16" t="n"/>
      <c r="J56" s="16" t="n"/>
      <c r="K56" s="15" t="n"/>
      <c r="L56" s="15" t="n"/>
    </row>
    <row r="57">
      <c r="A57" s="15" t="n"/>
      <c r="B57" s="15" t="n"/>
      <c r="C57" s="15" t="n"/>
      <c r="D57" s="15" t="n"/>
      <c r="E57" s="16" t="n"/>
      <c r="F57" s="15" t="n"/>
      <c r="G57" s="15" t="n"/>
      <c r="H57" s="15" t="n"/>
      <c r="I57" s="16" t="n"/>
      <c r="J57" s="16" t="n"/>
      <c r="K57" s="15" t="n"/>
      <c r="L57" s="15" t="n"/>
    </row>
    <row r="58">
      <c r="A58" s="15" t="n"/>
      <c r="B58" s="15" t="n"/>
      <c r="C58" s="15" t="n"/>
      <c r="D58" s="15" t="n"/>
      <c r="E58" s="16" t="n"/>
      <c r="F58" s="15" t="n"/>
      <c r="G58" s="15" t="n"/>
      <c r="H58" s="15" t="n"/>
      <c r="I58" s="16" t="n"/>
      <c r="J58" s="16" t="n"/>
      <c r="K58" s="15" t="n"/>
      <c r="L58" s="15" t="n"/>
    </row>
    <row r="59">
      <c r="A59" s="15" t="n"/>
      <c r="B59" s="15" t="n"/>
      <c r="C59" s="15" t="n"/>
      <c r="D59" s="15" t="n"/>
      <c r="E59" s="16" t="n"/>
      <c r="F59" s="15" t="n"/>
      <c r="G59" s="15" t="n"/>
      <c r="H59" s="15" t="n"/>
      <c r="I59" s="16" t="n"/>
      <c r="J59" s="16" t="n"/>
      <c r="K59" s="15" t="n"/>
      <c r="L59" s="15" t="n"/>
    </row>
    <row r="60">
      <c r="A60" s="15" t="n"/>
      <c r="B60" s="15" t="n"/>
      <c r="C60" s="15" t="n"/>
      <c r="D60" s="15" t="n"/>
      <c r="E60" s="16" t="n"/>
      <c r="F60" s="15" t="n"/>
      <c r="G60" s="15" t="n"/>
      <c r="H60" s="15" t="n"/>
      <c r="I60" s="16" t="n"/>
      <c r="J60" s="16" t="n"/>
      <c r="K60" s="15" t="n"/>
      <c r="L60" s="15" t="n"/>
    </row>
    <row r="61">
      <c r="A61" s="15" t="n"/>
      <c r="B61" s="15" t="n"/>
      <c r="C61" s="15" t="n"/>
      <c r="D61" s="15" t="n"/>
      <c r="E61" s="16" t="n"/>
      <c r="F61" s="15" t="n"/>
      <c r="G61" s="15" t="n"/>
      <c r="H61" s="15" t="n"/>
      <c r="I61" s="16" t="n"/>
      <c r="J61" s="16" t="n"/>
      <c r="K61" s="15" t="n"/>
      <c r="L61" s="15" t="n"/>
    </row>
    <row r="62">
      <c r="A62" s="15" t="n"/>
      <c r="B62" s="15" t="n"/>
      <c r="C62" s="15" t="n"/>
      <c r="D62" s="15" t="n"/>
      <c r="E62" s="16" t="n"/>
      <c r="F62" s="15" t="n"/>
      <c r="G62" s="15" t="n"/>
      <c r="H62" s="15" t="n"/>
      <c r="I62" s="16" t="n"/>
      <c r="J62" s="16" t="n"/>
      <c r="K62" s="15" t="n"/>
      <c r="L62" s="15" t="n"/>
    </row>
    <row r="63">
      <c r="A63" s="15" t="n"/>
      <c r="B63" s="15" t="n"/>
      <c r="C63" s="15" t="n"/>
      <c r="D63" s="15" t="n"/>
      <c r="E63" s="16" t="n"/>
      <c r="F63" s="15" t="n"/>
      <c r="G63" s="15" t="n"/>
      <c r="H63" s="15" t="n"/>
      <c r="I63" s="16" t="n"/>
      <c r="J63" s="16" t="n"/>
      <c r="K63" s="15" t="n"/>
      <c r="L63" s="15" t="n"/>
    </row>
    <row r="64">
      <c r="A64" s="15" t="n"/>
      <c r="B64" s="15" t="n"/>
      <c r="C64" s="15" t="n"/>
      <c r="D64" s="15" t="n"/>
      <c r="E64" s="16" t="n"/>
      <c r="F64" s="15" t="n"/>
      <c r="G64" s="15" t="n"/>
      <c r="H64" s="15" t="n"/>
      <c r="I64" s="16" t="n"/>
      <c r="J64" s="16" t="n"/>
      <c r="K64" s="15" t="n"/>
      <c r="L64" s="15" t="n"/>
    </row>
    <row r="65">
      <c r="A65" s="15" t="n"/>
      <c r="B65" s="15" t="n"/>
      <c r="C65" s="15" t="n"/>
      <c r="D65" s="15" t="n"/>
      <c r="E65" s="16" t="n"/>
      <c r="F65" s="15" t="n"/>
      <c r="G65" s="15" t="n"/>
      <c r="H65" s="15" t="n"/>
      <c r="I65" s="16" t="n"/>
      <c r="J65" s="16" t="n"/>
      <c r="K65" s="15" t="n"/>
      <c r="L65" s="15" t="n"/>
    </row>
    <row r="66">
      <c r="A66" s="15" t="n"/>
      <c r="B66" s="15" t="n"/>
      <c r="C66" s="15" t="n"/>
      <c r="D66" s="15" t="n"/>
      <c r="E66" s="16" t="n"/>
      <c r="F66" s="15" t="n"/>
      <c r="G66" s="15" t="n"/>
      <c r="H66" s="15" t="n"/>
      <c r="I66" s="16" t="n"/>
      <c r="J66" s="16" t="n"/>
      <c r="K66" s="15" t="n"/>
      <c r="L66" s="15" t="n"/>
    </row>
    <row r="67">
      <c r="A67" s="15" t="n"/>
      <c r="B67" s="15" t="n"/>
      <c r="C67" s="15" t="n"/>
      <c r="D67" s="15" t="n"/>
      <c r="E67" s="16" t="n"/>
      <c r="F67" s="15" t="n"/>
      <c r="G67" s="15" t="n"/>
      <c r="H67" s="15" t="n"/>
      <c r="I67" s="16" t="n"/>
      <c r="J67" s="16" t="n"/>
      <c r="K67" s="15" t="n"/>
      <c r="L67" s="15" t="n"/>
    </row>
    <row r="68">
      <c r="A68" s="15" t="n"/>
      <c r="B68" s="15" t="n"/>
      <c r="C68" s="15" t="n"/>
      <c r="D68" s="15" t="n"/>
      <c r="E68" s="16" t="n"/>
      <c r="F68" s="15" t="n"/>
      <c r="G68" s="15" t="n"/>
      <c r="H68" s="15" t="n"/>
      <c r="I68" s="16" t="n"/>
      <c r="J68" s="16" t="n"/>
      <c r="K68" s="15" t="n"/>
      <c r="L68" s="15" t="n"/>
    </row>
    <row r="69">
      <c r="A69" s="15" t="n"/>
      <c r="B69" s="15" t="n"/>
      <c r="C69" s="15" t="n"/>
      <c r="D69" s="15" t="n"/>
      <c r="E69" s="16" t="n"/>
      <c r="F69" s="15" t="n"/>
      <c r="G69" s="15" t="n"/>
      <c r="H69" s="15" t="n"/>
      <c r="I69" s="16" t="n"/>
      <c r="J69" s="16" t="n"/>
      <c r="K69" s="15" t="n"/>
      <c r="L69" s="15" t="n"/>
    </row>
    <row r="70">
      <c r="A70" s="15" t="n"/>
      <c r="B70" s="15" t="n"/>
      <c r="C70" s="15" t="n"/>
      <c r="D70" s="15" t="n"/>
      <c r="E70" s="16" t="n"/>
      <c r="F70" s="15" t="n"/>
      <c r="G70" s="15" t="n"/>
      <c r="H70" s="15" t="n"/>
      <c r="I70" s="16" t="n"/>
      <c r="J70" s="16" t="n"/>
      <c r="K70" s="15" t="n"/>
      <c r="L70" s="15" t="n"/>
    </row>
    <row r="71">
      <c r="A71" s="15" t="n"/>
      <c r="B71" s="15" t="n"/>
      <c r="C71" s="15" t="n"/>
      <c r="D71" s="15" t="n"/>
      <c r="E71" s="16" t="n"/>
      <c r="F71" s="15" t="n"/>
      <c r="G71" s="15" t="n"/>
      <c r="H71" s="15" t="n"/>
      <c r="I71" s="16" t="n"/>
      <c r="J71" s="16" t="n"/>
      <c r="K71" s="15" t="n"/>
      <c r="L71" s="15" t="n"/>
    </row>
    <row r="72">
      <c r="A72" s="15" t="n"/>
      <c r="B72" s="15" t="n"/>
      <c r="C72" s="15" t="n"/>
      <c r="D72" s="15" t="n"/>
      <c r="E72" s="16" t="n"/>
      <c r="F72" s="15" t="n"/>
      <c r="G72" s="15" t="n"/>
      <c r="H72" s="15" t="n"/>
      <c r="I72" s="16" t="n"/>
      <c r="J72" s="16" t="n"/>
      <c r="K72" s="15" t="n"/>
      <c r="L72" s="15" t="n"/>
    </row>
    <row r="73">
      <c r="A73" s="15" t="n"/>
      <c r="B73" s="15" t="n"/>
      <c r="C73" s="15" t="n"/>
      <c r="D73" s="15" t="n"/>
      <c r="E73" s="16" t="n"/>
      <c r="F73" s="15" t="n"/>
      <c r="G73" s="15" t="n"/>
      <c r="H73" s="15" t="n"/>
      <c r="I73" s="16" t="n"/>
      <c r="J73" s="16" t="n"/>
      <c r="K73" s="15" t="n"/>
      <c r="L73" s="15" t="n"/>
    </row>
    <row r="74">
      <c r="A74" s="15" t="n"/>
      <c r="B74" s="15" t="n"/>
      <c r="C74" s="15" t="n"/>
      <c r="D74" s="15" t="n"/>
      <c r="E74" s="16" t="n"/>
      <c r="F74" s="15" t="n"/>
      <c r="G74" s="15" t="n"/>
      <c r="H74" s="15" t="n"/>
      <c r="I74" s="16" t="n"/>
      <c r="J74" s="16" t="n"/>
      <c r="K74" s="15" t="n"/>
      <c r="L74" s="15" t="n"/>
    </row>
    <row r="75">
      <c r="A75" s="15" t="n"/>
      <c r="B75" s="15" t="n"/>
      <c r="C75" s="15" t="n"/>
      <c r="D75" s="15" t="n"/>
      <c r="E75" s="16" t="n"/>
      <c r="F75" s="15" t="n"/>
      <c r="G75" s="15" t="n"/>
      <c r="H75" s="15" t="n"/>
      <c r="I75" s="16" t="n"/>
      <c r="J75" s="16" t="n"/>
      <c r="K75" s="15" t="n"/>
      <c r="L75" s="15" t="n"/>
    </row>
    <row r="76">
      <c r="A76" s="15" t="n"/>
      <c r="B76" s="15" t="n"/>
      <c r="C76" s="15" t="n"/>
      <c r="D76" s="15" t="n"/>
      <c r="E76" s="16" t="n"/>
      <c r="F76" s="15" t="n"/>
      <c r="G76" s="15" t="n"/>
      <c r="H76" s="15" t="n"/>
      <c r="I76" s="16" t="n"/>
      <c r="J76" s="16" t="n"/>
      <c r="K76" s="15" t="n"/>
      <c r="L76" s="15" t="n"/>
    </row>
    <row r="77">
      <c r="A77" s="15" t="n"/>
      <c r="B77" s="15" t="n"/>
      <c r="C77" s="15" t="n"/>
      <c r="D77" s="15" t="n"/>
      <c r="E77" s="16" t="n"/>
      <c r="F77" s="15" t="n"/>
      <c r="G77" s="15" t="n"/>
      <c r="H77" s="15" t="n"/>
      <c r="I77" s="16" t="n"/>
      <c r="J77" s="16" t="n"/>
      <c r="K77" s="15" t="n"/>
      <c r="L77" s="15" t="n"/>
    </row>
    <row r="78">
      <c r="A78" s="15" t="n"/>
      <c r="B78" s="15" t="n"/>
      <c r="C78" s="15" t="n"/>
      <c r="D78" s="15" t="n"/>
      <c r="E78" s="16" t="n"/>
      <c r="F78" s="15" t="n"/>
      <c r="G78" s="15" t="n"/>
      <c r="H78" s="15" t="n"/>
      <c r="I78" s="16" t="n"/>
      <c r="J78" s="16" t="n"/>
      <c r="K78" s="15" t="n"/>
      <c r="L78" s="15" t="n"/>
    </row>
    <row r="79">
      <c r="A79" s="15" t="n"/>
      <c r="B79" s="15" t="n"/>
      <c r="C79" s="15" t="n"/>
      <c r="D79" s="15" t="n"/>
      <c r="E79" s="16" t="n"/>
      <c r="F79" s="15" t="n"/>
      <c r="G79" s="15" t="n"/>
      <c r="H79" s="15" t="n"/>
      <c r="I79" s="16" t="n"/>
      <c r="J79" s="16" t="n"/>
      <c r="K79" s="15" t="n"/>
      <c r="L79" s="15" t="n"/>
    </row>
    <row r="80">
      <c r="A80" s="15" t="n"/>
      <c r="B80" s="15" t="n"/>
      <c r="C80" s="15" t="n"/>
      <c r="D80" s="15" t="n"/>
      <c r="E80" s="16" t="n"/>
      <c r="F80" s="15" t="n"/>
      <c r="G80" s="15" t="n"/>
      <c r="H80" s="15" t="n"/>
      <c r="I80" s="16" t="n"/>
      <c r="J80" s="16" t="n"/>
      <c r="K80" s="15" t="n"/>
      <c r="L80" s="15" t="n"/>
    </row>
    <row r="81">
      <c r="A81" s="15" t="n"/>
      <c r="B81" s="15" t="n"/>
      <c r="C81" s="15" t="n"/>
      <c r="D81" s="15" t="n"/>
      <c r="E81" s="16" t="n"/>
      <c r="F81" s="15" t="n"/>
      <c r="G81" s="15" t="n"/>
      <c r="H81" s="15" t="n"/>
      <c r="I81" s="16" t="n"/>
      <c r="J81" s="16" t="n"/>
      <c r="K81" s="15" t="n"/>
      <c r="L81" s="15" t="n"/>
    </row>
    <row r="82">
      <c r="A82" s="15" t="n"/>
      <c r="B82" s="15" t="n"/>
      <c r="C82" s="15" t="n"/>
      <c r="D82" s="15" t="n"/>
      <c r="E82" s="16" t="n"/>
      <c r="F82" s="15" t="n"/>
      <c r="G82" s="15" t="n"/>
      <c r="H82" s="15" t="n"/>
      <c r="I82" s="16" t="n"/>
      <c r="J82" s="16" t="n"/>
      <c r="K82" s="15" t="n"/>
      <c r="L82" s="15" t="n"/>
    </row>
    <row r="83">
      <c r="A83" s="15" t="n"/>
      <c r="B83" s="15" t="n"/>
      <c r="C83" s="15" t="n"/>
      <c r="D83" s="15" t="n"/>
      <c r="E83" s="16" t="n"/>
      <c r="F83" s="15" t="n"/>
      <c r="G83" s="15" t="n"/>
      <c r="H83" s="15" t="n"/>
      <c r="I83" s="16" t="n"/>
      <c r="J83" s="16" t="n"/>
      <c r="K83" s="15" t="n"/>
      <c r="L83" s="15" t="n"/>
    </row>
    <row r="84">
      <c r="A84" s="15" t="n"/>
      <c r="B84" s="15" t="n"/>
      <c r="C84" s="15" t="n"/>
      <c r="D84" s="15" t="n"/>
      <c r="E84" s="16" t="n"/>
      <c r="F84" s="15" t="n"/>
      <c r="G84" s="15" t="n"/>
      <c r="H84" s="15" t="n"/>
      <c r="I84" s="16" t="n"/>
      <c r="J84" s="16" t="n"/>
      <c r="K84" s="15" t="n"/>
      <c r="L84" s="15" t="n"/>
    </row>
    <row r="85">
      <c r="A85" s="15" t="n"/>
      <c r="B85" s="15" t="n"/>
      <c r="C85" s="15" t="n"/>
      <c r="D85" s="15" t="n"/>
      <c r="E85" s="16" t="n"/>
      <c r="F85" s="15" t="n"/>
      <c r="G85" s="15" t="n"/>
      <c r="H85" s="15" t="n"/>
      <c r="I85" s="16" t="n"/>
      <c r="J85" s="16" t="n"/>
      <c r="K85" s="15" t="n"/>
      <c r="L85" s="15" t="n"/>
    </row>
    <row r="86">
      <c r="A86" s="15" t="n"/>
      <c r="B86" s="15" t="n"/>
      <c r="C86" s="15" t="n"/>
      <c r="D86" s="15" t="n"/>
      <c r="E86" s="16" t="n"/>
      <c r="F86" s="15" t="n"/>
      <c r="G86" s="15" t="n"/>
      <c r="H86" s="15" t="n"/>
      <c r="I86" s="16" t="n"/>
      <c r="J86" s="16" t="n"/>
      <c r="K86" s="15" t="n"/>
      <c r="L86" s="15" t="n"/>
    </row>
    <row r="87">
      <c r="A87" s="15" t="n"/>
      <c r="B87" s="15" t="n"/>
      <c r="C87" s="15" t="n"/>
      <c r="D87" s="15" t="n"/>
      <c r="E87" s="16" t="n"/>
      <c r="F87" s="15" t="n"/>
      <c r="G87" s="15" t="n"/>
      <c r="H87" s="15" t="n"/>
      <c r="I87" s="16" t="n"/>
      <c r="J87" s="16" t="n"/>
      <c r="K87" s="15" t="n"/>
      <c r="L87" s="15" t="n"/>
    </row>
    <row r="88">
      <c r="A88" s="15" t="n"/>
      <c r="B88" s="15" t="n"/>
      <c r="C88" s="15" t="n"/>
      <c r="D88" s="15" t="n"/>
      <c r="E88" s="16" t="n"/>
      <c r="F88" s="15" t="n"/>
      <c r="G88" s="15" t="n"/>
      <c r="H88" s="15" t="n"/>
      <c r="I88" s="16" t="n"/>
      <c r="J88" s="16" t="n"/>
      <c r="K88" s="15" t="n"/>
      <c r="L88" s="15" t="n"/>
    </row>
    <row r="89">
      <c r="A89" s="15" t="n"/>
      <c r="B89" s="15" t="n"/>
      <c r="C89" s="15" t="n"/>
      <c r="D89" s="15" t="n"/>
      <c r="E89" s="16" t="n"/>
      <c r="F89" s="15" t="n"/>
      <c r="G89" s="15" t="n"/>
      <c r="H89" s="15" t="n"/>
      <c r="I89" s="16" t="n"/>
      <c r="J89" s="16" t="n"/>
      <c r="K89" s="15" t="n"/>
      <c r="L89" s="15" t="n"/>
    </row>
    <row r="90">
      <c r="A90" s="15" t="n"/>
      <c r="B90" s="15" t="n"/>
      <c r="C90" s="15" t="n"/>
      <c r="D90" s="15" t="n"/>
      <c r="E90" s="16" t="n"/>
      <c r="F90" s="15" t="n"/>
      <c r="G90" s="15" t="n"/>
      <c r="H90" s="15" t="n"/>
      <c r="I90" s="16" t="n"/>
      <c r="J90" s="16" t="n"/>
      <c r="K90" s="15" t="n"/>
      <c r="L90" s="15" t="n"/>
    </row>
    <row r="91">
      <c r="A91" s="15" t="n"/>
      <c r="B91" s="15" t="n"/>
      <c r="C91" s="15" t="n"/>
      <c r="D91" s="15" t="n"/>
      <c r="E91" s="16" t="n"/>
      <c r="F91" s="15" t="n"/>
      <c r="G91" s="15" t="n"/>
      <c r="H91" s="15" t="n"/>
      <c r="I91" s="16" t="n"/>
      <c r="J91" s="16" t="n"/>
      <c r="K91" s="15" t="n"/>
      <c r="L91" s="15" t="n"/>
    </row>
    <row r="92">
      <c r="A92" s="15" t="n"/>
      <c r="B92" s="15" t="n"/>
      <c r="C92" s="15" t="n"/>
      <c r="D92" s="15" t="n"/>
      <c r="E92" s="16" t="n"/>
      <c r="F92" s="15" t="n"/>
      <c r="G92" s="15" t="n"/>
      <c r="H92" s="15" t="n"/>
      <c r="I92" s="16" t="n"/>
      <c r="J92" s="16" t="n"/>
      <c r="K92" s="15" t="n"/>
      <c r="L92" s="15" t="n"/>
    </row>
    <row r="93">
      <c r="A93" s="15" t="n"/>
      <c r="B93" s="15" t="n"/>
      <c r="C93" s="15" t="n"/>
      <c r="D93" s="15" t="n"/>
      <c r="E93" s="16" t="n"/>
      <c r="F93" s="15" t="n"/>
      <c r="G93" s="15" t="n"/>
      <c r="H93" s="15" t="n"/>
      <c r="I93" s="16" t="n"/>
      <c r="J93" s="16" t="n"/>
      <c r="K93" s="15" t="n"/>
      <c r="L93" s="15" t="n"/>
    </row>
    <row r="94">
      <c r="A94" s="15" t="n"/>
      <c r="B94" s="15" t="n"/>
      <c r="C94" s="15" t="n"/>
      <c r="D94" s="15" t="n"/>
      <c r="E94" s="16" t="n"/>
      <c r="F94" s="15" t="n"/>
      <c r="G94" s="15" t="n"/>
      <c r="H94" s="15" t="n"/>
      <c r="I94" s="16" t="n"/>
      <c r="J94" s="16" t="n"/>
      <c r="K94" s="15" t="n"/>
      <c r="L94" s="15" t="n"/>
    </row>
    <row r="95">
      <c r="A95" s="15" t="n"/>
      <c r="B95" s="15" t="n"/>
      <c r="C95" s="15" t="n"/>
      <c r="D95" s="15" t="n"/>
      <c r="E95" s="16" t="n"/>
      <c r="F95" s="15" t="n"/>
      <c r="G95" s="15" t="n"/>
      <c r="H95" s="15" t="n"/>
      <c r="I95" s="16" t="n"/>
      <c r="J95" s="16" t="n"/>
      <c r="K95" s="15" t="n"/>
      <c r="L95" s="15" t="n"/>
    </row>
    <row r="96">
      <c r="A96" s="15" t="n"/>
      <c r="B96" s="15" t="n"/>
      <c r="C96" s="15" t="n"/>
      <c r="D96" s="15" t="n"/>
      <c r="E96" s="16" t="n"/>
      <c r="F96" s="15" t="n"/>
      <c r="G96" s="15" t="n"/>
      <c r="H96" s="15" t="n"/>
      <c r="I96" s="16" t="n"/>
      <c r="J96" s="16" t="n"/>
      <c r="K96" s="15" t="n"/>
      <c r="L96" s="15" t="n"/>
    </row>
    <row r="97">
      <c r="A97" s="15" t="n"/>
      <c r="B97" s="15" t="n"/>
      <c r="C97" s="15" t="n"/>
      <c r="D97" s="15" t="n"/>
      <c r="E97" s="16" t="n"/>
      <c r="F97" s="15" t="n"/>
      <c r="G97" s="15" t="n"/>
      <c r="H97" s="15" t="n"/>
      <c r="I97" s="16" t="n"/>
      <c r="J97" s="16" t="n"/>
      <c r="K97" s="15" t="n"/>
      <c r="L97" s="15" t="n"/>
    </row>
    <row r="98">
      <c r="A98" s="15" t="n"/>
      <c r="B98" s="15" t="n"/>
      <c r="C98" s="15" t="n"/>
      <c r="D98" s="15" t="n"/>
      <c r="E98" s="16" t="n"/>
      <c r="F98" s="15" t="n"/>
      <c r="G98" s="15" t="n"/>
      <c r="H98" s="15" t="n"/>
      <c r="I98" s="16" t="n"/>
      <c r="J98" s="16" t="n"/>
      <c r="K98" s="15" t="n"/>
      <c r="L98" s="15" t="n"/>
    </row>
    <row r="99">
      <c r="A99" s="15" t="n"/>
      <c r="B99" s="15" t="n"/>
      <c r="C99" s="15" t="n"/>
      <c r="D99" s="15" t="n"/>
      <c r="E99" s="16" t="n"/>
      <c r="F99" s="15" t="n"/>
      <c r="G99" s="15" t="n"/>
      <c r="H99" s="15" t="n"/>
      <c r="I99" s="16" t="n"/>
      <c r="J99" s="16" t="n"/>
      <c r="K99" s="15" t="n"/>
      <c r="L99" s="15" t="n"/>
    </row>
    <row r="100">
      <c r="A100" s="15" t="n"/>
      <c r="B100" s="15" t="n"/>
      <c r="C100" s="15" t="n"/>
      <c r="D100" s="15" t="n"/>
      <c r="E100" s="16" t="n"/>
      <c r="F100" s="15" t="n"/>
      <c r="G100" s="15" t="n"/>
      <c r="H100" s="15" t="n"/>
      <c r="I100" s="16" t="n"/>
      <c r="J100" s="16" t="n"/>
      <c r="K100" s="15" t="n"/>
      <c r="L100" s="15" t="n"/>
    </row>
    <row r="101">
      <c r="A101" s="15" t="n"/>
      <c r="B101" s="15" t="n"/>
      <c r="C101" s="15" t="n"/>
      <c r="D101" s="15" t="n"/>
      <c r="E101" s="16" t="n"/>
      <c r="F101" s="15" t="n"/>
      <c r="G101" s="15" t="n"/>
      <c r="H101" s="15" t="n"/>
      <c r="I101" s="16" t="n"/>
      <c r="J101" s="16" t="n"/>
      <c r="K101" s="15" t="n"/>
      <c r="L101" s="15" t="n"/>
    </row>
    <row r="102">
      <c r="A102" s="15" t="n"/>
      <c r="B102" s="15" t="n"/>
      <c r="C102" s="15" t="n"/>
      <c r="D102" s="15" t="n"/>
      <c r="E102" s="16" t="n"/>
      <c r="F102" s="15" t="n"/>
      <c r="G102" s="15" t="n"/>
      <c r="H102" s="15" t="n"/>
      <c r="I102" s="16" t="n"/>
      <c r="J102" s="16" t="n"/>
      <c r="K102" s="15" t="n"/>
      <c r="L102" s="15" t="n"/>
    </row>
    <row r="103">
      <c r="A103" s="15" t="n"/>
      <c r="B103" s="15" t="n"/>
      <c r="C103" s="15" t="n"/>
      <c r="D103" s="15" t="n"/>
      <c r="E103" s="16" t="n"/>
      <c r="F103" s="15" t="n"/>
      <c r="G103" s="15" t="n"/>
      <c r="H103" s="15" t="n"/>
      <c r="I103" s="16" t="n"/>
      <c r="J103" s="16" t="n"/>
      <c r="K103" s="15" t="n"/>
      <c r="L103" s="15" t="n"/>
    </row>
    <row r="104">
      <c r="A104" s="15" t="n"/>
      <c r="B104" s="15" t="n"/>
      <c r="C104" s="15" t="n"/>
      <c r="D104" s="15" t="n"/>
      <c r="E104" s="16" t="n"/>
      <c r="F104" s="15" t="n"/>
      <c r="G104" s="15" t="n"/>
      <c r="H104" s="15" t="n"/>
      <c r="I104" s="16" t="n"/>
      <c r="J104" s="16" t="n"/>
      <c r="K104" s="15" t="n"/>
      <c r="L104" s="15" t="n"/>
    </row>
    <row r="105">
      <c r="A105" s="15" t="n"/>
      <c r="B105" s="15" t="n"/>
      <c r="C105" s="15" t="n"/>
      <c r="D105" s="15" t="n"/>
      <c r="E105" s="16" t="n"/>
      <c r="F105" s="15" t="n"/>
      <c r="G105" s="15" t="n"/>
      <c r="H105" s="15" t="n"/>
      <c r="I105" s="16" t="n"/>
      <c r="J105" s="16" t="n"/>
      <c r="K105" s="15" t="n"/>
      <c r="L105" s="15" t="n"/>
    </row>
    <row r="106">
      <c r="A106" s="15" t="n"/>
      <c r="B106" s="15" t="n"/>
      <c r="C106" s="15" t="n"/>
      <c r="D106" s="15" t="n"/>
      <c r="E106" s="16" t="n"/>
      <c r="F106" s="15" t="n"/>
      <c r="G106" s="15" t="n"/>
      <c r="H106" s="15" t="n"/>
      <c r="I106" s="16" t="n"/>
      <c r="J106" s="16" t="n"/>
      <c r="K106" s="15" t="n"/>
      <c r="L106" s="15" t="n"/>
    </row>
    <row r="107">
      <c r="A107" s="15" t="n"/>
      <c r="B107" s="15" t="n"/>
      <c r="C107" s="15" t="n"/>
      <c r="D107" s="15" t="n"/>
      <c r="E107" s="16" t="n"/>
      <c r="F107" s="15" t="n"/>
      <c r="G107" s="15" t="n"/>
      <c r="H107" s="15" t="n"/>
      <c r="I107" s="16" t="n"/>
      <c r="J107" s="16" t="n"/>
      <c r="K107" s="15" t="n"/>
      <c r="L107" s="15" t="n"/>
    </row>
    <row r="108">
      <c r="A108" s="15" t="n"/>
      <c r="B108" s="15" t="n"/>
      <c r="C108" s="15" t="n"/>
      <c r="D108" s="15" t="n"/>
      <c r="E108" s="16" t="n"/>
      <c r="F108" s="15" t="n"/>
      <c r="G108" s="15" t="n"/>
      <c r="H108" s="15" t="n"/>
      <c r="I108" s="16" t="n"/>
      <c r="J108" s="16" t="n"/>
      <c r="K108" s="15" t="n"/>
      <c r="L108" s="15" t="n"/>
    </row>
    <row r="109">
      <c r="A109" s="15" t="n"/>
      <c r="B109" s="15" t="n"/>
      <c r="C109" s="15" t="n"/>
      <c r="D109" s="15" t="n"/>
      <c r="E109" s="16" t="n"/>
      <c r="F109" s="15" t="n"/>
      <c r="G109" s="15" t="n"/>
      <c r="H109" s="15" t="n"/>
      <c r="I109" s="16" t="n"/>
      <c r="J109" s="16" t="n"/>
      <c r="K109" s="15" t="n"/>
      <c r="L109" s="15" t="n"/>
    </row>
    <row r="110">
      <c r="A110" s="15" t="n"/>
      <c r="B110" s="15" t="n"/>
      <c r="C110" s="15" t="n"/>
      <c r="D110" s="15" t="n"/>
      <c r="E110" s="16" t="n"/>
      <c r="F110" s="15" t="n"/>
      <c r="G110" s="15" t="n"/>
      <c r="H110" s="15" t="n"/>
      <c r="I110" s="16" t="n"/>
      <c r="J110" s="16" t="n"/>
      <c r="K110" s="15" t="n"/>
      <c r="L110" s="15" t="n"/>
    </row>
    <row r="111">
      <c r="A111" s="15" t="n"/>
      <c r="B111" s="15" t="n"/>
      <c r="C111" s="15" t="n"/>
      <c r="D111" s="15" t="n"/>
      <c r="E111" s="16" t="n"/>
      <c r="F111" s="15" t="n"/>
      <c r="G111" s="15" t="n"/>
      <c r="H111" s="15" t="n"/>
      <c r="I111" s="16" t="n"/>
      <c r="J111" s="16" t="n"/>
      <c r="K111" s="15" t="n"/>
      <c r="L111" s="15" t="n"/>
    </row>
    <row r="112">
      <c r="A112" s="15" t="n"/>
      <c r="B112" s="15" t="n"/>
      <c r="C112" s="15" t="n"/>
      <c r="D112" s="15" t="n"/>
      <c r="E112" s="16" t="n"/>
      <c r="F112" s="15" t="n"/>
      <c r="G112" s="15" t="n"/>
      <c r="H112" s="15" t="n"/>
      <c r="I112" s="16" t="n"/>
      <c r="J112" s="16" t="n"/>
      <c r="K112" s="15" t="n"/>
      <c r="L112" s="15" t="n"/>
    </row>
    <row r="113">
      <c r="A113" s="15" t="n"/>
      <c r="B113" s="15" t="n"/>
      <c r="C113" s="15" t="n"/>
      <c r="D113" s="15" t="n"/>
      <c r="E113" s="16" t="n"/>
      <c r="F113" s="15" t="n"/>
      <c r="G113" s="15" t="n"/>
      <c r="H113" s="15" t="n"/>
      <c r="I113" s="16" t="n"/>
      <c r="J113" s="16" t="n"/>
      <c r="K113" s="15" t="n"/>
      <c r="L113" s="15" t="n"/>
    </row>
    <row r="114">
      <c r="A114" s="15" t="n"/>
      <c r="B114" s="15" t="n"/>
      <c r="C114" s="15" t="n"/>
      <c r="D114" s="15" t="n"/>
      <c r="E114" s="16" t="n"/>
      <c r="F114" s="15" t="n"/>
      <c r="G114" s="15" t="n"/>
      <c r="H114" s="15" t="n"/>
      <c r="I114" s="16" t="n"/>
      <c r="J114" s="16" t="n"/>
      <c r="K114" s="15" t="n"/>
      <c r="L114" s="15" t="n"/>
    </row>
    <row r="115">
      <c r="A115" s="15" t="n"/>
      <c r="B115" s="15" t="n"/>
      <c r="C115" s="15" t="n"/>
      <c r="D115" s="15" t="n"/>
      <c r="E115" s="16" t="n"/>
      <c r="F115" s="15" t="n"/>
      <c r="G115" s="15" t="n"/>
      <c r="H115" s="15" t="n"/>
      <c r="I115" s="16" t="n"/>
      <c r="J115" s="16" t="n"/>
      <c r="K115" s="15" t="n"/>
      <c r="L115" s="15" t="n"/>
    </row>
    <row r="116">
      <c r="A116" s="15" t="n"/>
      <c r="B116" s="15" t="n"/>
      <c r="C116" s="15" t="n"/>
      <c r="D116" s="15" t="n"/>
      <c r="E116" s="16" t="n"/>
      <c r="F116" s="15" t="n"/>
      <c r="G116" s="15" t="n"/>
      <c r="H116" s="15" t="n"/>
      <c r="I116" s="16" t="n"/>
      <c r="J116" s="16" t="n"/>
      <c r="K116" s="15" t="n"/>
      <c r="L116" s="15" t="n"/>
    </row>
    <row r="117">
      <c r="A117" s="15" t="n"/>
      <c r="B117" s="15" t="n"/>
      <c r="C117" s="15" t="n"/>
      <c r="D117" s="15" t="n"/>
      <c r="E117" s="16" t="n"/>
      <c r="F117" s="15" t="n"/>
      <c r="G117" s="15" t="n"/>
      <c r="H117" s="15" t="n"/>
      <c r="I117" s="16" t="n"/>
      <c r="J117" s="16" t="n"/>
      <c r="K117" s="15" t="n"/>
      <c r="L117" s="15" t="n"/>
    </row>
    <row r="118">
      <c r="A118" s="15" t="n"/>
      <c r="B118" s="15" t="n"/>
      <c r="C118" s="15" t="n"/>
      <c r="D118" s="15" t="n"/>
      <c r="E118" s="16" t="n"/>
      <c r="F118" s="15" t="n"/>
      <c r="G118" s="15" t="n"/>
      <c r="H118" s="15" t="n"/>
      <c r="I118" s="16" t="n"/>
      <c r="J118" s="16" t="n"/>
      <c r="K118" s="15" t="n"/>
      <c r="L118" s="15" t="n"/>
    </row>
    <row r="119">
      <c r="A119" s="15" t="n"/>
      <c r="B119" s="15" t="n"/>
      <c r="C119" s="15" t="n"/>
      <c r="D119" s="15" t="n"/>
      <c r="E119" s="16" t="n"/>
      <c r="F119" s="15" t="n"/>
      <c r="G119" s="15" t="n"/>
      <c r="H119" s="15" t="n"/>
      <c r="I119" s="16" t="n"/>
      <c r="J119" s="16" t="n"/>
      <c r="K119" s="15" t="n"/>
      <c r="L119" s="15" t="n"/>
    </row>
    <row r="120">
      <c r="E120" s="27" t="n"/>
      <c r="I120" s="27" t="n"/>
      <c r="J120" s="27" t="n"/>
    </row>
    <row r="121">
      <c r="E121" s="27" t="n"/>
      <c r="I121" s="27" t="n"/>
      <c r="J121" s="27" t="n"/>
    </row>
    <row r="122">
      <c r="E122" s="27" t="n"/>
      <c r="I122" s="27" t="n"/>
      <c r="J122" s="27" t="n"/>
    </row>
    <row r="123">
      <c r="E123" s="27" t="n"/>
      <c r="I123" s="27" t="n"/>
      <c r="J123" s="27" t="n"/>
    </row>
    <row r="124">
      <c r="E124" s="27" t="n"/>
      <c r="I124" s="27" t="n"/>
      <c r="J124" s="27" t="n"/>
    </row>
    <row r="125">
      <c r="E125" s="27" t="n"/>
      <c r="I125" s="27" t="n"/>
      <c r="J125" s="27" t="n"/>
    </row>
    <row r="126">
      <c r="E126" s="27" t="n"/>
      <c r="I126" s="27" t="n"/>
      <c r="J126" s="27" t="n"/>
    </row>
    <row r="127">
      <c r="E127" s="27" t="n"/>
      <c r="I127" s="27" t="n"/>
      <c r="J127" s="27" t="n"/>
    </row>
    <row r="128">
      <c r="E128" s="27" t="n"/>
      <c r="I128" s="27" t="n"/>
      <c r="J128" s="27" t="n"/>
    </row>
    <row r="129">
      <c r="E129" s="27" t="n"/>
      <c r="I129" s="27" t="n"/>
      <c r="J129" s="27" t="n"/>
    </row>
    <row r="130">
      <c r="E130" s="27" t="n"/>
      <c r="I130" s="27" t="n"/>
      <c r="J130" s="27" t="n"/>
    </row>
    <row r="131">
      <c r="E131" s="27" t="n"/>
      <c r="I131" s="27" t="n"/>
      <c r="J131" s="27" t="n"/>
    </row>
    <row r="132">
      <c r="E132" s="27" t="n"/>
      <c r="I132" s="27" t="n"/>
      <c r="J132" s="27" t="n"/>
    </row>
    <row r="133">
      <c r="E133" s="27" t="n"/>
      <c r="I133" s="27" t="n"/>
      <c r="J133" s="27" t="n"/>
    </row>
    <row r="134">
      <c r="E134" s="27" t="n"/>
      <c r="I134" s="27" t="n"/>
      <c r="J134" s="27" t="n"/>
    </row>
    <row r="135">
      <c r="E135" s="27" t="n"/>
      <c r="I135" s="27" t="n"/>
      <c r="J135" s="27" t="n"/>
    </row>
    <row r="136">
      <c r="E136" s="27" t="n"/>
      <c r="I136" s="27" t="n"/>
      <c r="J136" s="27" t="n"/>
    </row>
    <row r="137">
      <c r="E137" s="27" t="n"/>
      <c r="I137" s="27" t="n"/>
      <c r="J137" s="27" t="n"/>
    </row>
    <row r="138">
      <c r="E138" s="27" t="n"/>
      <c r="I138" s="27" t="n"/>
      <c r="J138" s="27" t="n"/>
    </row>
    <row r="139">
      <c r="E139" s="27" t="n"/>
      <c r="I139" s="27" t="n"/>
      <c r="J139" s="27" t="n"/>
    </row>
    <row r="140">
      <c r="E140" s="27" t="n"/>
      <c r="I140" s="27" t="n"/>
      <c r="J140" s="27" t="n"/>
    </row>
    <row r="141">
      <c r="E141" s="27" t="n"/>
      <c r="I141" s="27" t="n"/>
      <c r="J141" s="27" t="n"/>
    </row>
    <row r="142">
      <c r="E142" s="27" t="n"/>
      <c r="I142" s="27" t="n"/>
      <c r="J142" s="27" t="n"/>
    </row>
    <row r="143">
      <c r="E143" s="27" t="n"/>
      <c r="I143" s="27" t="n"/>
      <c r="J143" s="27" t="n"/>
    </row>
    <row r="144">
      <c r="E144" s="27" t="n"/>
      <c r="I144" s="27" t="n"/>
      <c r="J144" s="27" t="n"/>
    </row>
    <row r="145">
      <c r="E145" s="27" t="n"/>
      <c r="I145" s="27" t="n"/>
      <c r="J145" s="27" t="n"/>
    </row>
    <row r="146">
      <c r="E146" s="27" t="n"/>
      <c r="I146" s="27" t="n"/>
      <c r="J146" s="27" t="n"/>
    </row>
    <row r="147">
      <c r="E147" s="27" t="n"/>
      <c r="I147" s="27" t="n"/>
      <c r="J147" s="27" t="n"/>
    </row>
    <row r="148">
      <c r="E148" s="27" t="n"/>
      <c r="I148" s="27" t="n"/>
      <c r="J148" s="27" t="n"/>
    </row>
    <row r="149">
      <c r="E149" s="27" t="n"/>
      <c r="I149" s="27" t="n"/>
      <c r="J149" s="27" t="n"/>
    </row>
    <row r="150">
      <c r="E150" s="27" t="n"/>
      <c r="I150" s="27" t="n"/>
      <c r="J150" s="27" t="n"/>
    </row>
    <row r="151">
      <c r="E151" s="27" t="n"/>
      <c r="I151" s="27" t="n"/>
      <c r="J151" s="27" t="n"/>
    </row>
    <row r="152">
      <c r="E152" s="27" t="n"/>
      <c r="I152" s="27" t="n"/>
      <c r="J152" s="27" t="n"/>
    </row>
    <row r="153">
      <c r="E153" s="27" t="n"/>
      <c r="I153" s="27" t="n"/>
      <c r="J153" s="27" t="n"/>
    </row>
    <row r="154">
      <c r="E154" s="27" t="n"/>
      <c r="I154" s="27" t="n"/>
      <c r="J154" s="27" t="n"/>
    </row>
    <row r="155">
      <c r="E155" s="27" t="n"/>
      <c r="I155" s="27" t="n"/>
      <c r="J155" s="27" t="n"/>
    </row>
    <row r="156">
      <c r="E156" s="27" t="n"/>
      <c r="I156" s="27" t="n"/>
      <c r="J156" s="27" t="n"/>
    </row>
    <row r="157">
      <c r="E157" s="27" t="n"/>
      <c r="I157" s="27" t="n"/>
      <c r="J157" s="27" t="n"/>
    </row>
    <row r="158">
      <c r="E158" s="27" t="n"/>
      <c r="I158" s="27" t="n"/>
      <c r="J158" s="27" t="n"/>
    </row>
    <row r="159">
      <c r="E159" s="27" t="n"/>
      <c r="I159" s="27" t="n"/>
      <c r="J159" s="27" t="n"/>
    </row>
    <row r="160">
      <c r="E160" s="27" t="n"/>
      <c r="I160" s="27" t="n"/>
      <c r="J160" s="27" t="n"/>
    </row>
    <row r="161">
      <c r="E161" s="27" t="n"/>
      <c r="I161" s="27" t="n"/>
      <c r="J161" s="27" t="n"/>
    </row>
    <row r="162">
      <c r="E162" s="27" t="n"/>
      <c r="I162" s="27" t="n"/>
      <c r="J162" s="27" t="n"/>
    </row>
    <row r="163">
      <c r="E163" s="27" t="n"/>
      <c r="I163" s="27" t="n"/>
      <c r="J163" s="27" t="n"/>
    </row>
    <row r="164">
      <c r="E164" s="27" t="n"/>
      <c r="I164" s="27" t="n"/>
      <c r="J164" s="27" t="n"/>
    </row>
    <row r="165">
      <c r="E165" s="27" t="n"/>
      <c r="I165" s="27" t="n"/>
      <c r="J165" s="27" t="n"/>
    </row>
    <row r="166">
      <c r="E166" s="27" t="n"/>
      <c r="I166" s="27" t="n"/>
      <c r="J166" s="27" t="n"/>
    </row>
    <row r="167">
      <c r="E167" s="27" t="n"/>
      <c r="I167" s="27" t="n"/>
      <c r="J167" s="27" t="n"/>
    </row>
    <row r="168">
      <c r="E168" s="27" t="n"/>
      <c r="I168" s="27" t="n"/>
      <c r="J168" s="27" t="n"/>
    </row>
    <row r="169">
      <c r="E169" s="27" t="n"/>
      <c r="I169" s="27" t="n"/>
      <c r="J169" s="27" t="n"/>
    </row>
    <row r="170">
      <c r="E170" s="27" t="n"/>
      <c r="I170" s="27" t="n"/>
      <c r="J170" s="27" t="n"/>
    </row>
    <row r="171">
      <c r="E171" s="27" t="n"/>
      <c r="I171" s="27" t="n"/>
      <c r="J171" s="27" t="n"/>
    </row>
    <row r="172">
      <c r="E172" s="27" t="n"/>
      <c r="I172" s="27" t="n"/>
      <c r="J172" s="27" t="n"/>
    </row>
    <row r="173">
      <c r="E173" s="27" t="n"/>
      <c r="I173" s="27" t="n"/>
      <c r="J173" s="27" t="n"/>
    </row>
    <row r="174">
      <c r="E174" s="27" t="n"/>
      <c r="I174" s="27" t="n"/>
      <c r="J174" s="27" t="n"/>
    </row>
    <row r="175">
      <c r="E175" s="27" t="n"/>
      <c r="I175" s="27" t="n"/>
      <c r="J175" s="27" t="n"/>
    </row>
    <row r="176">
      <c r="E176" s="27" t="n"/>
      <c r="I176" s="27" t="n"/>
      <c r="J176" s="27" t="n"/>
    </row>
    <row r="177">
      <c r="E177" s="27" t="n"/>
      <c r="I177" s="27" t="n"/>
      <c r="J177" s="27" t="n"/>
    </row>
    <row r="178">
      <c r="E178" s="27" t="n"/>
      <c r="I178" s="27" t="n"/>
      <c r="J178" s="27" t="n"/>
    </row>
    <row r="179">
      <c r="E179" s="27" t="n"/>
      <c r="I179" s="27" t="n"/>
      <c r="J179" s="27" t="n"/>
    </row>
    <row r="180">
      <c r="E180" s="27" t="n"/>
      <c r="I180" s="27" t="n"/>
      <c r="J180" s="27" t="n"/>
    </row>
    <row r="181">
      <c r="E181" s="27" t="n"/>
      <c r="I181" s="27" t="n"/>
      <c r="J181" s="27" t="n"/>
    </row>
    <row r="182">
      <c r="E182" s="27" t="n"/>
      <c r="I182" s="27" t="n"/>
      <c r="J182" s="27" t="n"/>
    </row>
    <row r="183">
      <c r="E183" s="27" t="n"/>
      <c r="I183" s="27" t="n"/>
      <c r="J183" s="27" t="n"/>
    </row>
    <row r="184">
      <c r="E184" s="27" t="n"/>
      <c r="I184" s="27" t="n"/>
      <c r="J184" s="27" t="n"/>
    </row>
    <row r="185">
      <c r="E185" s="27" t="n"/>
      <c r="I185" s="27" t="n"/>
      <c r="J185" s="27" t="n"/>
    </row>
    <row r="186">
      <c r="E186" s="27" t="n"/>
      <c r="I186" s="27" t="n"/>
      <c r="J186" s="27" t="n"/>
    </row>
    <row r="187">
      <c r="E187" s="27" t="n"/>
      <c r="I187" s="27" t="n"/>
      <c r="J187" s="27" t="n"/>
    </row>
    <row r="188">
      <c r="E188" s="27" t="n"/>
      <c r="I188" s="27" t="n"/>
      <c r="J188" s="27" t="n"/>
    </row>
    <row r="189">
      <c r="E189" s="27" t="n"/>
      <c r="I189" s="27" t="n"/>
      <c r="J189" s="27" t="n"/>
    </row>
    <row r="190">
      <c r="E190" s="27" t="n"/>
      <c r="I190" s="27" t="n"/>
      <c r="J190" s="27" t="n"/>
    </row>
    <row r="191">
      <c r="E191" s="27" t="n"/>
      <c r="I191" s="27" t="n"/>
      <c r="J191" s="27" t="n"/>
    </row>
    <row r="192">
      <c r="E192" s="27" t="n"/>
      <c r="I192" s="27" t="n"/>
      <c r="J192" s="27" t="n"/>
    </row>
    <row r="193">
      <c r="E193" s="27" t="n"/>
      <c r="I193" s="27" t="n"/>
      <c r="J193" s="27" t="n"/>
    </row>
    <row r="194">
      <c r="E194" s="27" t="n"/>
      <c r="I194" s="27" t="n"/>
      <c r="J194" s="27" t="n"/>
    </row>
    <row r="195">
      <c r="E195" s="27" t="n"/>
      <c r="I195" s="27" t="n"/>
      <c r="J195" s="27" t="n"/>
    </row>
    <row r="196">
      <c r="E196" s="27" t="n"/>
      <c r="I196" s="27" t="n"/>
      <c r="J196" s="27" t="n"/>
    </row>
    <row r="197">
      <c r="E197" s="27" t="n"/>
      <c r="I197" s="27" t="n"/>
      <c r="J197" s="27" t="n"/>
    </row>
    <row r="198">
      <c r="E198" s="27" t="n"/>
      <c r="I198" s="27" t="n"/>
      <c r="J198" s="27" t="n"/>
    </row>
    <row r="199">
      <c r="E199" s="27" t="n"/>
      <c r="I199" s="27" t="n"/>
      <c r="J199" s="27" t="n"/>
    </row>
    <row r="200">
      <c r="E200" s="27" t="n"/>
      <c r="I200" s="27" t="n"/>
      <c r="J200" s="27" t="n"/>
    </row>
    <row r="201">
      <c r="E201" s="27" t="n"/>
      <c r="I201" s="27" t="n"/>
      <c r="J201" s="27" t="n"/>
    </row>
    <row r="202">
      <c r="E202" s="27" t="n"/>
      <c r="I202" s="27" t="n"/>
      <c r="J202" s="27" t="n"/>
    </row>
    <row r="203">
      <c r="E203" s="27" t="n"/>
      <c r="I203" s="27" t="n"/>
      <c r="J203" s="27" t="n"/>
    </row>
    <row r="204">
      <c r="E204" s="27" t="n"/>
      <c r="I204" s="27" t="n"/>
      <c r="J204" s="27" t="n"/>
    </row>
    <row r="205">
      <c r="E205" s="27" t="n"/>
      <c r="I205" s="27" t="n"/>
      <c r="J205" s="27" t="n"/>
    </row>
    <row r="206">
      <c r="E206" s="27" t="n"/>
      <c r="I206" s="27" t="n"/>
      <c r="J206" s="27" t="n"/>
    </row>
    <row r="207">
      <c r="E207" s="27" t="n"/>
      <c r="I207" s="27" t="n"/>
      <c r="J207" s="27" t="n"/>
    </row>
    <row r="208">
      <c r="E208" s="27" t="n"/>
      <c r="I208" s="27" t="n"/>
      <c r="J208" s="27" t="n"/>
    </row>
    <row r="209">
      <c r="E209" s="27" t="n"/>
      <c r="I209" s="27" t="n"/>
      <c r="J209" s="27" t="n"/>
    </row>
    <row r="210">
      <c r="E210" s="27" t="n"/>
      <c r="I210" s="27" t="n"/>
      <c r="J210" s="27" t="n"/>
    </row>
    <row r="211">
      <c r="E211" s="27" t="n"/>
      <c r="I211" s="27" t="n"/>
      <c r="J211" s="27" t="n"/>
    </row>
    <row r="212">
      <c r="E212" s="27" t="n"/>
      <c r="I212" s="27" t="n"/>
      <c r="J212" s="27" t="n"/>
    </row>
    <row r="213">
      <c r="E213" s="27" t="n"/>
      <c r="I213" s="27" t="n"/>
      <c r="J213" s="27" t="n"/>
    </row>
    <row r="214">
      <c r="E214" s="27" t="n"/>
      <c r="I214" s="27" t="n"/>
      <c r="J214" s="27" t="n"/>
    </row>
    <row r="215">
      <c r="E215" s="27" t="n"/>
      <c r="I215" s="27" t="n"/>
      <c r="J215" s="27" t="n"/>
    </row>
    <row r="216">
      <c r="E216" s="27" t="n"/>
      <c r="I216" s="27" t="n"/>
      <c r="J216" s="27" t="n"/>
    </row>
    <row r="217">
      <c r="E217" s="27" t="n"/>
      <c r="I217" s="27" t="n"/>
      <c r="J217" s="27" t="n"/>
    </row>
    <row r="218">
      <c r="E218" s="27" t="n"/>
      <c r="I218" s="27" t="n"/>
      <c r="J218" s="27" t="n"/>
    </row>
    <row r="219">
      <c r="E219" s="27" t="n"/>
      <c r="I219" s="27" t="n"/>
      <c r="J219" s="27" t="n"/>
    </row>
    <row r="220">
      <c r="E220" s="27" t="n"/>
      <c r="I220" s="27" t="n"/>
      <c r="J220" s="27" t="n"/>
    </row>
    <row r="221">
      <c r="E221" s="27" t="n"/>
      <c r="I221" s="27" t="n"/>
      <c r="J221" s="27" t="n"/>
    </row>
    <row r="222">
      <c r="E222" s="27" t="n"/>
      <c r="I222" s="27" t="n"/>
      <c r="J222" s="27" t="n"/>
    </row>
    <row r="223">
      <c r="E223" s="27" t="n"/>
      <c r="I223" s="27" t="n"/>
      <c r="J223" s="27" t="n"/>
    </row>
    <row r="224">
      <c r="E224" s="27" t="n"/>
      <c r="I224" s="27" t="n"/>
      <c r="J224" s="27" t="n"/>
    </row>
    <row r="225">
      <c r="E225" s="27" t="n"/>
      <c r="I225" s="27" t="n"/>
      <c r="J225" s="27" t="n"/>
    </row>
    <row r="226">
      <c r="E226" s="27" t="n"/>
      <c r="I226" s="27" t="n"/>
      <c r="J226" s="27" t="n"/>
    </row>
    <row r="227">
      <c r="E227" s="27" t="n"/>
      <c r="I227" s="27" t="n"/>
      <c r="J227" s="27" t="n"/>
    </row>
    <row r="228">
      <c r="E228" s="27" t="n"/>
      <c r="I228" s="27" t="n"/>
      <c r="J228" s="27" t="n"/>
    </row>
    <row r="229">
      <c r="E229" s="27" t="n"/>
      <c r="I229" s="27" t="n"/>
      <c r="J229" s="27" t="n"/>
    </row>
    <row r="230">
      <c r="E230" s="27" t="n"/>
      <c r="I230" s="27" t="n"/>
      <c r="J230" s="27" t="n"/>
    </row>
    <row r="231">
      <c r="E231" s="27" t="n"/>
      <c r="I231" s="27" t="n"/>
      <c r="J231" s="27" t="n"/>
    </row>
    <row r="232">
      <c r="E232" s="27" t="n"/>
      <c r="I232" s="27" t="n"/>
      <c r="J232" s="27" t="n"/>
    </row>
    <row r="233">
      <c r="E233" s="27" t="n"/>
      <c r="I233" s="27" t="n"/>
      <c r="J233" s="27" t="n"/>
    </row>
    <row r="234">
      <c r="E234" s="27" t="n"/>
      <c r="I234" s="27" t="n"/>
      <c r="J234" s="27" t="n"/>
    </row>
    <row r="235">
      <c r="E235" s="27" t="n"/>
      <c r="I235" s="27" t="n"/>
      <c r="J235" s="27" t="n"/>
    </row>
    <row r="236">
      <c r="E236" s="27" t="n"/>
      <c r="I236" s="27" t="n"/>
      <c r="J236" s="27" t="n"/>
    </row>
    <row r="237">
      <c r="E237" s="27" t="n"/>
      <c r="I237" s="27" t="n"/>
      <c r="J237" s="27" t="n"/>
    </row>
    <row r="238">
      <c r="E238" s="27" t="n"/>
      <c r="I238" s="27" t="n"/>
      <c r="J238" s="27" t="n"/>
    </row>
    <row r="239">
      <c r="E239" s="27" t="n"/>
      <c r="I239" s="27" t="n"/>
      <c r="J239" s="27" t="n"/>
    </row>
    <row r="240">
      <c r="E240" s="27" t="n"/>
      <c r="I240" s="27" t="n"/>
      <c r="J240" s="27" t="n"/>
    </row>
    <row r="241">
      <c r="E241" s="27" t="n"/>
      <c r="I241" s="27" t="n"/>
      <c r="J241" s="27" t="n"/>
    </row>
    <row r="242">
      <c r="E242" s="27" t="n"/>
      <c r="I242" s="27" t="n"/>
      <c r="J242" s="27" t="n"/>
    </row>
    <row r="243">
      <c r="E243" s="27" t="n"/>
      <c r="I243" s="27" t="n"/>
      <c r="J243" s="27" t="n"/>
    </row>
    <row r="244">
      <c r="E244" s="27" t="n"/>
      <c r="I244" s="27" t="n"/>
      <c r="J244" s="27" t="n"/>
    </row>
    <row r="245">
      <c r="E245" s="27" t="n"/>
      <c r="I245" s="27" t="n"/>
      <c r="J245" s="27" t="n"/>
    </row>
    <row r="246">
      <c r="E246" s="27" t="n"/>
      <c r="I246" s="27" t="n"/>
      <c r="J246" s="27" t="n"/>
    </row>
    <row r="247">
      <c r="E247" s="27" t="n"/>
      <c r="I247" s="27" t="n"/>
      <c r="J247" s="27" t="n"/>
    </row>
    <row r="248">
      <c r="E248" s="27" t="n"/>
      <c r="I248" s="27" t="n"/>
      <c r="J248" s="27" t="n"/>
    </row>
    <row r="249">
      <c r="E249" s="27" t="n"/>
      <c r="I249" s="27" t="n"/>
      <c r="J249" s="27" t="n"/>
    </row>
    <row r="250">
      <c r="E250" s="27" t="n"/>
      <c r="I250" s="27" t="n"/>
      <c r="J250" s="27" t="n"/>
    </row>
    <row r="251">
      <c r="E251" s="27" t="n"/>
      <c r="I251" s="27" t="n"/>
      <c r="J251" s="27" t="n"/>
    </row>
    <row r="252">
      <c r="E252" s="27" t="n"/>
      <c r="I252" s="27" t="n"/>
      <c r="J252" s="27" t="n"/>
    </row>
    <row r="253">
      <c r="E253" s="27" t="n"/>
      <c r="I253" s="27" t="n"/>
      <c r="J253" s="27" t="n"/>
    </row>
    <row r="254">
      <c r="E254" s="27" t="n"/>
      <c r="I254" s="27" t="n"/>
      <c r="J254" s="27" t="n"/>
    </row>
    <row r="255">
      <c r="E255" s="27" t="n"/>
      <c r="I255" s="27" t="n"/>
      <c r="J255" s="27" t="n"/>
    </row>
    <row r="256">
      <c r="E256" s="27" t="n"/>
      <c r="I256" s="27" t="n"/>
      <c r="J256" s="27" t="n"/>
    </row>
    <row r="257">
      <c r="E257" s="27" t="n"/>
      <c r="I257" s="27" t="n"/>
      <c r="J257" s="27" t="n"/>
    </row>
    <row r="258">
      <c r="E258" s="27" t="n"/>
      <c r="I258" s="27" t="n"/>
      <c r="J258" s="27" t="n"/>
    </row>
    <row r="259">
      <c r="E259" s="27" t="n"/>
      <c r="I259" s="27" t="n"/>
      <c r="J259" s="27" t="n"/>
    </row>
    <row r="260">
      <c r="E260" s="27" t="n"/>
      <c r="I260" s="27" t="n"/>
      <c r="J260" s="27" t="n"/>
    </row>
    <row r="261">
      <c r="E261" s="27" t="n"/>
      <c r="I261" s="27" t="n"/>
      <c r="J261" s="27" t="n"/>
    </row>
    <row r="262">
      <c r="E262" s="27" t="n"/>
      <c r="I262" s="27" t="n"/>
      <c r="J262" s="27" t="n"/>
    </row>
    <row r="263">
      <c r="E263" s="27" t="n"/>
      <c r="I263" s="27" t="n"/>
      <c r="J263" s="27" t="n"/>
    </row>
    <row r="264">
      <c r="E264" s="27" t="n"/>
      <c r="I264" s="27" t="n"/>
      <c r="J264" s="27" t="n"/>
    </row>
    <row r="265">
      <c r="E265" s="27" t="n"/>
      <c r="I265" s="27" t="n"/>
      <c r="J265" s="27" t="n"/>
    </row>
    <row r="266">
      <c r="E266" s="27" t="n"/>
      <c r="I266" s="27" t="n"/>
      <c r="J266" s="27" t="n"/>
    </row>
    <row r="267">
      <c r="E267" s="27" t="n"/>
      <c r="I267" s="27" t="n"/>
      <c r="J267" s="27" t="n"/>
    </row>
    <row r="268">
      <c r="E268" s="27" t="n"/>
      <c r="I268" s="27" t="n"/>
      <c r="J268" s="27" t="n"/>
    </row>
    <row r="269">
      <c r="E269" s="27" t="n"/>
      <c r="I269" s="27" t="n"/>
      <c r="J269" s="27" t="n"/>
    </row>
    <row r="270">
      <c r="E270" s="27" t="n"/>
      <c r="I270" s="27" t="n"/>
      <c r="J270" s="27" t="n"/>
    </row>
    <row r="271">
      <c r="E271" s="27" t="n"/>
      <c r="I271" s="27" t="n"/>
      <c r="J271" s="27" t="n"/>
    </row>
    <row r="272">
      <c r="E272" s="27" t="n"/>
      <c r="I272" s="27" t="n"/>
      <c r="J272" s="27" t="n"/>
    </row>
    <row r="273">
      <c r="E273" s="27" t="n"/>
      <c r="I273" s="27" t="n"/>
      <c r="J273" s="27" t="n"/>
    </row>
    <row r="274">
      <c r="E274" s="27" t="n"/>
      <c r="I274" s="27" t="n"/>
      <c r="J274" s="27" t="n"/>
    </row>
    <row r="275">
      <c r="E275" s="27" t="n"/>
      <c r="I275" s="27" t="n"/>
      <c r="J275" s="27" t="n"/>
    </row>
    <row r="276">
      <c r="E276" s="27" t="n"/>
      <c r="I276" s="27" t="n"/>
      <c r="J276" s="27" t="n"/>
    </row>
    <row r="277">
      <c r="E277" s="27" t="n"/>
      <c r="I277" s="27" t="n"/>
      <c r="J277" s="27" t="n"/>
    </row>
    <row r="278">
      <c r="E278" s="27" t="n"/>
      <c r="I278" s="27" t="n"/>
      <c r="J278" s="27" t="n"/>
    </row>
    <row r="279">
      <c r="E279" s="27" t="n"/>
      <c r="I279" s="27" t="n"/>
      <c r="J279" s="27" t="n"/>
    </row>
    <row r="280">
      <c r="E280" s="27" t="n"/>
      <c r="I280" s="27" t="n"/>
      <c r="J280" s="27" t="n"/>
    </row>
    <row r="281">
      <c r="E281" s="27" t="n"/>
      <c r="I281" s="27" t="n"/>
      <c r="J281" s="27" t="n"/>
    </row>
    <row r="282">
      <c r="E282" s="27" t="n"/>
      <c r="I282" s="27" t="n"/>
      <c r="J282" s="27" t="n"/>
    </row>
    <row r="283">
      <c r="E283" s="27" t="n"/>
      <c r="I283" s="27" t="n"/>
      <c r="J283" s="27" t="n"/>
    </row>
    <row r="284">
      <c r="E284" s="27" t="n"/>
      <c r="I284" s="27" t="n"/>
      <c r="J284" s="27" t="n"/>
    </row>
    <row r="285">
      <c r="E285" s="27" t="n"/>
      <c r="I285" s="27" t="n"/>
      <c r="J285" s="27" t="n"/>
    </row>
    <row r="286">
      <c r="E286" s="27" t="n"/>
      <c r="I286" s="27" t="n"/>
      <c r="J286" s="27" t="n"/>
    </row>
    <row r="287">
      <c r="E287" s="27" t="n"/>
      <c r="I287" s="27" t="n"/>
      <c r="J287" s="27" t="n"/>
    </row>
    <row r="288">
      <c r="E288" s="27" t="n"/>
      <c r="I288" s="27" t="n"/>
      <c r="J288" s="27" t="n"/>
    </row>
    <row r="289">
      <c r="E289" s="27" t="n"/>
      <c r="I289" s="27" t="n"/>
      <c r="J289" s="27" t="n"/>
    </row>
    <row r="290">
      <c r="E290" s="27" t="n"/>
      <c r="I290" s="27" t="n"/>
      <c r="J290" s="27" t="n"/>
    </row>
    <row r="291">
      <c r="E291" s="27" t="n"/>
      <c r="I291" s="27" t="n"/>
      <c r="J291" s="27" t="n"/>
    </row>
    <row r="292">
      <c r="E292" s="27" t="n"/>
      <c r="I292" s="27" t="n"/>
      <c r="J292" s="27" t="n"/>
    </row>
    <row r="293">
      <c r="E293" s="27" t="n"/>
      <c r="I293" s="27" t="n"/>
      <c r="J293" s="27" t="n"/>
    </row>
    <row r="294">
      <c r="E294" s="27" t="n"/>
      <c r="I294" s="27" t="n"/>
      <c r="J294" s="27" t="n"/>
    </row>
    <row r="295">
      <c r="E295" s="27" t="n"/>
      <c r="I295" s="27" t="n"/>
      <c r="J295" s="27" t="n"/>
    </row>
    <row r="296">
      <c r="E296" s="27" t="n"/>
      <c r="I296" s="27" t="n"/>
      <c r="J296" s="27" t="n"/>
    </row>
    <row r="297">
      <c r="E297" s="27" t="n"/>
      <c r="I297" s="27" t="n"/>
      <c r="J297" s="27" t="n"/>
    </row>
    <row r="298">
      <c r="E298" s="27" t="n"/>
      <c r="I298" s="27" t="n"/>
      <c r="J298" s="27" t="n"/>
    </row>
    <row r="299">
      <c r="E299" s="27" t="n"/>
      <c r="I299" s="27" t="n"/>
      <c r="J299" s="27" t="n"/>
    </row>
    <row r="300">
      <c r="E300" s="27" t="n"/>
      <c r="I300" s="27" t="n"/>
      <c r="J300" s="27" t="n"/>
    </row>
    <row r="301">
      <c r="E301" s="27" t="n"/>
      <c r="I301" s="27" t="n"/>
      <c r="J301" s="27" t="n"/>
    </row>
    <row r="302">
      <c r="E302" s="27" t="n"/>
      <c r="I302" s="27" t="n"/>
      <c r="J302" s="27" t="n"/>
    </row>
    <row r="303">
      <c r="E303" s="27" t="n"/>
      <c r="I303" s="27" t="n"/>
      <c r="J303" s="27" t="n"/>
    </row>
    <row r="304">
      <c r="E304" s="27" t="n"/>
      <c r="I304" s="27" t="n"/>
      <c r="J304" s="27" t="n"/>
    </row>
    <row r="305">
      <c r="E305" s="27" t="n"/>
      <c r="I305" s="27" t="n"/>
      <c r="J305" s="27" t="n"/>
    </row>
    <row r="306">
      <c r="E306" s="27" t="n"/>
      <c r="I306" s="27" t="n"/>
      <c r="J306" s="27" t="n"/>
    </row>
    <row r="307">
      <c r="E307" s="27" t="n"/>
      <c r="I307" s="27" t="n"/>
      <c r="J307" s="27" t="n"/>
    </row>
    <row r="308">
      <c r="E308" s="27" t="n"/>
      <c r="I308" s="27" t="n"/>
      <c r="J308" s="27" t="n"/>
    </row>
    <row r="309">
      <c r="E309" s="27" t="n"/>
      <c r="I309" s="27" t="n"/>
      <c r="J309" s="27" t="n"/>
    </row>
    <row r="310">
      <c r="E310" s="27" t="n"/>
      <c r="I310" s="27" t="n"/>
      <c r="J310" s="27" t="n"/>
    </row>
    <row r="311">
      <c r="E311" s="27" t="n"/>
      <c r="I311" s="27" t="n"/>
      <c r="J311" s="27" t="n"/>
    </row>
    <row r="312">
      <c r="E312" s="27" t="n"/>
      <c r="I312" s="27" t="n"/>
      <c r="J312" s="27" t="n"/>
    </row>
    <row r="313">
      <c r="E313" s="27" t="n"/>
      <c r="I313" s="27" t="n"/>
      <c r="J313" s="27" t="n"/>
    </row>
    <row r="314">
      <c r="E314" s="27" t="n"/>
      <c r="I314" s="27" t="n"/>
      <c r="J314" s="27" t="n"/>
    </row>
    <row r="315">
      <c r="E315" s="27" t="n"/>
      <c r="I315" s="27" t="n"/>
      <c r="J315" s="27" t="n"/>
    </row>
    <row r="316">
      <c r="E316" s="27" t="n"/>
      <c r="I316" s="27" t="n"/>
      <c r="J316" s="27" t="n"/>
    </row>
    <row r="317">
      <c r="E317" s="27" t="n"/>
      <c r="I317" s="27" t="n"/>
      <c r="J317" s="27" t="n"/>
    </row>
    <row r="318">
      <c r="E318" s="27" t="n"/>
      <c r="I318" s="27" t="n"/>
      <c r="J318" s="27" t="n"/>
    </row>
    <row r="319">
      <c r="E319" s="27" t="n"/>
      <c r="I319" s="27" t="n"/>
      <c r="J319" s="27" t="n"/>
    </row>
    <row r="320">
      <c r="E320" s="27" t="n"/>
      <c r="I320" s="27" t="n"/>
      <c r="J320" s="27" t="n"/>
    </row>
    <row r="321">
      <c r="E321" s="27" t="n"/>
      <c r="I321" s="27" t="n"/>
      <c r="J321" s="27" t="n"/>
    </row>
    <row r="322">
      <c r="E322" s="27" t="n"/>
      <c r="I322" s="27" t="n"/>
      <c r="J322" s="27" t="n"/>
    </row>
    <row r="323">
      <c r="E323" s="27" t="n"/>
      <c r="I323" s="27" t="n"/>
      <c r="J323" s="27" t="n"/>
    </row>
    <row r="324">
      <c r="E324" s="27" t="n"/>
      <c r="I324" s="27" t="n"/>
      <c r="J324" s="27" t="n"/>
    </row>
    <row r="325">
      <c r="E325" s="27" t="n"/>
      <c r="I325" s="27" t="n"/>
      <c r="J325" s="27" t="n"/>
    </row>
    <row r="326">
      <c r="E326" s="27" t="n"/>
      <c r="I326" s="27" t="n"/>
      <c r="J326" s="27" t="n"/>
    </row>
    <row r="327">
      <c r="E327" s="27" t="n"/>
      <c r="I327" s="27" t="n"/>
      <c r="J327" s="27" t="n"/>
    </row>
    <row r="328">
      <c r="E328" s="27" t="n"/>
      <c r="I328" s="27" t="n"/>
      <c r="J328" s="27" t="n"/>
    </row>
    <row r="329">
      <c r="E329" s="27" t="n"/>
      <c r="I329" s="27" t="n"/>
      <c r="J329" s="27" t="n"/>
    </row>
    <row r="330">
      <c r="E330" s="27" t="n"/>
      <c r="I330" s="27" t="n"/>
      <c r="J330" s="27" t="n"/>
    </row>
    <row r="331">
      <c r="E331" s="27" t="n"/>
      <c r="I331" s="27" t="n"/>
      <c r="J331" s="27" t="n"/>
    </row>
    <row r="332">
      <c r="E332" s="27" t="n"/>
      <c r="I332" s="27" t="n"/>
      <c r="J332" s="27" t="n"/>
    </row>
    <row r="333">
      <c r="E333" s="27" t="n"/>
      <c r="I333" s="27" t="n"/>
      <c r="J333" s="27" t="n"/>
    </row>
    <row r="334">
      <c r="E334" s="27" t="n"/>
      <c r="I334" s="27" t="n"/>
      <c r="J334" s="27" t="n"/>
    </row>
    <row r="335">
      <c r="E335" s="27" t="n"/>
      <c r="I335" s="27" t="n"/>
      <c r="J335" s="27" t="n"/>
    </row>
    <row r="336">
      <c r="E336" s="27" t="n"/>
      <c r="I336" s="27" t="n"/>
      <c r="J336" s="27" t="n"/>
    </row>
    <row r="337">
      <c r="E337" s="27" t="n"/>
      <c r="I337" s="27" t="n"/>
      <c r="J337" s="27" t="n"/>
    </row>
    <row r="338">
      <c r="E338" s="27" t="n"/>
      <c r="I338" s="27" t="n"/>
      <c r="J338" s="27" t="n"/>
    </row>
    <row r="339">
      <c r="E339" s="27" t="n"/>
      <c r="I339" s="27" t="n"/>
      <c r="J339" s="27" t="n"/>
    </row>
    <row r="340">
      <c r="E340" s="27" t="n"/>
      <c r="I340" s="27" t="n"/>
      <c r="J340" s="27" t="n"/>
    </row>
    <row r="341">
      <c r="E341" s="27" t="n"/>
      <c r="I341" s="27" t="n"/>
      <c r="J341" s="27" t="n"/>
    </row>
    <row r="342">
      <c r="E342" s="27" t="n"/>
      <c r="I342" s="27" t="n"/>
      <c r="J342" s="27" t="n"/>
    </row>
    <row r="343">
      <c r="E343" s="27" t="n"/>
      <c r="I343" s="27" t="n"/>
      <c r="J343" s="27" t="n"/>
    </row>
    <row r="344">
      <c r="E344" s="27" t="n"/>
      <c r="I344" s="27" t="n"/>
      <c r="J344" s="27" t="n"/>
    </row>
    <row r="345">
      <c r="E345" s="27" t="n"/>
      <c r="I345" s="27" t="n"/>
      <c r="J345" s="27" t="n"/>
    </row>
    <row r="346">
      <c r="E346" s="27" t="n"/>
      <c r="I346" s="27" t="n"/>
      <c r="J346" s="27" t="n"/>
    </row>
    <row r="347">
      <c r="E347" s="27" t="n"/>
      <c r="I347" s="27" t="n"/>
      <c r="J347" s="27" t="n"/>
    </row>
    <row r="348">
      <c r="E348" s="27" t="n"/>
      <c r="I348" s="27" t="n"/>
      <c r="J348" s="27" t="n"/>
    </row>
    <row r="349">
      <c r="E349" s="27" t="n"/>
      <c r="I349" s="27" t="n"/>
      <c r="J349" s="27" t="n"/>
    </row>
    <row r="350">
      <c r="E350" s="27" t="n"/>
      <c r="I350" s="27" t="n"/>
      <c r="J350" s="27" t="n"/>
    </row>
    <row r="351">
      <c r="E351" s="27" t="n"/>
      <c r="I351" s="27" t="n"/>
      <c r="J351" s="27" t="n"/>
    </row>
    <row r="352">
      <c r="E352" s="27" t="n"/>
      <c r="I352" s="27" t="n"/>
      <c r="J352" s="27" t="n"/>
    </row>
    <row r="353">
      <c r="E353" s="27" t="n"/>
      <c r="I353" s="27" t="n"/>
      <c r="J353" s="27" t="n"/>
    </row>
    <row r="354">
      <c r="E354" s="27" t="n"/>
      <c r="I354" s="27" t="n"/>
      <c r="J354" s="27" t="n"/>
    </row>
    <row r="355">
      <c r="E355" s="27" t="n"/>
      <c r="I355" s="27" t="n"/>
      <c r="J355" s="27" t="n"/>
    </row>
    <row r="356">
      <c r="E356" s="27" t="n"/>
      <c r="I356" s="27" t="n"/>
      <c r="J356" s="27" t="n"/>
    </row>
    <row r="357">
      <c r="E357" s="27" t="n"/>
      <c r="I357" s="27" t="n"/>
      <c r="J357" s="27" t="n"/>
    </row>
    <row r="358">
      <c r="E358" s="27" t="n"/>
      <c r="I358" s="27" t="n"/>
      <c r="J358" s="27" t="n"/>
    </row>
    <row r="359">
      <c r="E359" s="27" t="n"/>
      <c r="I359" s="27" t="n"/>
      <c r="J359" s="27" t="n"/>
    </row>
    <row r="360">
      <c r="E360" s="27" t="n"/>
      <c r="I360" s="27" t="n"/>
      <c r="J360" s="27" t="n"/>
    </row>
    <row r="361">
      <c r="E361" s="27" t="n"/>
      <c r="I361" s="27" t="n"/>
      <c r="J361" s="27" t="n"/>
    </row>
    <row r="362">
      <c r="E362" s="27" t="n"/>
      <c r="I362" s="27" t="n"/>
      <c r="J362" s="27" t="n"/>
    </row>
    <row r="363">
      <c r="E363" s="27" t="n"/>
      <c r="I363" s="27" t="n"/>
      <c r="J363" s="27" t="n"/>
    </row>
    <row r="364">
      <c r="E364" s="27" t="n"/>
      <c r="I364" s="27" t="n"/>
      <c r="J364" s="27" t="n"/>
    </row>
    <row r="365">
      <c r="E365" s="27" t="n"/>
      <c r="I365" s="27" t="n"/>
      <c r="J365" s="27" t="n"/>
    </row>
    <row r="366">
      <c r="E366" s="27" t="n"/>
      <c r="I366" s="27" t="n"/>
      <c r="J366" s="27" t="n"/>
    </row>
    <row r="367">
      <c r="E367" s="27" t="n"/>
      <c r="I367" s="27" t="n"/>
      <c r="J367" s="27" t="n"/>
    </row>
    <row r="368">
      <c r="E368" s="27" t="n"/>
      <c r="I368" s="27" t="n"/>
      <c r="J368" s="27" t="n"/>
    </row>
    <row r="369">
      <c r="E369" s="27" t="n"/>
      <c r="I369" s="27" t="n"/>
      <c r="J369" s="27" t="n"/>
    </row>
    <row r="370">
      <c r="E370" s="27" t="n"/>
      <c r="I370" s="27" t="n"/>
      <c r="J370" s="27" t="n"/>
    </row>
    <row r="371">
      <c r="E371" s="27" t="n"/>
      <c r="I371" s="27" t="n"/>
      <c r="J371" s="27" t="n"/>
    </row>
    <row r="372">
      <c r="E372" s="27" t="n"/>
      <c r="I372" s="27" t="n"/>
      <c r="J372" s="27" t="n"/>
    </row>
    <row r="373">
      <c r="E373" s="27" t="n"/>
      <c r="I373" s="27" t="n"/>
      <c r="J373" s="27" t="n"/>
    </row>
    <row r="374">
      <c r="E374" s="27" t="n"/>
      <c r="I374" s="27" t="n"/>
      <c r="J374" s="27" t="n"/>
    </row>
    <row r="375">
      <c r="E375" s="27" t="n"/>
      <c r="I375" s="27" t="n"/>
      <c r="J375" s="27" t="n"/>
    </row>
    <row r="376">
      <c r="E376" s="27" t="n"/>
      <c r="I376" s="27" t="n"/>
      <c r="J376" s="27" t="n"/>
    </row>
    <row r="377">
      <c r="E377" s="27" t="n"/>
      <c r="I377" s="27" t="n"/>
      <c r="J377" s="27" t="n"/>
    </row>
    <row r="378">
      <c r="E378" s="27" t="n"/>
      <c r="I378" s="27" t="n"/>
      <c r="J378" s="27" t="n"/>
    </row>
    <row r="379">
      <c r="E379" s="27" t="n"/>
      <c r="I379" s="27" t="n"/>
      <c r="J379" s="27" t="n"/>
    </row>
    <row r="380">
      <c r="E380" s="27" t="n"/>
      <c r="I380" s="27" t="n"/>
      <c r="J380" s="27" t="n"/>
    </row>
    <row r="381">
      <c r="E381" s="27" t="n"/>
      <c r="I381" s="27" t="n"/>
      <c r="J381" s="27" t="n"/>
    </row>
    <row r="382">
      <c r="E382" s="27" t="n"/>
      <c r="I382" s="27" t="n"/>
      <c r="J382" s="27" t="n"/>
    </row>
    <row r="383">
      <c r="E383" s="27" t="n"/>
      <c r="I383" s="27" t="n"/>
      <c r="J383" s="27" t="n"/>
    </row>
    <row r="384">
      <c r="E384" s="27" t="n"/>
      <c r="I384" s="27" t="n"/>
      <c r="J384" s="27" t="n"/>
    </row>
    <row r="385">
      <c r="E385" s="27" t="n"/>
      <c r="I385" s="27" t="n"/>
      <c r="J385" s="27" t="n"/>
    </row>
    <row r="386">
      <c r="E386" s="27" t="n"/>
      <c r="I386" s="27" t="n"/>
      <c r="J386" s="27" t="n"/>
    </row>
    <row r="387">
      <c r="E387" s="27" t="n"/>
      <c r="I387" s="27" t="n"/>
      <c r="J387" s="27" t="n"/>
    </row>
    <row r="388">
      <c r="E388" s="27" t="n"/>
      <c r="I388" s="27" t="n"/>
      <c r="J388" s="27" t="n"/>
    </row>
    <row r="389">
      <c r="E389" s="27" t="n"/>
      <c r="I389" s="27" t="n"/>
      <c r="J389" s="27" t="n"/>
    </row>
    <row r="390">
      <c r="E390" s="27" t="n"/>
      <c r="I390" s="27" t="n"/>
      <c r="J390" s="27" t="n"/>
    </row>
    <row r="391">
      <c r="E391" s="27" t="n"/>
      <c r="I391" s="27" t="n"/>
      <c r="J391" s="27" t="n"/>
    </row>
    <row r="392">
      <c r="E392" s="27" t="n"/>
      <c r="I392" s="27" t="n"/>
      <c r="J392" s="27" t="n"/>
    </row>
    <row r="393">
      <c r="E393" s="27" t="n"/>
      <c r="I393" s="27" t="n"/>
      <c r="J393" s="27" t="n"/>
    </row>
    <row r="394">
      <c r="E394" s="27" t="n"/>
      <c r="I394" s="27" t="n"/>
      <c r="J394" s="27" t="n"/>
    </row>
    <row r="395">
      <c r="E395" s="27" t="n"/>
      <c r="I395" s="27" t="n"/>
      <c r="J395" s="27" t="n"/>
    </row>
    <row r="396">
      <c r="E396" s="27" t="n"/>
      <c r="I396" s="27" t="n"/>
      <c r="J396" s="27" t="n"/>
    </row>
    <row r="397">
      <c r="E397" s="27" t="n"/>
      <c r="I397" s="27" t="n"/>
      <c r="J397" s="27" t="n"/>
    </row>
    <row r="398">
      <c r="E398" s="27" t="n"/>
      <c r="I398" s="27" t="n"/>
      <c r="J398" s="27" t="n"/>
    </row>
    <row r="399">
      <c r="E399" s="27" t="n"/>
      <c r="I399" s="27" t="n"/>
      <c r="J399" s="27" t="n"/>
    </row>
    <row r="400">
      <c r="E400" s="27" t="n"/>
      <c r="I400" s="27" t="n"/>
      <c r="J400" s="27" t="n"/>
    </row>
    <row r="401">
      <c r="E401" s="27" t="n"/>
      <c r="I401" s="27" t="n"/>
      <c r="J401" s="27" t="n"/>
    </row>
    <row r="402">
      <c r="E402" s="27" t="n"/>
      <c r="I402" s="27" t="n"/>
      <c r="J402" s="27" t="n"/>
    </row>
    <row r="403">
      <c r="E403" s="27" t="n"/>
      <c r="I403" s="27" t="n"/>
      <c r="J403" s="27" t="n"/>
    </row>
    <row r="404">
      <c r="E404" s="27" t="n"/>
      <c r="I404" s="27" t="n"/>
      <c r="J404" s="27" t="n"/>
    </row>
    <row r="405">
      <c r="E405" s="27" t="n"/>
      <c r="I405" s="27" t="n"/>
      <c r="J405" s="27" t="n"/>
    </row>
    <row r="406">
      <c r="E406" s="27" t="n"/>
      <c r="I406" s="27" t="n"/>
      <c r="J406" s="27" t="n"/>
    </row>
    <row r="407">
      <c r="E407" s="27" t="n"/>
      <c r="I407" s="27" t="n"/>
      <c r="J407" s="27" t="n"/>
    </row>
    <row r="408">
      <c r="E408" s="27" t="n"/>
      <c r="I408" s="27" t="n"/>
      <c r="J408" s="27" t="n"/>
    </row>
    <row r="409">
      <c r="E409" s="27" t="n"/>
      <c r="I409" s="27" t="n"/>
      <c r="J409" s="27" t="n"/>
    </row>
    <row r="410">
      <c r="E410" s="27" t="n"/>
      <c r="I410" s="27" t="n"/>
      <c r="J410" s="27" t="n"/>
    </row>
    <row r="411">
      <c r="E411" s="27" t="n"/>
      <c r="I411" s="27" t="n"/>
      <c r="J411" s="27" t="n"/>
    </row>
    <row r="412">
      <c r="E412" s="27" t="n"/>
      <c r="I412" s="27" t="n"/>
      <c r="J412" s="27" t="n"/>
    </row>
    <row r="413">
      <c r="E413" s="27" t="n"/>
      <c r="I413" s="27" t="n"/>
      <c r="J413" s="27" t="n"/>
    </row>
    <row r="414">
      <c r="E414" s="27" t="n"/>
      <c r="I414" s="27" t="n"/>
      <c r="J414" s="27" t="n"/>
    </row>
    <row r="415">
      <c r="E415" s="27" t="n"/>
      <c r="I415" s="27" t="n"/>
      <c r="J415" s="27" t="n"/>
    </row>
    <row r="416">
      <c r="E416" s="27" t="n"/>
      <c r="I416" s="27" t="n"/>
      <c r="J416" s="27" t="n"/>
    </row>
    <row r="417">
      <c r="E417" s="27" t="n"/>
      <c r="I417" s="27" t="n"/>
      <c r="J417" s="27" t="n"/>
    </row>
    <row r="418">
      <c r="E418" s="27" t="n"/>
      <c r="I418" s="27" t="n"/>
      <c r="J418" s="27" t="n"/>
    </row>
    <row r="419">
      <c r="E419" s="27" t="n"/>
      <c r="I419" s="27" t="n"/>
      <c r="J419" s="27" t="n"/>
    </row>
    <row r="420">
      <c r="E420" s="27" t="n"/>
      <c r="I420" s="27" t="n"/>
      <c r="J420" s="27" t="n"/>
    </row>
    <row r="421">
      <c r="E421" s="27" t="n"/>
      <c r="I421" s="27" t="n"/>
      <c r="J421" s="27" t="n"/>
    </row>
    <row r="422">
      <c r="E422" s="27" t="n"/>
      <c r="I422" s="27" t="n"/>
      <c r="J422" s="27" t="n"/>
    </row>
    <row r="423">
      <c r="E423" s="27" t="n"/>
      <c r="I423" s="27" t="n"/>
      <c r="J423" s="27" t="n"/>
    </row>
    <row r="424">
      <c r="E424" s="27" t="n"/>
      <c r="I424" s="27" t="n"/>
      <c r="J424" s="27" t="n"/>
    </row>
    <row r="425">
      <c r="E425" s="27" t="n"/>
      <c r="I425" s="27" t="n"/>
      <c r="J425" s="27" t="n"/>
    </row>
    <row r="426">
      <c r="E426" s="27" t="n"/>
      <c r="I426" s="27" t="n"/>
      <c r="J426" s="27" t="n"/>
    </row>
    <row r="427">
      <c r="E427" s="27" t="n"/>
      <c r="I427" s="27" t="n"/>
      <c r="J427" s="27" t="n"/>
    </row>
    <row r="428">
      <c r="E428" s="27" t="n"/>
      <c r="I428" s="27" t="n"/>
      <c r="J428" s="27" t="n"/>
    </row>
    <row r="429">
      <c r="E429" s="27" t="n"/>
      <c r="I429" s="27" t="n"/>
      <c r="J429" s="27" t="n"/>
    </row>
    <row r="430">
      <c r="E430" s="27" t="n"/>
      <c r="I430" s="27" t="n"/>
      <c r="J430" s="27" t="n"/>
    </row>
    <row r="431">
      <c r="E431" s="27" t="n"/>
      <c r="I431" s="27" t="n"/>
      <c r="J431" s="27" t="n"/>
    </row>
    <row r="432">
      <c r="E432" s="27" t="n"/>
      <c r="I432" s="27" t="n"/>
      <c r="J432" s="27" t="n"/>
    </row>
    <row r="433">
      <c r="E433" s="27" t="n"/>
      <c r="I433" s="27" t="n"/>
      <c r="J433" s="27" t="n"/>
    </row>
    <row r="434">
      <c r="E434" s="27" t="n"/>
      <c r="I434" s="27" t="n"/>
      <c r="J434" s="27" t="n"/>
    </row>
    <row r="435">
      <c r="E435" s="27" t="n"/>
      <c r="I435" s="27" t="n"/>
      <c r="J435" s="27" t="n"/>
    </row>
    <row r="436">
      <c r="E436" s="27" t="n"/>
      <c r="I436" s="27" t="n"/>
      <c r="J436" s="27" t="n"/>
    </row>
    <row r="437">
      <c r="E437" s="27" t="n"/>
      <c r="I437" s="27" t="n"/>
      <c r="J437" s="27" t="n"/>
    </row>
    <row r="438">
      <c r="E438" s="27" t="n"/>
      <c r="I438" s="27" t="n"/>
      <c r="J438" s="27" t="n"/>
    </row>
    <row r="439">
      <c r="E439" s="27" t="n"/>
      <c r="I439" s="27" t="n"/>
      <c r="J439" s="27" t="n"/>
    </row>
    <row r="440">
      <c r="E440" s="27" t="n"/>
      <c r="I440" s="27" t="n"/>
      <c r="J440" s="27" t="n"/>
    </row>
    <row r="441">
      <c r="E441" s="27" t="n"/>
      <c r="I441" s="27" t="n"/>
      <c r="J441" s="27" t="n"/>
    </row>
    <row r="442">
      <c r="E442" s="27" t="n"/>
      <c r="I442" s="27" t="n"/>
      <c r="J442" s="27" t="n"/>
    </row>
    <row r="443">
      <c r="E443" s="27" t="n"/>
      <c r="I443" s="27" t="n"/>
      <c r="J443" s="27" t="n"/>
    </row>
    <row r="444">
      <c r="E444" s="27" t="n"/>
      <c r="I444" s="27" t="n"/>
      <c r="J444" s="27" t="n"/>
    </row>
    <row r="445">
      <c r="E445" s="27" t="n"/>
      <c r="I445" s="27" t="n"/>
      <c r="J445" s="27" t="n"/>
    </row>
    <row r="446">
      <c r="E446" s="27" t="n"/>
      <c r="I446" s="27" t="n"/>
      <c r="J446" s="27" t="n"/>
    </row>
    <row r="447">
      <c r="E447" s="27" t="n"/>
      <c r="I447" s="27" t="n"/>
      <c r="J447" s="27" t="n"/>
    </row>
    <row r="448">
      <c r="E448" s="27" t="n"/>
      <c r="I448" s="27" t="n"/>
      <c r="J448" s="27" t="n"/>
    </row>
    <row r="449">
      <c r="E449" s="27" t="n"/>
      <c r="I449" s="27" t="n"/>
      <c r="J449" s="27" t="n"/>
    </row>
    <row r="450">
      <c r="E450" s="27" t="n"/>
      <c r="I450" s="27" t="n"/>
      <c r="J450" s="27" t="n"/>
    </row>
    <row r="451">
      <c r="E451" s="27" t="n"/>
      <c r="I451" s="27" t="n"/>
      <c r="J451" s="27" t="n"/>
    </row>
    <row r="452">
      <c r="E452" s="27" t="n"/>
      <c r="I452" s="27" t="n"/>
      <c r="J452" s="27" t="n"/>
    </row>
    <row r="453">
      <c r="E453" s="27" t="n"/>
      <c r="I453" s="27" t="n"/>
      <c r="J453" s="27" t="n"/>
    </row>
    <row r="454">
      <c r="E454" s="27" t="n"/>
      <c r="I454" s="27" t="n"/>
      <c r="J454" s="27" t="n"/>
    </row>
    <row r="455">
      <c r="E455" s="27" t="n"/>
      <c r="I455" s="27" t="n"/>
      <c r="J455" s="27" t="n"/>
    </row>
    <row r="456">
      <c r="E456" s="27" t="n"/>
      <c r="I456" s="27" t="n"/>
      <c r="J456" s="27" t="n"/>
    </row>
    <row r="457">
      <c r="E457" s="27" t="n"/>
      <c r="I457" s="27" t="n"/>
      <c r="J457" s="27" t="n"/>
    </row>
    <row r="458">
      <c r="E458" s="27" t="n"/>
      <c r="I458" s="27" t="n"/>
      <c r="J458" s="27" t="n"/>
    </row>
    <row r="459">
      <c r="E459" s="27" t="n"/>
      <c r="I459" s="27" t="n"/>
      <c r="J459" s="27" t="n"/>
    </row>
    <row r="460">
      <c r="E460" s="27" t="n"/>
      <c r="I460" s="27" t="n"/>
      <c r="J460" s="27" t="n"/>
    </row>
    <row r="461">
      <c r="E461" s="27" t="n"/>
      <c r="I461" s="27" t="n"/>
      <c r="J461" s="27" t="n"/>
    </row>
    <row r="462">
      <c r="E462" s="27" t="n"/>
      <c r="I462" s="27" t="n"/>
      <c r="J462" s="27" t="n"/>
    </row>
    <row r="463">
      <c r="E463" s="27" t="n"/>
      <c r="I463" s="27" t="n"/>
      <c r="J463" s="27" t="n"/>
    </row>
    <row r="464">
      <c r="E464" s="27" t="n"/>
      <c r="I464" s="27" t="n"/>
      <c r="J464" s="27" t="n"/>
    </row>
    <row r="465">
      <c r="E465" s="27" t="n"/>
      <c r="I465" s="27" t="n"/>
      <c r="J465" s="27" t="n"/>
    </row>
    <row r="466">
      <c r="E466" s="27" t="n"/>
      <c r="I466" s="27" t="n"/>
      <c r="J466" s="27" t="n"/>
    </row>
    <row r="467">
      <c r="E467" s="27" t="n"/>
      <c r="I467" s="27" t="n"/>
      <c r="J467" s="27" t="n"/>
    </row>
    <row r="468">
      <c r="E468" s="27" t="n"/>
      <c r="I468" s="27" t="n"/>
      <c r="J468" s="27" t="n"/>
    </row>
    <row r="469">
      <c r="E469" s="27" t="n"/>
      <c r="I469" s="27" t="n"/>
      <c r="J469" s="27" t="n"/>
    </row>
    <row r="470">
      <c r="E470" s="27" t="n"/>
      <c r="I470" s="27" t="n"/>
      <c r="J470" s="27" t="n"/>
    </row>
    <row r="471">
      <c r="E471" s="27" t="n"/>
      <c r="I471" s="27" t="n"/>
      <c r="J471" s="27" t="n"/>
    </row>
    <row r="472">
      <c r="E472" s="27" t="n"/>
      <c r="I472" s="27" t="n"/>
      <c r="J472" s="27" t="n"/>
    </row>
    <row r="473">
      <c r="E473" s="27" t="n"/>
      <c r="I473" s="27" t="n"/>
      <c r="J473" s="27" t="n"/>
    </row>
    <row r="474">
      <c r="E474" s="27" t="n"/>
      <c r="I474" s="27" t="n"/>
      <c r="J474" s="27" t="n"/>
    </row>
    <row r="475">
      <c r="E475" s="27" t="n"/>
      <c r="I475" s="27" t="n"/>
      <c r="J475" s="27" t="n"/>
    </row>
    <row r="476">
      <c r="E476" s="27" t="n"/>
      <c r="I476" s="27" t="n"/>
      <c r="J476" s="27" t="n"/>
    </row>
    <row r="477">
      <c r="E477" s="27" t="n"/>
      <c r="I477" s="27" t="n"/>
      <c r="J477" s="27" t="n"/>
    </row>
    <row r="478">
      <c r="E478" s="27" t="n"/>
      <c r="I478" s="27" t="n"/>
      <c r="J478" s="27" t="n"/>
    </row>
    <row r="479">
      <c r="E479" s="27" t="n"/>
      <c r="I479" s="27" t="n"/>
      <c r="J479" s="27" t="n"/>
    </row>
    <row r="480">
      <c r="E480" s="27" t="n"/>
      <c r="I480" s="27" t="n"/>
      <c r="J480" s="27" t="n"/>
    </row>
    <row r="481">
      <c r="E481" s="27" t="n"/>
      <c r="I481" s="27" t="n"/>
      <c r="J481" s="27" t="n"/>
    </row>
    <row r="482">
      <c r="E482" s="27" t="n"/>
      <c r="I482" s="27" t="n"/>
      <c r="J482" s="27" t="n"/>
    </row>
    <row r="483">
      <c r="E483" s="27" t="n"/>
      <c r="I483" s="27" t="n"/>
      <c r="J483" s="27" t="n"/>
    </row>
    <row r="484">
      <c r="E484" s="27" t="n"/>
      <c r="I484" s="27" t="n"/>
      <c r="J484" s="27" t="n"/>
    </row>
    <row r="485">
      <c r="E485" s="27" t="n"/>
      <c r="I485" s="27" t="n"/>
      <c r="J485" s="27" t="n"/>
    </row>
    <row r="486">
      <c r="E486" s="27" t="n"/>
      <c r="I486" s="27" t="n"/>
      <c r="J486" s="27" t="n"/>
    </row>
    <row r="487">
      <c r="E487" s="27" t="n"/>
      <c r="I487" s="27" t="n"/>
      <c r="J487" s="27" t="n"/>
    </row>
    <row r="488">
      <c r="E488" s="27" t="n"/>
      <c r="I488" s="27" t="n"/>
      <c r="J488" s="27" t="n"/>
    </row>
    <row r="489">
      <c r="E489" s="27" t="n"/>
      <c r="I489" s="27" t="n"/>
      <c r="J489" s="27" t="n"/>
    </row>
    <row r="490">
      <c r="E490" s="27" t="n"/>
      <c r="I490" s="27" t="n"/>
      <c r="J490" s="27" t="n"/>
    </row>
    <row r="491">
      <c r="E491" s="27" t="n"/>
      <c r="I491" s="27" t="n"/>
      <c r="J491" s="27" t="n"/>
    </row>
    <row r="492">
      <c r="E492" s="27" t="n"/>
      <c r="I492" s="27" t="n"/>
      <c r="J492" s="27" t="n"/>
    </row>
    <row r="493">
      <c r="E493" s="27" t="n"/>
      <c r="I493" s="27" t="n"/>
      <c r="J493" s="27" t="n"/>
    </row>
    <row r="494">
      <c r="E494" s="27" t="n"/>
      <c r="I494" s="27" t="n"/>
      <c r="J494" s="27" t="n"/>
    </row>
    <row r="495">
      <c r="E495" s="27" t="n"/>
      <c r="I495" s="27" t="n"/>
      <c r="J495" s="27" t="n"/>
    </row>
    <row r="496">
      <c r="E496" s="27" t="n"/>
      <c r="I496" s="27" t="n"/>
      <c r="J496" s="27" t="n"/>
    </row>
    <row r="497">
      <c r="E497" s="27" t="n"/>
      <c r="I497" s="27" t="n"/>
      <c r="J497" s="27" t="n"/>
    </row>
    <row r="498">
      <c r="E498" s="27" t="n"/>
      <c r="I498" s="27" t="n"/>
      <c r="J498" s="27" t="n"/>
    </row>
    <row r="499">
      <c r="E499" s="27" t="n"/>
      <c r="I499" s="27" t="n"/>
      <c r="J499" s="27" t="n"/>
    </row>
    <row r="500">
      <c r="E500" s="27" t="n"/>
      <c r="I500" s="27" t="n"/>
      <c r="J500" s="27" t="n"/>
    </row>
    <row r="501">
      <c r="E501" s="27" t="n"/>
      <c r="I501" s="27" t="n"/>
      <c r="J501" s="27" t="n"/>
    </row>
    <row r="502">
      <c r="E502" s="27" t="n"/>
      <c r="I502" s="27" t="n"/>
      <c r="J502" s="27" t="n"/>
    </row>
    <row r="503">
      <c r="E503" s="27" t="n"/>
      <c r="I503" s="27" t="n"/>
      <c r="J503" s="27" t="n"/>
    </row>
    <row r="504">
      <c r="E504" s="27" t="n"/>
      <c r="I504" s="27" t="n"/>
      <c r="J504" s="27" t="n"/>
    </row>
    <row r="505">
      <c r="E505" s="27" t="n"/>
      <c r="I505" s="27" t="n"/>
      <c r="J505" s="27" t="n"/>
    </row>
    <row r="506">
      <c r="E506" s="27" t="n"/>
      <c r="I506" s="27" t="n"/>
      <c r="J506" s="27" t="n"/>
    </row>
    <row r="507">
      <c r="E507" s="27" t="n"/>
      <c r="I507" s="27" t="n"/>
      <c r="J507" s="27" t="n"/>
    </row>
    <row r="508">
      <c r="E508" s="27" t="n"/>
      <c r="I508" s="27" t="n"/>
      <c r="J508" s="27" t="n"/>
    </row>
    <row r="509">
      <c r="E509" s="27" t="n"/>
      <c r="I509" s="27" t="n"/>
      <c r="J509" s="27" t="n"/>
    </row>
    <row r="510">
      <c r="E510" s="27" t="n"/>
      <c r="I510" s="27" t="n"/>
      <c r="J510" s="27" t="n"/>
    </row>
    <row r="511">
      <c r="E511" s="27" t="n"/>
      <c r="I511" s="27" t="n"/>
      <c r="J511" s="27" t="n"/>
    </row>
    <row r="512">
      <c r="E512" s="27" t="n"/>
      <c r="I512" s="27" t="n"/>
      <c r="J512" s="27" t="n"/>
    </row>
    <row r="513">
      <c r="E513" s="27" t="n"/>
      <c r="I513" s="27" t="n"/>
      <c r="J513" s="27" t="n"/>
    </row>
    <row r="514">
      <c r="E514" s="27" t="n"/>
      <c r="I514" s="27" t="n"/>
      <c r="J514" s="27" t="n"/>
    </row>
    <row r="515">
      <c r="E515" s="27" t="n"/>
      <c r="I515" s="27" t="n"/>
      <c r="J515" s="27" t="n"/>
    </row>
    <row r="516">
      <c r="E516" s="27" t="n"/>
      <c r="I516" s="27" t="n"/>
      <c r="J516" s="27" t="n"/>
    </row>
    <row r="517">
      <c r="E517" s="27" t="n"/>
      <c r="I517" s="27" t="n"/>
      <c r="J517" s="27" t="n"/>
    </row>
    <row r="518">
      <c r="E518" s="27" t="n"/>
      <c r="I518" s="27" t="n"/>
      <c r="J518" s="27" t="n"/>
    </row>
    <row r="519">
      <c r="E519" s="27" t="n"/>
      <c r="I519" s="27" t="n"/>
      <c r="J519" s="27" t="n"/>
    </row>
    <row r="520">
      <c r="E520" s="27" t="n"/>
      <c r="I520" s="27" t="n"/>
      <c r="J520" s="27" t="n"/>
    </row>
    <row r="521">
      <c r="E521" s="27" t="n"/>
      <c r="I521" s="27" t="n"/>
      <c r="J521" s="27" t="n"/>
    </row>
    <row r="522">
      <c r="E522" s="27" t="n"/>
      <c r="I522" s="27" t="n"/>
      <c r="J522" s="27" t="n"/>
    </row>
    <row r="523">
      <c r="E523" s="27" t="n"/>
      <c r="I523" s="27" t="n"/>
      <c r="J523" s="27" t="n"/>
    </row>
    <row r="524">
      <c r="E524" s="27" t="n"/>
      <c r="I524" s="27" t="n"/>
      <c r="J524" s="27" t="n"/>
    </row>
    <row r="525">
      <c r="E525" s="27" t="n"/>
      <c r="I525" s="27" t="n"/>
      <c r="J525" s="27" t="n"/>
    </row>
    <row r="526">
      <c r="E526" s="27" t="n"/>
      <c r="I526" s="27" t="n"/>
      <c r="J526" s="27" t="n"/>
    </row>
    <row r="527">
      <c r="E527" s="27" t="n"/>
      <c r="I527" s="27" t="n"/>
      <c r="J527" s="27" t="n"/>
    </row>
    <row r="528">
      <c r="E528" s="27" t="n"/>
      <c r="I528" s="27" t="n"/>
      <c r="J528" s="27" t="n"/>
    </row>
    <row r="529">
      <c r="E529" s="27" t="n"/>
      <c r="I529" s="27" t="n"/>
      <c r="J529" s="27" t="n"/>
    </row>
    <row r="530">
      <c r="E530" s="27" t="n"/>
      <c r="I530" s="27" t="n"/>
      <c r="J530" s="27" t="n"/>
    </row>
    <row r="531">
      <c r="E531" s="27" t="n"/>
      <c r="I531" s="27" t="n"/>
      <c r="J531" s="27" t="n"/>
    </row>
    <row r="532">
      <c r="E532" s="27" t="n"/>
      <c r="I532" s="27" t="n"/>
      <c r="J532" s="27" t="n"/>
    </row>
    <row r="533">
      <c r="E533" s="27" t="n"/>
      <c r="I533" s="27" t="n"/>
      <c r="J533" s="27" t="n"/>
    </row>
    <row r="534">
      <c r="E534" s="27" t="n"/>
      <c r="I534" s="27" t="n"/>
      <c r="J534" s="27" t="n"/>
    </row>
    <row r="535">
      <c r="E535" s="27" t="n"/>
      <c r="I535" s="27" t="n"/>
      <c r="J535" s="27" t="n"/>
    </row>
    <row r="536">
      <c r="E536" s="27" t="n"/>
      <c r="I536" s="27" t="n"/>
      <c r="J536" s="27" t="n"/>
    </row>
    <row r="537">
      <c r="E537" s="27" t="n"/>
      <c r="I537" s="27" t="n"/>
      <c r="J537" s="27" t="n"/>
    </row>
    <row r="538">
      <c r="E538" s="27" t="n"/>
      <c r="I538" s="27" t="n"/>
      <c r="J538" s="27" t="n"/>
    </row>
    <row r="539">
      <c r="E539" s="27" t="n"/>
      <c r="I539" s="27" t="n"/>
      <c r="J539" s="27" t="n"/>
    </row>
    <row r="540">
      <c r="E540" s="27" t="n"/>
      <c r="I540" s="27" t="n"/>
      <c r="J540" s="27" t="n"/>
    </row>
    <row r="541">
      <c r="E541" s="27" t="n"/>
      <c r="I541" s="27" t="n"/>
      <c r="J541" s="27" t="n"/>
    </row>
    <row r="542">
      <c r="E542" s="27" t="n"/>
      <c r="I542" s="27" t="n"/>
      <c r="J542" s="27" t="n"/>
    </row>
    <row r="543">
      <c r="E543" s="27" t="n"/>
      <c r="I543" s="27" t="n"/>
      <c r="J543" s="27" t="n"/>
    </row>
    <row r="544">
      <c r="E544" s="27" t="n"/>
      <c r="I544" s="27" t="n"/>
      <c r="J544" s="27" t="n"/>
    </row>
    <row r="545">
      <c r="E545" s="27" t="n"/>
      <c r="I545" s="27" t="n"/>
      <c r="J545" s="27" t="n"/>
    </row>
    <row r="546">
      <c r="E546" s="27" t="n"/>
      <c r="I546" s="27" t="n"/>
      <c r="J546" s="27" t="n"/>
    </row>
    <row r="547">
      <c r="E547" s="27" t="n"/>
      <c r="I547" s="27" t="n"/>
      <c r="J547" s="27" t="n"/>
    </row>
    <row r="548">
      <c r="E548" s="27" t="n"/>
      <c r="I548" s="27" t="n"/>
      <c r="J548" s="27" t="n"/>
    </row>
    <row r="549">
      <c r="E549" s="27" t="n"/>
      <c r="I549" s="27" t="n"/>
      <c r="J549" s="27" t="n"/>
    </row>
    <row r="550">
      <c r="E550" s="27" t="n"/>
      <c r="I550" s="27" t="n"/>
      <c r="J550" s="27" t="n"/>
    </row>
    <row r="551">
      <c r="E551" s="27" t="n"/>
      <c r="I551" s="27" t="n"/>
      <c r="J551" s="27" t="n"/>
    </row>
    <row r="552">
      <c r="E552" s="27" t="n"/>
      <c r="I552" s="27" t="n"/>
      <c r="J552" s="27" t="n"/>
    </row>
    <row r="553">
      <c r="E553" s="27" t="n"/>
      <c r="I553" s="27" t="n"/>
      <c r="J553" s="27" t="n"/>
    </row>
    <row r="554">
      <c r="E554" s="27" t="n"/>
      <c r="I554" s="27" t="n"/>
      <c r="J554" s="27" t="n"/>
    </row>
    <row r="555">
      <c r="E555" s="27" t="n"/>
      <c r="I555" s="27" t="n"/>
      <c r="J555" s="27" t="n"/>
    </row>
    <row r="556">
      <c r="E556" s="27" t="n"/>
      <c r="I556" s="27" t="n"/>
      <c r="J556" s="27" t="n"/>
    </row>
    <row r="557">
      <c r="E557" s="27" t="n"/>
      <c r="I557" s="27" t="n"/>
      <c r="J557" s="27" t="n"/>
    </row>
    <row r="558">
      <c r="E558" s="27" t="n"/>
      <c r="I558" s="27" t="n"/>
      <c r="J558" s="27" t="n"/>
    </row>
    <row r="559">
      <c r="E559" s="27" t="n"/>
      <c r="I559" s="27" t="n"/>
      <c r="J559" s="27" t="n"/>
    </row>
    <row r="560">
      <c r="E560" s="27" t="n"/>
      <c r="I560" s="27" t="n"/>
      <c r="J560" s="27" t="n"/>
    </row>
    <row r="561">
      <c r="E561" s="27" t="n"/>
      <c r="I561" s="27" t="n"/>
      <c r="J561" s="27" t="n"/>
    </row>
    <row r="562">
      <c r="E562" s="27" t="n"/>
      <c r="I562" s="27" t="n"/>
      <c r="J562" s="27" t="n"/>
    </row>
    <row r="563">
      <c r="E563" s="27" t="n"/>
      <c r="I563" s="27" t="n"/>
      <c r="J563" s="27" t="n"/>
    </row>
    <row r="564">
      <c r="E564" s="27" t="n"/>
      <c r="I564" s="27" t="n"/>
      <c r="J564" s="27" t="n"/>
    </row>
    <row r="565">
      <c r="E565" s="27" t="n"/>
      <c r="I565" s="27" t="n"/>
      <c r="J565" s="27" t="n"/>
    </row>
    <row r="566">
      <c r="E566" s="27" t="n"/>
      <c r="I566" s="27" t="n"/>
      <c r="J566" s="27" t="n"/>
    </row>
    <row r="567">
      <c r="E567" s="27" t="n"/>
      <c r="I567" s="27" t="n"/>
      <c r="J567" s="27" t="n"/>
    </row>
    <row r="568">
      <c r="E568" s="27" t="n"/>
      <c r="I568" s="27" t="n"/>
      <c r="J568" s="27" t="n"/>
    </row>
    <row r="569">
      <c r="E569" s="27" t="n"/>
      <c r="I569" s="27" t="n"/>
      <c r="J569" s="27" t="n"/>
    </row>
    <row r="570">
      <c r="E570" s="27" t="n"/>
      <c r="I570" s="27" t="n"/>
      <c r="J570" s="27" t="n"/>
    </row>
    <row r="571">
      <c r="E571" s="27" t="n"/>
      <c r="I571" s="27" t="n"/>
      <c r="J571" s="27" t="n"/>
    </row>
    <row r="572">
      <c r="E572" s="27" t="n"/>
      <c r="I572" s="27" t="n"/>
      <c r="J572" s="27" t="n"/>
    </row>
    <row r="573">
      <c r="E573" s="27" t="n"/>
      <c r="I573" s="27" t="n"/>
      <c r="J573" s="27" t="n"/>
    </row>
    <row r="574">
      <c r="E574" s="27" t="n"/>
      <c r="I574" s="27" t="n"/>
      <c r="J574" s="27" t="n"/>
    </row>
    <row r="575">
      <c r="E575" s="27" t="n"/>
      <c r="I575" s="27" t="n"/>
      <c r="J575" s="27" t="n"/>
    </row>
    <row r="576">
      <c r="E576" s="27" t="n"/>
      <c r="I576" s="27" t="n"/>
      <c r="J576" s="27" t="n"/>
    </row>
    <row r="577">
      <c r="E577" s="27" t="n"/>
      <c r="I577" s="27" t="n"/>
      <c r="J577" s="27" t="n"/>
    </row>
    <row r="578">
      <c r="E578" s="27" t="n"/>
      <c r="I578" s="27" t="n"/>
      <c r="J578" s="27" t="n"/>
    </row>
    <row r="579">
      <c r="E579" s="27" t="n"/>
      <c r="I579" s="27" t="n"/>
      <c r="J579" s="27" t="n"/>
    </row>
    <row r="580">
      <c r="E580" s="27" t="n"/>
      <c r="I580" s="27" t="n"/>
      <c r="J580" s="27" t="n"/>
    </row>
    <row r="581">
      <c r="E581" s="27" t="n"/>
      <c r="I581" s="27" t="n"/>
      <c r="J581" s="27" t="n"/>
    </row>
    <row r="582">
      <c r="E582" s="27" t="n"/>
      <c r="I582" s="27" t="n"/>
      <c r="J582" s="27" t="n"/>
    </row>
    <row r="583">
      <c r="E583" s="27" t="n"/>
      <c r="I583" s="27" t="n"/>
      <c r="J583" s="27" t="n"/>
    </row>
    <row r="584">
      <c r="E584" s="27" t="n"/>
      <c r="I584" s="27" t="n"/>
      <c r="J584" s="27" t="n"/>
    </row>
    <row r="585">
      <c r="E585" s="27" t="n"/>
      <c r="I585" s="27" t="n"/>
      <c r="J585" s="27" t="n"/>
    </row>
    <row r="586">
      <c r="E586" s="27" t="n"/>
      <c r="I586" s="27" t="n"/>
      <c r="J586" s="27" t="n"/>
    </row>
    <row r="587">
      <c r="E587" s="27" t="n"/>
      <c r="I587" s="27" t="n"/>
      <c r="J587" s="27" t="n"/>
    </row>
    <row r="588">
      <c r="E588" s="27" t="n"/>
      <c r="I588" s="27" t="n"/>
      <c r="J588" s="27" t="n"/>
    </row>
    <row r="589">
      <c r="E589" s="27" t="n"/>
      <c r="I589" s="27" t="n"/>
      <c r="J589" s="27" t="n"/>
    </row>
    <row r="590">
      <c r="E590" s="27" t="n"/>
      <c r="I590" s="27" t="n"/>
      <c r="J590" s="27" t="n"/>
    </row>
    <row r="591">
      <c r="E591" s="27" t="n"/>
      <c r="I591" s="27" t="n"/>
      <c r="J591" s="27" t="n"/>
    </row>
    <row r="592">
      <c r="E592" s="27" t="n"/>
      <c r="I592" s="27" t="n"/>
      <c r="J592" s="27" t="n"/>
    </row>
    <row r="593">
      <c r="E593" s="27" t="n"/>
      <c r="I593" s="27" t="n"/>
      <c r="J593" s="27" t="n"/>
    </row>
    <row r="594">
      <c r="E594" s="27" t="n"/>
      <c r="I594" s="27" t="n"/>
      <c r="J594" s="27" t="n"/>
    </row>
    <row r="595">
      <c r="E595" s="27" t="n"/>
      <c r="I595" s="27" t="n"/>
      <c r="J595" s="27" t="n"/>
    </row>
    <row r="596">
      <c r="E596" s="27" t="n"/>
      <c r="I596" s="27" t="n"/>
      <c r="J596" s="27" t="n"/>
    </row>
    <row r="597">
      <c r="E597" s="27" t="n"/>
      <c r="I597" s="27" t="n"/>
      <c r="J597" s="27" t="n"/>
    </row>
    <row r="598">
      <c r="E598" s="27" t="n"/>
      <c r="I598" s="27" t="n"/>
      <c r="J598" s="27" t="n"/>
    </row>
    <row r="599">
      <c r="E599" s="27" t="n"/>
      <c r="I599" s="27" t="n"/>
      <c r="J599" s="27" t="n"/>
    </row>
    <row r="600">
      <c r="E600" s="27" t="n"/>
      <c r="I600" s="27" t="n"/>
      <c r="J600" s="27" t="n"/>
    </row>
    <row r="601">
      <c r="E601" s="27" t="n"/>
      <c r="I601" s="27" t="n"/>
      <c r="J601" s="27" t="n"/>
    </row>
    <row r="602">
      <c r="E602" s="27" t="n"/>
      <c r="I602" s="27" t="n"/>
      <c r="J602" s="27" t="n"/>
    </row>
    <row r="603">
      <c r="E603" s="27" t="n"/>
      <c r="I603" s="27" t="n"/>
      <c r="J603" s="27" t="n"/>
    </row>
    <row r="604">
      <c r="E604" s="27" t="n"/>
      <c r="I604" s="27" t="n"/>
      <c r="J604" s="27" t="n"/>
    </row>
    <row r="605">
      <c r="E605" s="27" t="n"/>
      <c r="I605" s="27" t="n"/>
      <c r="J605" s="27" t="n"/>
    </row>
    <row r="606">
      <c r="E606" s="27" t="n"/>
      <c r="I606" s="27" t="n"/>
      <c r="J606" s="27" t="n"/>
    </row>
    <row r="607">
      <c r="E607" s="27" t="n"/>
      <c r="I607" s="27" t="n"/>
      <c r="J607" s="27" t="n"/>
    </row>
    <row r="608">
      <c r="E608" s="27" t="n"/>
      <c r="I608" s="27" t="n"/>
      <c r="J608" s="27" t="n"/>
    </row>
    <row r="609">
      <c r="E609" s="27" t="n"/>
      <c r="I609" s="27" t="n"/>
      <c r="J609" s="27" t="n"/>
    </row>
    <row r="610">
      <c r="E610" s="27" t="n"/>
      <c r="I610" s="27" t="n"/>
      <c r="J610" s="27" t="n"/>
    </row>
    <row r="611">
      <c r="E611" s="27" t="n"/>
      <c r="I611" s="27" t="n"/>
      <c r="J611" s="27" t="n"/>
    </row>
    <row r="612">
      <c r="E612" s="27" t="n"/>
      <c r="I612" s="27" t="n"/>
      <c r="J612" s="27" t="n"/>
    </row>
    <row r="613">
      <c r="E613" s="27" t="n"/>
      <c r="I613" s="27" t="n"/>
      <c r="J613" s="27" t="n"/>
    </row>
    <row r="614">
      <c r="E614" s="27" t="n"/>
      <c r="I614" s="27" t="n"/>
      <c r="J614" s="27" t="n"/>
    </row>
    <row r="615">
      <c r="E615" s="27" t="n"/>
      <c r="I615" s="27" t="n"/>
      <c r="J615" s="27" t="n"/>
    </row>
    <row r="616">
      <c r="E616" s="27" t="n"/>
      <c r="I616" s="27" t="n"/>
      <c r="J616" s="27" t="n"/>
    </row>
    <row r="617">
      <c r="E617" s="27" t="n"/>
      <c r="I617" s="27" t="n"/>
      <c r="J617" s="27" t="n"/>
    </row>
    <row r="618">
      <c r="E618" s="27" t="n"/>
      <c r="I618" s="27" t="n"/>
      <c r="J618" s="27" t="n"/>
    </row>
    <row r="619">
      <c r="E619" s="27" t="n"/>
      <c r="I619" s="27" t="n"/>
      <c r="J619" s="27" t="n"/>
    </row>
    <row r="620">
      <c r="E620" s="27" t="n"/>
      <c r="I620" s="27" t="n"/>
      <c r="J620" s="27" t="n"/>
    </row>
    <row r="621">
      <c r="E621" s="27" t="n"/>
      <c r="I621" s="27" t="n"/>
      <c r="J621" s="27" t="n"/>
    </row>
    <row r="622">
      <c r="E622" s="27" t="n"/>
      <c r="I622" s="27" t="n"/>
      <c r="J622" s="27" t="n"/>
    </row>
    <row r="623">
      <c r="E623" s="27" t="n"/>
      <c r="I623" s="27" t="n"/>
      <c r="J623" s="27" t="n"/>
    </row>
    <row r="624">
      <c r="E624" s="27" t="n"/>
      <c r="I624" s="27" t="n"/>
      <c r="J624" s="27" t="n"/>
    </row>
    <row r="625">
      <c r="E625" s="27" t="n"/>
      <c r="I625" s="27" t="n"/>
      <c r="J625" s="27" t="n"/>
    </row>
    <row r="626">
      <c r="E626" s="27" t="n"/>
      <c r="I626" s="27" t="n"/>
      <c r="J626" s="27" t="n"/>
    </row>
    <row r="627">
      <c r="E627" s="27" t="n"/>
      <c r="I627" s="27" t="n"/>
      <c r="J627" s="27" t="n"/>
    </row>
    <row r="628">
      <c r="E628" s="27" t="n"/>
      <c r="I628" s="27" t="n"/>
      <c r="J628" s="27" t="n"/>
    </row>
    <row r="629">
      <c r="E629" s="27" t="n"/>
      <c r="I629" s="27" t="n"/>
      <c r="J629" s="27" t="n"/>
    </row>
    <row r="630">
      <c r="E630" s="27" t="n"/>
      <c r="I630" s="27" t="n"/>
      <c r="J630" s="27" t="n"/>
    </row>
    <row r="631">
      <c r="E631" s="27" t="n"/>
      <c r="I631" s="27" t="n"/>
      <c r="J631" s="27" t="n"/>
    </row>
    <row r="632">
      <c r="E632" s="27" t="n"/>
      <c r="I632" s="27" t="n"/>
      <c r="J632" s="27" t="n"/>
    </row>
    <row r="633">
      <c r="E633" s="27" t="n"/>
      <c r="I633" s="27" t="n"/>
      <c r="J633" s="27" t="n"/>
    </row>
    <row r="634">
      <c r="E634" s="27" t="n"/>
      <c r="I634" s="27" t="n"/>
      <c r="J634" s="27" t="n"/>
    </row>
    <row r="635">
      <c r="E635" s="27" t="n"/>
      <c r="I635" s="27" t="n"/>
      <c r="J635" s="27" t="n"/>
    </row>
    <row r="636">
      <c r="E636" s="27" t="n"/>
      <c r="I636" s="27" t="n"/>
      <c r="J636" s="27" t="n"/>
    </row>
    <row r="637">
      <c r="E637" s="27" t="n"/>
      <c r="I637" s="27" t="n"/>
      <c r="J637" s="27" t="n"/>
    </row>
    <row r="638">
      <c r="E638" s="27" t="n"/>
      <c r="I638" s="27" t="n"/>
      <c r="J638" s="27" t="n"/>
    </row>
    <row r="639">
      <c r="E639" s="27" t="n"/>
      <c r="I639" s="27" t="n"/>
      <c r="J639" s="27" t="n"/>
    </row>
    <row r="640">
      <c r="E640" s="27" t="n"/>
      <c r="I640" s="27" t="n"/>
      <c r="J640" s="27" t="n"/>
    </row>
    <row r="641">
      <c r="E641" s="27" t="n"/>
      <c r="I641" s="27" t="n"/>
      <c r="J641" s="27" t="n"/>
    </row>
    <row r="642">
      <c r="E642" s="27" t="n"/>
      <c r="I642" s="27" t="n"/>
      <c r="J642" s="27" t="n"/>
    </row>
    <row r="643">
      <c r="E643" s="27" t="n"/>
      <c r="I643" s="27" t="n"/>
      <c r="J643" s="27" t="n"/>
    </row>
    <row r="644">
      <c r="E644" s="27" t="n"/>
      <c r="I644" s="27" t="n"/>
      <c r="J644" s="27" t="n"/>
    </row>
    <row r="645">
      <c r="E645" s="27" t="n"/>
      <c r="I645" s="27" t="n"/>
      <c r="J645" s="27" t="n"/>
    </row>
    <row r="646">
      <c r="E646" s="27" t="n"/>
      <c r="I646" s="27" t="n"/>
      <c r="J646" s="27" t="n"/>
    </row>
    <row r="647">
      <c r="E647" s="27" t="n"/>
      <c r="I647" s="27" t="n"/>
      <c r="J647" s="27" t="n"/>
    </row>
    <row r="648">
      <c r="E648" s="27" t="n"/>
      <c r="I648" s="27" t="n"/>
      <c r="J648" s="27" t="n"/>
    </row>
    <row r="649">
      <c r="E649" s="27" t="n"/>
      <c r="I649" s="27" t="n"/>
      <c r="J649" s="27" t="n"/>
    </row>
    <row r="650">
      <c r="E650" s="27" t="n"/>
      <c r="I650" s="27" t="n"/>
      <c r="J650" s="27" t="n"/>
    </row>
    <row r="651">
      <c r="E651" s="27" t="n"/>
      <c r="I651" s="27" t="n"/>
      <c r="J651" s="27" t="n"/>
    </row>
    <row r="652">
      <c r="E652" s="27" t="n"/>
      <c r="I652" s="27" t="n"/>
      <c r="J652" s="27" t="n"/>
    </row>
    <row r="653">
      <c r="E653" s="27" t="n"/>
      <c r="I653" s="27" t="n"/>
      <c r="J653" s="27" t="n"/>
    </row>
    <row r="654">
      <c r="E654" s="27" t="n"/>
      <c r="I654" s="27" t="n"/>
      <c r="J654" s="27" t="n"/>
    </row>
    <row r="655">
      <c r="E655" s="27" t="n"/>
      <c r="I655" s="27" t="n"/>
      <c r="J655" s="27" t="n"/>
    </row>
    <row r="656">
      <c r="E656" s="27" t="n"/>
      <c r="I656" s="27" t="n"/>
      <c r="J656" s="27" t="n"/>
    </row>
    <row r="657">
      <c r="E657" s="27" t="n"/>
      <c r="I657" s="27" t="n"/>
      <c r="J657" s="27" t="n"/>
    </row>
    <row r="658">
      <c r="E658" s="27" t="n"/>
      <c r="I658" s="27" t="n"/>
      <c r="J658" s="27" t="n"/>
    </row>
    <row r="659">
      <c r="E659" s="27" t="n"/>
      <c r="I659" s="27" t="n"/>
      <c r="J659" s="27" t="n"/>
    </row>
    <row r="660">
      <c r="E660" s="27" t="n"/>
      <c r="I660" s="27" t="n"/>
      <c r="J660" s="27" t="n"/>
    </row>
    <row r="661">
      <c r="E661" s="27" t="n"/>
      <c r="I661" s="27" t="n"/>
      <c r="J661" s="27" t="n"/>
    </row>
    <row r="662">
      <c r="E662" s="27" t="n"/>
      <c r="I662" s="27" t="n"/>
      <c r="J662" s="27" t="n"/>
    </row>
    <row r="663">
      <c r="E663" s="27" t="n"/>
      <c r="I663" s="27" t="n"/>
      <c r="J663" s="27" t="n"/>
    </row>
    <row r="664">
      <c r="E664" s="27" t="n"/>
      <c r="I664" s="27" t="n"/>
      <c r="J664" s="27" t="n"/>
    </row>
    <row r="665">
      <c r="E665" s="27" t="n"/>
      <c r="I665" s="27" t="n"/>
      <c r="J665" s="27" t="n"/>
    </row>
    <row r="666">
      <c r="E666" s="27" t="n"/>
      <c r="I666" s="27" t="n"/>
      <c r="J666" s="27" t="n"/>
    </row>
    <row r="667">
      <c r="E667" s="27" t="n"/>
      <c r="I667" s="27" t="n"/>
      <c r="J667" s="27" t="n"/>
    </row>
    <row r="668">
      <c r="E668" s="27" t="n"/>
      <c r="I668" s="27" t="n"/>
      <c r="J668" s="27" t="n"/>
    </row>
    <row r="669">
      <c r="E669" s="27" t="n"/>
      <c r="I669" s="27" t="n"/>
      <c r="J669" s="27" t="n"/>
    </row>
    <row r="670">
      <c r="E670" s="27" t="n"/>
      <c r="I670" s="27" t="n"/>
      <c r="J670" s="27" t="n"/>
    </row>
    <row r="671">
      <c r="E671" s="27" t="n"/>
      <c r="I671" s="27" t="n"/>
      <c r="J671" s="27" t="n"/>
    </row>
    <row r="672">
      <c r="E672" s="27" t="n"/>
      <c r="I672" s="27" t="n"/>
      <c r="J672" s="27" t="n"/>
    </row>
    <row r="673">
      <c r="E673" s="27" t="n"/>
      <c r="I673" s="27" t="n"/>
      <c r="J673" s="27" t="n"/>
    </row>
    <row r="674">
      <c r="E674" s="27" t="n"/>
      <c r="I674" s="27" t="n"/>
      <c r="J674" s="27" t="n"/>
    </row>
    <row r="675">
      <c r="E675" s="27" t="n"/>
      <c r="I675" s="27" t="n"/>
      <c r="J675" s="27" t="n"/>
    </row>
    <row r="676">
      <c r="E676" s="27" t="n"/>
      <c r="I676" s="27" t="n"/>
      <c r="J676" s="27" t="n"/>
    </row>
    <row r="677">
      <c r="E677" s="27" t="n"/>
      <c r="I677" s="27" t="n"/>
      <c r="J677" s="27" t="n"/>
    </row>
    <row r="678">
      <c r="E678" s="27" t="n"/>
      <c r="I678" s="27" t="n"/>
      <c r="J678" s="27" t="n"/>
    </row>
    <row r="679">
      <c r="E679" s="27" t="n"/>
      <c r="I679" s="27" t="n"/>
      <c r="J679" s="27" t="n"/>
    </row>
    <row r="680">
      <c r="E680" s="27" t="n"/>
      <c r="I680" s="27" t="n"/>
      <c r="J680" s="27" t="n"/>
    </row>
    <row r="681">
      <c r="E681" s="27" t="n"/>
      <c r="I681" s="27" t="n"/>
      <c r="J681" s="27" t="n"/>
    </row>
    <row r="682">
      <c r="E682" s="27" t="n"/>
      <c r="I682" s="27" t="n"/>
      <c r="J682" s="27" t="n"/>
    </row>
    <row r="683">
      <c r="E683" s="27" t="n"/>
      <c r="I683" s="27" t="n"/>
      <c r="J683" s="27" t="n"/>
    </row>
    <row r="684">
      <c r="E684" s="27" t="n"/>
      <c r="I684" s="27" t="n"/>
      <c r="J684" s="27" t="n"/>
    </row>
    <row r="685">
      <c r="E685" s="27" t="n"/>
      <c r="I685" s="27" t="n"/>
      <c r="J685" s="27" t="n"/>
    </row>
    <row r="686">
      <c r="E686" s="27" t="n"/>
      <c r="I686" s="27" t="n"/>
      <c r="J686" s="27" t="n"/>
    </row>
    <row r="687">
      <c r="E687" s="27" t="n"/>
      <c r="I687" s="27" t="n"/>
      <c r="J687" s="27" t="n"/>
    </row>
    <row r="688">
      <c r="E688" s="27" t="n"/>
      <c r="I688" s="27" t="n"/>
      <c r="J688" s="27" t="n"/>
    </row>
    <row r="689">
      <c r="E689" s="27" t="n"/>
      <c r="I689" s="27" t="n"/>
      <c r="J689" s="27" t="n"/>
    </row>
    <row r="690">
      <c r="E690" s="27" t="n"/>
      <c r="I690" s="27" t="n"/>
      <c r="J690" s="27" t="n"/>
    </row>
    <row r="691">
      <c r="E691" s="27" t="n"/>
      <c r="I691" s="27" t="n"/>
      <c r="J691" s="27" t="n"/>
    </row>
    <row r="692">
      <c r="E692" s="27" t="n"/>
      <c r="I692" s="27" t="n"/>
      <c r="J692" s="27" t="n"/>
    </row>
    <row r="693">
      <c r="E693" s="27" t="n"/>
      <c r="I693" s="27" t="n"/>
      <c r="J693" s="27" t="n"/>
    </row>
    <row r="694">
      <c r="E694" s="27" t="n"/>
      <c r="I694" s="27" t="n"/>
      <c r="J694" s="27" t="n"/>
    </row>
    <row r="695">
      <c r="E695" s="27" t="n"/>
      <c r="I695" s="27" t="n"/>
      <c r="J695" s="27" t="n"/>
    </row>
    <row r="696">
      <c r="E696" s="27" t="n"/>
      <c r="I696" s="27" t="n"/>
      <c r="J696" s="27" t="n"/>
    </row>
    <row r="697">
      <c r="E697" s="27" t="n"/>
      <c r="I697" s="27" t="n"/>
      <c r="J697" s="27" t="n"/>
    </row>
    <row r="698">
      <c r="E698" s="27" t="n"/>
      <c r="I698" s="27" t="n"/>
      <c r="J698" s="27" t="n"/>
    </row>
    <row r="699">
      <c r="E699" s="27" t="n"/>
      <c r="I699" s="27" t="n"/>
      <c r="J699" s="27" t="n"/>
    </row>
    <row r="700">
      <c r="E700" s="27" t="n"/>
      <c r="I700" s="27" t="n"/>
      <c r="J700" s="27" t="n"/>
    </row>
  </sheetData>
  <mergeCells count="2">
    <mergeCell ref="A3:L3"/>
    <mergeCell ref="A1:L1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"All,Open,In Progress,Resolved,Closed,Reopened"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1" t="inlineStr">
        <is>
          <t>Risk Register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Risk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  <c r="H2" s="18" t="inlineStr">
        <is>
          <t>Status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Risk ID</t>
        </is>
      </c>
      <c r="B4" s="10" t="inlineStr">
        <is>
          <t>Project ID</t>
        </is>
      </c>
      <c r="C4" s="10" t="inlineStr">
        <is>
          <t>Risk Description</t>
        </is>
      </c>
      <c r="D4" s="10" t="inlineStr">
        <is>
          <t>Impact</t>
        </is>
      </c>
      <c r="E4" s="10" t="inlineStr">
        <is>
          <t>Probability</t>
        </is>
      </c>
      <c r="F4" s="10" t="inlineStr">
        <is>
          <t>Risk Score</t>
        </is>
      </c>
      <c r="G4" s="10" t="inlineStr">
        <is>
          <t>Risk Level</t>
        </is>
      </c>
      <c r="H4" s="10" t="inlineStr">
        <is>
          <t>Mitigation Plan</t>
        </is>
      </c>
      <c r="I4" s="10" t="inlineStr">
        <is>
          <t>Owner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Risk Register'!A2:K350,('Data - Risk Register'!$A$2:$A$350&lt;&gt;"")*(IF(C2="All",TRUE,'Data - Risk Register'!$B$2:$B$350=C2))*(IF(E2="All",TRUE,'Data - Risk Register'!$G$2:$G$350=E2))*(IF(G2="All",TRUE,'Data - Risk Register'!$I$2:$I$350=G2))*(IF(I2="All",TRUE,'Data - Risk Register'!$J$2:$J$350=I2))),"No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</sheetData>
  <mergeCells count="2">
    <mergeCell ref="A1:K1"/>
    <mergeCell ref="A3:K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"All,Open,In Progress,Resolved,Closed,Reopened"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1" t="inlineStr">
        <is>
          <t>Resource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Resource</t>
        </is>
      </c>
      <c r="E2" s="3" t="inlineStr">
        <is>
          <t>All</t>
        </is>
      </c>
      <c r="F2" s="18" t="inlineStr">
        <is>
          <t>Module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Resource Name</t>
        </is>
      </c>
      <c r="B4" s="10" t="inlineStr">
        <is>
          <t>Role</t>
        </is>
      </c>
      <c r="C4" s="10" t="inlineStr">
        <is>
          <t>Project ID</t>
        </is>
      </c>
      <c r="D4" s="10" t="inlineStr">
        <is>
          <t>Module</t>
        </is>
      </c>
      <c r="E4" s="10" t="inlineStr">
        <is>
          <t>Allocation %</t>
        </is>
      </c>
      <c r="F4" s="10" t="inlineStr">
        <is>
          <t>Start Date</t>
        </is>
      </c>
      <c r="G4" s="10" t="inlineStr">
        <is>
          <t>End Date</t>
        </is>
      </c>
      <c r="H4" s="10" t="inlineStr">
        <is>
          <t>Current Workload</t>
        </is>
      </c>
      <c r="I4" s="10" t="inlineStr">
        <is>
          <t>Remarks</t>
        </is>
      </c>
    </row>
    <row r="5">
      <c r="A5" s="15">
        <f>IFERROR(FILTER('Data - Resource Tracker'!A2:I350,('Data - Resource Tracker'!$A$2:$A$350&lt;&gt;"")*(IF(C2="All",TRUE,'Data - Resource Tracker'!$C$2:$C$350=C2))*(IF(E2="All",TRUE,'Data - Resource Tracker'!$A$2:$A$350=E2))*(IF(G2="All",TRUE,'Data - Resource Tracker'!$D$2:$D$350=G2))),"No matching records")</f>
        <v/>
      </c>
      <c r="B5" s="15" t="n"/>
      <c r="C5" s="15" t="n"/>
      <c r="D5" s="15" t="n"/>
      <c r="E5" s="15" t="n"/>
      <c r="F5" s="16" t="n"/>
      <c r="G5" s="16" t="n"/>
      <c r="H5" s="15" t="n"/>
      <c r="I5" s="15" t="n"/>
    </row>
    <row r="6">
      <c r="A6" s="15" t="n"/>
      <c r="B6" s="15" t="n"/>
      <c r="C6" s="15" t="n"/>
      <c r="D6" s="15" t="n"/>
      <c r="E6" s="15" t="n"/>
      <c r="F6" s="16" t="n"/>
      <c r="G6" s="16" t="n"/>
      <c r="H6" s="15" t="n"/>
      <c r="I6" s="15" t="n"/>
    </row>
    <row r="7">
      <c r="A7" s="15" t="n"/>
      <c r="B7" s="15" t="n"/>
      <c r="C7" s="15" t="n"/>
      <c r="D7" s="15" t="n"/>
      <c r="E7" s="15" t="n"/>
      <c r="F7" s="16" t="n"/>
      <c r="G7" s="16" t="n"/>
      <c r="H7" s="15" t="n"/>
      <c r="I7" s="15" t="n"/>
    </row>
    <row r="8">
      <c r="A8" s="15" t="n"/>
      <c r="B8" s="15" t="n"/>
      <c r="C8" s="15" t="n"/>
      <c r="D8" s="15" t="n"/>
      <c r="E8" s="15" t="n"/>
      <c r="F8" s="16" t="n"/>
      <c r="G8" s="16" t="n"/>
      <c r="H8" s="15" t="n"/>
      <c r="I8" s="15" t="n"/>
    </row>
    <row r="9">
      <c r="A9" s="15" t="n"/>
      <c r="B9" s="15" t="n"/>
      <c r="C9" s="15" t="n"/>
      <c r="D9" s="15" t="n"/>
      <c r="E9" s="15" t="n"/>
      <c r="F9" s="16" t="n"/>
      <c r="G9" s="16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6" t="n"/>
      <c r="G10" s="16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6" t="n"/>
      <c r="G11" s="16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6" t="n"/>
      <c r="G12" s="16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6" t="n"/>
      <c r="G13" s="16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6" t="n"/>
      <c r="G14" s="16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6" t="n"/>
      <c r="G15" s="16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6" t="n"/>
      <c r="G16" s="16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6" t="n"/>
      <c r="G17" s="16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6" t="n"/>
      <c r="G18" s="16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6" t="n"/>
      <c r="G19" s="16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6" t="n"/>
      <c r="G20" s="16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6" t="n"/>
      <c r="G21" s="16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6" t="n"/>
      <c r="G22" s="16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6" t="n"/>
      <c r="G23" s="16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6" t="n"/>
      <c r="G24" s="16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6" t="n"/>
      <c r="G25" s="16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6" t="n"/>
      <c r="G26" s="16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6" t="n"/>
      <c r="G27" s="16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6" t="n"/>
      <c r="G28" s="16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6" t="n"/>
      <c r="G29" s="16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6" t="n"/>
      <c r="G30" s="16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6" t="n"/>
      <c r="G31" s="16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6" t="n"/>
      <c r="G32" s="16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6" t="n"/>
      <c r="G33" s="16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6" t="n"/>
      <c r="G34" s="16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6" t="n"/>
      <c r="G35" s="16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6" t="n"/>
      <c r="G36" s="16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6" t="n"/>
      <c r="G37" s="16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6" t="n"/>
      <c r="G38" s="16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6" t="n"/>
      <c r="G39" s="16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6" t="n"/>
      <c r="G40" s="16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6" t="n"/>
      <c r="G41" s="16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6" t="n"/>
      <c r="G42" s="16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6" t="n"/>
      <c r="G43" s="16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6" t="n"/>
      <c r="G44" s="16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6" t="n"/>
      <c r="G45" s="16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6" t="n"/>
      <c r="G46" s="16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6" t="n"/>
      <c r="G47" s="16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6" t="n"/>
      <c r="G48" s="16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6" t="n"/>
      <c r="G49" s="16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6" t="n"/>
      <c r="G50" s="16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6" t="n"/>
      <c r="G51" s="16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6" t="n"/>
      <c r="G52" s="16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6" t="n"/>
      <c r="G53" s="16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6" t="n"/>
      <c r="G54" s="16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6" t="n"/>
      <c r="G55" s="16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6" t="n"/>
      <c r="G56" s="16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6" t="n"/>
      <c r="G57" s="16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6" t="n"/>
      <c r="G58" s="16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6" t="n"/>
      <c r="G59" s="16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6" t="n"/>
      <c r="G60" s="16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6" t="n"/>
      <c r="G61" s="16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6" t="n"/>
      <c r="G62" s="16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6" t="n"/>
      <c r="G63" s="16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6" t="n"/>
      <c r="G64" s="16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6" t="n"/>
      <c r="G65" s="16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6" t="n"/>
      <c r="G66" s="16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6" t="n"/>
      <c r="G67" s="16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6" t="n"/>
      <c r="G68" s="16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6" t="n"/>
      <c r="G69" s="16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6" t="n"/>
      <c r="G70" s="16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6" t="n"/>
      <c r="G71" s="16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6" t="n"/>
      <c r="G72" s="16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6" t="n"/>
      <c r="G73" s="16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6" t="n"/>
      <c r="G74" s="16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6" t="n"/>
      <c r="G75" s="16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6" t="n"/>
      <c r="G76" s="16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6" t="n"/>
      <c r="G77" s="16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6" t="n"/>
      <c r="G78" s="16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6" t="n"/>
      <c r="G79" s="16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6" t="n"/>
      <c r="G80" s="16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6" t="n"/>
      <c r="G81" s="16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6" t="n"/>
      <c r="G82" s="16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6" t="n"/>
      <c r="G83" s="16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6" t="n"/>
      <c r="G84" s="16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6" t="n"/>
      <c r="G85" s="16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6" t="n"/>
      <c r="G86" s="16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6" t="n"/>
      <c r="G87" s="16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6" t="n"/>
      <c r="G88" s="16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6" t="n"/>
      <c r="G89" s="16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6" t="n"/>
      <c r="G90" s="16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6" t="n"/>
      <c r="G91" s="16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6" t="n"/>
      <c r="G92" s="16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6" t="n"/>
      <c r="G93" s="16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6" t="n"/>
      <c r="G94" s="16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6" t="n"/>
      <c r="G95" s="16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6" t="n"/>
      <c r="G96" s="16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6" t="n"/>
      <c r="G97" s="16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6" t="n"/>
      <c r="G98" s="16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6" t="n"/>
      <c r="G99" s="16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5" t="n"/>
      <c r="I119" s="15" t="n"/>
    </row>
    <row r="120">
      <c r="F120" s="27" t="n"/>
      <c r="G120" s="27" t="n"/>
    </row>
    <row r="121">
      <c r="F121" s="27" t="n"/>
      <c r="G121" s="27" t="n"/>
    </row>
    <row r="122">
      <c r="F122" s="27" t="n"/>
      <c r="G122" s="27" t="n"/>
    </row>
    <row r="123">
      <c r="F123" s="27" t="n"/>
      <c r="G123" s="27" t="n"/>
    </row>
    <row r="124">
      <c r="F124" s="27" t="n"/>
      <c r="G124" s="27" t="n"/>
    </row>
    <row r="125">
      <c r="F125" s="27" t="n"/>
      <c r="G125" s="27" t="n"/>
    </row>
    <row r="126">
      <c r="F126" s="27" t="n"/>
      <c r="G126" s="27" t="n"/>
    </row>
    <row r="127">
      <c r="F127" s="27" t="n"/>
      <c r="G127" s="27" t="n"/>
    </row>
    <row r="128">
      <c r="F128" s="27" t="n"/>
      <c r="G128" s="27" t="n"/>
    </row>
    <row r="129">
      <c r="F129" s="27" t="n"/>
      <c r="G129" s="27" t="n"/>
    </row>
    <row r="130">
      <c r="F130" s="27" t="n"/>
      <c r="G130" s="27" t="n"/>
    </row>
    <row r="131">
      <c r="F131" s="27" t="n"/>
      <c r="G131" s="27" t="n"/>
    </row>
    <row r="132">
      <c r="F132" s="27" t="n"/>
      <c r="G132" s="27" t="n"/>
    </row>
    <row r="133">
      <c r="F133" s="27" t="n"/>
      <c r="G133" s="27" t="n"/>
    </row>
    <row r="134">
      <c r="F134" s="27" t="n"/>
      <c r="G134" s="27" t="n"/>
    </row>
    <row r="135">
      <c r="F135" s="27" t="n"/>
      <c r="G135" s="27" t="n"/>
    </row>
    <row r="136">
      <c r="F136" s="27" t="n"/>
      <c r="G136" s="27" t="n"/>
    </row>
    <row r="137">
      <c r="F137" s="27" t="n"/>
      <c r="G137" s="27" t="n"/>
    </row>
    <row r="138">
      <c r="F138" s="27" t="n"/>
      <c r="G138" s="27" t="n"/>
    </row>
    <row r="139">
      <c r="F139" s="27" t="n"/>
      <c r="G139" s="27" t="n"/>
    </row>
    <row r="140">
      <c r="F140" s="27" t="n"/>
      <c r="G140" s="27" t="n"/>
    </row>
    <row r="141">
      <c r="F141" s="27" t="n"/>
      <c r="G141" s="27" t="n"/>
    </row>
    <row r="142">
      <c r="F142" s="27" t="n"/>
      <c r="G142" s="27" t="n"/>
    </row>
    <row r="143">
      <c r="F143" s="27" t="n"/>
      <c r="G143" s="27" t="n"/>
    </row>
    <row r="144">
      <c r="F144" s="27" t="n"/>
      <c r="G144" s="27" t="n"/>
    </row>
    <row r="145">
      <c r="F145" s="27" t="n"/>
      <c r="G145" s="27" t="n"/>
    </row>
    <row r="146">
      <c r="F146" s="27" t="n"/>
      <c r="G146" s="27" t="n"/>
    </row>
    <row r="147">
      <c r="F147" s="27" t="n"/>
      <c r="G147" s="27" t="n"/>
    </row>
    <row r="148">
      <c r="F148" s="27" t="n"/>
      <c r="G148" s="27" t="n"/>
    </row>
    <row r="149">
      <c r="F149" s="27" t="n"/>
      <c r="G149" s="27" t="n"/>
    </row>
    <row r="150">
      <c r="F150" s="27" t="n"/>
      <c r="G150" s="27" t="n"/>
    </row>
    <row r="151">
      <c r="F151" s="27" t="n"/>
      <c r="G151" s="27" t="n"/>
    </row>
    <row r="152">
      <c r="F152" s="27" t="n"/>
      <c r="G152" s="27" t="n"/>
    </row>
    <row r="153">
      <c r="F153" s="27" t="n"/>
      <c r="G153" s="27" t="n"/>
    </row>
    <row r="154">
      <c r="F154" s="27" t="n"/>
      <c r="G154" s="27" t="n"/>
    </row>
    <row r="155">
      <c r="F155" s="27" t="n"/>
      <c r="G155" s="27" t="n"/>
    </row>
    <row r="156">
      <c r="F156" s="27" t="n"/>
      <c r="G156" s="27" t="n"/>
    </row>
    <row r="157">
      <c r="F157" s="27" t="n"/>
      <c r="G157" s="27" t="n"/>
    </row>
    <row r="158">
      <c r="F158" s="27" t="n"/>
      <c r="G158" s="27" t="n"/>
    </row>
    <row r="159">
      <c r="F159" s="27" t="n"/>
      <c r="G159" s="27" t="n"/>
    </row>
    <row r="160">
      <c r="F160" s="27" t="n"/>
      <c r="G160" s="27" t="n"/>
    </row>
    <row r="161">
      <c r="F161" s="27" t="n"/>
      <c r="G161" s="27" t="n"/>
    </row>
    <row r="162">
      <c r="F162" s="27" t="n"/>
      <c r="G162" s="27" t="n"/>
    </row>
    <row r="163">
      <c r="F163" s="27" t="n"/>
      <c r="G163" s="27" t="n"/>
    </row>
    <row r="164">
      <c r="F164" s="27" t="n"/>
      <c r="G164" s="27" t="n"/>
    </row>
    <row r="165">
      <c r="F165" s="27" t="n"/>
      <c r="G165" s="27" t="n"/>
    </row>
    <row r="166">
      <c r="F166" s="27" t="n"/>
      <c r="G166" s="27" t="n"/>
    </row>
    <row r="167">
      <c r="F167" s="27" t="n"/>
      <c r="G167" s="27" t="n"/>
    </row>
    <row r="168">
      <c r="F168" s="27" t="n"/>
      <c r="G168" s="27" t="n"/>
    </row>
    <row r="169">
      <c r="F169" s="27" t="n"/>
      <c r="G169" s="27" t="n"/>
    </row>
    <row r="170">
      <c r="F170" s="27" t="n"/>
      <c r="G170" s="27" t="n"/>
    </row>
    <row r="171">
      <c r="F171" s="27" t="n"/>
      <c r="G171" s="27" t="n"/>
    </row>
    <row r="172">
      <c r="F172" s="27" t="n"/>
      <c r="G172" s="27" t="n"/>
    </row>
    <row r="173">
      <c r="F173" s="27" t="n"/>
      <c r="G173" s="27" t="n"/>
    </row>
    <row r="174">
      <c r="F174" s="27" t="n"/>
      <c r="G174" s="27" t="n"/>
    </row>
    <row r="175">
      <c r="F175" s="27" t="n"/>
      <c r="G175" s="27" t="n"/>
    </row>
    <row r="176">
      <c r="F176" s="27" t="n"/>
      <c r="G176" s="27" t="n"/>
    </row>
    <row r="177">
      <c r="F177" s="27" t="n"/>
      <c r="G177" s="27" t="n"/>
    </row>
    <row r="178">
      <c r="F178" s="27" t="n"/>
      <c r="G178" s="27" t="n"/>
    </row>
    <row r="179">
      <c r="F179" s="27" t="n"/>
      <c r="G179" s="27" t="n"/>
    </row>
    <row r="180">
      <c r="F180" s="27" t="n"/>
      <c r="G180" s="27" t="n"/>
    </row>
    <row r="181">
      <c r="F181" s="27" t="n"/>
      <c r="G181" s="27" t="n"/>
    </row>
    <row r="182">
      <c r="F182" s="27" t="n"/>
      <c r="G182" s="27" t="n"/>
    </row>
    <row r="183">
      <c r="F183" s="27" t="n"/>
      <c r="G183" s="27" t="n"/>
    </row>
    <row r="184">
      <c r="F184" s="27" t="n"/>
      <c r="G184" s="27" t="n"/>
    </row>
    <row r="185">
      <c r="F185" s="27" t="n"/>
      <c r="G185" s="27" t="n"/>
    </row>
    <row r="186">
      <c r="F186" s="27" t="n"/>
      <c r="G186" s="27" t="n"/>
    </row>
    <row r="187">
      <c r="F187" s="27" t="n"/>
      <c r="G187" s="27" t="n"/>
    </row>
    <row r="188">
      <c r="F188" s="27" t="n"/>
      <c r="G188" s="27" t="n"/>
    </row>
    <row r="189">
      <c r="F189" s="27" t="n"/>
      <c r="G189" s="27" t="n"/>
    </row>
    <row r="190">
      <c r="F190" s="27" t="n"/>
      <c r="G190" s="27" t="n"/>
    </row>
    <row r="191">
      <c r="F191" s="27" t="n"/>
      <c r="G191" s="27" t="n"/>
    </row>
    <row r="192">
      <c r="F192" s="27" t="n"/>
      <c r="G192" s="27" t="n"/>
    </row>
    <row r="193">
      <c r="F193" s="27" t="n"/>
      <c r="G193" s="27" t="n"/>
    </row>
    <row r="194">
      <c r="F194" s="27" t="n"/>
      <c r="G194" s="27" t="n"/>
    </row>
    <row r="195">
      <c r="F195" s="27" t="n"/>
      <c r="G195" s="27" t="n"/>
    </row>
    <row r="196">
      <c r="F196" s="27" t="n"/>
      <c r="G196" s="27" t="n"/>
    </row>
    <row r="197">
      <c r="F197" s="27" t="n"/>
      <c r="G197" s="27" t="n"/>
    </row>
    <row r="198">
      <c r="F198" s="27" t="n"/>
      <c r="G198" s="27" t="n"/>
    </row>
    <row r="199">
      <c r="F199" s="27" t="n"/>
      <c r="G199" s="27" t="n"/>
    </row>
    <row r="200">
      <c r="F200" s="27" t="n"/>
      <c r="G200" s="27" t="n"/>
    </row>
    <row r="201">
      <c r="F201" s="27" t="n"/>
      <c r="G201" s="27" t="n"/>
    </row>
    <row r="202">
      <c r="F202" s="27" t="n"/>
      <c r="G202" s="27" t="n"/>
    </row>
    <row r="203">
      <c r="F203" s="27" t="n"/>
      <c r="G203" s="27" t="n"/>
    </row>
    <row r="204">
      <c r="F204" s="27" t="n"/>
      <c r="G204" s="27" t="n"/>
    </row>
    <row r="205">
      <c r="F205" s="27" t="n"/>
      <c r="G205" s="27" t="n"/>
    </row>
    <row r="206">
      <c r="F206" s="27" t="n"/>
      <c r="G206" s="27" t="n"/>
    </row>
    <row r="207">
      <c r="F207" s="27" t="n"/>
      <c r="G207" s="27" t="n"/>
    </row>
    <row r="208">
      <c r="F208" s="27" t="n"/>
      <c r="G208" s="27" t="n"/>
    </row>
    <row r="209">
      <c r="F209" s="27" t="n"/>
      <c r="G209" s="27" t="n"/>
    </row>
    <row r="210">
      <c r="F210" s="27" t="n"/>
      <c r="G210" s="27" t="n"/>
    </row>
    <row r="211">
      <c r="F211" s="27" t="n"/>
      <c r="G211" s="27" t="n"/>
    </row>
    <row r="212">
      <c r="F212" s="27" t="n"/>
      <c r="G212" s="27" t="n"/>
    </row>
    <row r="213">
      <c r="F213" s="27" t="n"/>
      <c r="G213" s="27" t="n"/>
    </row>
    <row r="214">
      <c r="F214" s="27" t="n"/>
      <c r="G214" s="27" t="n"/>
    </row>
    <row r="215">
      <c r="F215" s="27" t="n"/>
      <c r="G215" s="27" t="n"/>
    </row>
    <row r="216">
      <c r="F216" s="27" t="n"/>
      <c r="G216" s="27" t="n"/>
    </row>
    <row r="217">
      <c r="F217" s="27" t="n"/>
      <c r="G217" s="27" t="n"/>
    </row>
    <row r="218">
      <c r="F218" s="27" t="n"/>
      <c r="G218" s="27" t="n"/>
    </row>
    <row r="219">
      <c r="F219" s="27" t="n"/>
      <c r="G219" s="27" t="n"/>
    </row>
    <row r="220">
      <c r="F220" s="27" t="n"/>
      <c r="G220" s="27" t="n"/>
    </row>
    <row r="221">
      <c r="F221" s="27" t="n"/>
      <c r="G221" s="27" t="n"/>
    </row>
    <row r="222">
      <c r="F222" s="27" t="n"/>
      <c r="G222" s="27" t="n"/>
    </row>
    <row r="223">
      <c r="F223" s="27" t="n"/>
      <c r="G223" s="27" t="n"/>
    </row>
    <row r="224">
      <c r="F224" s="27" t="n"/>
      <c r="G224" s="27" t="n"/>
    </row>
    <row r="225">
      <c r="F225" s="27" t="n"/>
      <c r="G225" s="27" t="n"/>
    </row>
    <row r="226">
      <c r="F226" s="27" t="n"/>
      <c r="G226" s="27" t="n"/>
    </row>
    <row r="227">
      <c r="F227" s="27" t="n"/>
      <c r="G227" s="27" t="n"/>
    </row>
    <row r="228">
      <c r="F228" s="27" t="n"/>
      <c r="G228" s="27" t="n"/>
    </row>
    <row r="229">
      <c r="F229" s="27" t="n"/>
      <c r="G229" s="27" t="n"/>
    </row>
    <row r="230">
      <c r="F230" s="27" t="n"/>
      <c r="G230" s="27" t="n"/>
    </row>
    <row r="231">
      <c r="F231" s="27" t="n"/>
      <c r="G231" s="27" t="n"/>
    </row>
    <row r="232">
      <c r="F232" s="27" t="n"/>
      <c r="G232" s="27" t="n"/>
    </row>
    <row r="233">
      <c r="F233" s="27" t="n"/>
      <c r="G233" s="27" t="n"/>
    </row>
    <row r="234">
      <c r="F234" s="27" t="n"/>
      <c r="G234" s="27" t="n"/>
    </row>
    <row r="235">
      <c r="F235" s="27" t="n"/>
      <c r="G235" s="27" t="n"/>
    </row>
    <row r="236">
      <c r="F236" s="27" t="n"/>
      <c r="G236" s="27" t="n"/>
    </row>
    <row r="237">
      <c r="F237" s="27" t="n"/>
      <c r="G237" s="27" t="n"/>
    </row>
    <row r="238">
      <c r="F238" s="27" t="n"/>
      <c r="G238" s="27" t="n"/>
    </row>
    <row r="239">
      <c r="F239" s="27" t="n"/>
      <c r="G239" s="27" t="n"/>
    </row>
    <row r="240">
      <c r="F240" s="27" t="n"/>
      <c r="G240" s="27" t="n"/>
    </row>
    <row r="241">
      <c r="F241" s="27" t="n"/>
      <c r="G241" s="27" t="n"/>
    </row>
    <row r="242">
      <c r="F242" s="27" t="n"/>
      <c r="G242" s="27" t="n"/>
    </row>
    <row r="243">
      <c r="F243" s="27" t="n"/>
      <c r="G243" s="27" t="n"/>
    </row>
    <row r="244">
      <c r="F244" s="27" t="n"/>
      <c r="G244" s="27" t="n"/>
    </row>
    <row r="245">
      <c r="F245" s="27" t="n"/>
      <c r="G245" s="27" t="n"/>
    </row>
    <row r="246">
      <c r="F246" s="27" t="n"/>
      <c r="G246" s="27" t="n"/>
    </row>
    <row r="247">
      <c r="F247" s="27" t="n"/>
      <c r="G247" s="27" t="n"/>
    </row>
    <row r="248">
      <c r="F248" s="27" t="n"/>
      <c r="G248" s="27" t="n"/>
    </row>
    <row r="249">
      <c r="F249" s="27" t="n"/>
      <c r="G249" s="27" t="n"/>
    </row>
    <row r="250">
      <c r="F250" s="27" t="n"/>
      <c r="G250" s="27" t="n"/>
    </row>
    <row r="251">
      <c r="F251" s="27" t="n"/>
      <c r="G251" s="27" t="n"/>
    </row>
    <row r="252">
      <c r="F252" s="27" t="n"/>
      <c r="G252" s="27" t="n"/>
    </row>
    <row r="253">
      <c r="F253" s="27" t="n"/>
      <c r="G253" s="27" t="n"/>
    </row>
    <row r="254">
      <c r="F254" s="27" t="n"/>
      <c r="G254" s="27" t="n"/>
    </row>
    <row r="255">
      <c r="F255" s="27" t="n"/>
      <c r="G255" s="27" t="n"/>
    </row>
    <row r="256">
      <c r="F256" s="27" t="n"/>
      <c r="G256" s="27" t="n"/>
    </row>
    <row r="257">
      <c r="F257" s="27" t="n"/>
      <c r="G257" s="27" t="n"/>
    </row>
    <row r="258">
      <c r="F258" s="27" t="n"/>
      <c r="G258" s="27" t="n"/>
    </row>
    <row r="259">
      <c r="F259" s="27" t="n"/>
      <c r="G259" s="27" t="n"/>
    </row>
    <row r="260">
      <c r="F260" s="27" t="n"/>
      <c r="G260" s="27" t="n"/>
    </row>
    <row r="261">
      <c r="F261" s="27" t="n"/>
      <c r="G261" s="27" t="n"/>
    </row>
    <row r="262">
      <c r="F262" s="27" t="n"/>
      <c r="G262" s="27" t="n"/>
    </row>
    <row r="263">
      <c r="F263" s="27" t="n"/>
      <c r="G263" s="27" t="n"/>
    </row>
    <row r="264">
      <c r="F264" s="27" t="n"/>
      <c r="G264" s="27" t="n"/>
    </row>
    <row r="265">
      <c r="F265" s="27" t="n"/>
      <c r="G265" s="27" t="n"/>
    </row>
    <row r="266">
      <c r="F266" s="27" t="n"/>
      <c r="G266" s="27" t="n"/>
    </row>
    <row r="267">
      <c r="F267" s="27" t="n"/>
      <c r="G267" s="27" t="n"/>
    </row>
    <row r="268">
      <c r="F268" s="27" t="n"/>
      <c r="G268" s="27" t="n"/>
    </row>
    <row r="269">
      <c r="F269" s="27" t="n"/>
      <c r="G269" s="27" t="n"/>
    </row>
    <row r="270">
      <c r="F270" s="27" t="n"/>
      <c r="G270" s="27" t="n"/>
    </row>
    <row r="271">
      <c r="F271" s="27" t="n"/>
      <c r="G271" s="27" t="n"/>
    </row>
    <row r="272">
      <c r="F272" s="27" t="n"/>
      <c r="G272" s="27" t="n"/>
    </row>
    <row r="273">
      <c r="F273" s="27" t="n"/>
      <c r="G273" s="27" t="n"/>
    </row>
    <row r="274">
      <c r="F274" s="27" t="n"/>
      <c r="G274" s="27" t="n"/>
    </row>
    <row r="275">
      <c r="F275" s="27" t="n"/>
      <c r="G275" s="27" t="n"/>
    </row>
    <row r="276">
      <c r="F276" s="27" t="n"/>
      <c r="G276" s="27" t="n"/>
    </row>
    <row r="277">
      <c r="F277" s="27" t="n"/>
      <c r="G277" s="27" t="n"/>
    </row>
    <row r="278">
      <c r="F278" s="27" t="n"/>
      <c r="G278" s="27" t="n"/>
    </row>
    <row r="279">
      <c r="F279" s="27" t="n"/>
      <c r="G279" s="27" t="n"/>
    </row>
    <row r="280">
      <c r="F280" s="27" t="n"/>
      <c r="G280" s="27" t="n"/>
    </row>
    <row r="281">
      <c r="F281" s="27" t="n"/>
      <c r="G281" s="27" t="n"/>
    </row>
    <row r="282">
      <c r="F282" s="27" t="n"/>
      <c r="G282" s="27" t="n"/>
    </row>
    <row r="283">
      <c r="F283" s="27" t="n"/>
      <c r="G283" s="27" t="n"/>
    </row>
    <row r="284">
      <c r="F284" s="27" t="n"/>
      <c r="G284" s="27" t="n"/>
    </row>
    <row r="285">
      <c r="F285" s="27" t="n"/>
      <c r="G285" s="27" t="n"/>
    </row>
    <row r="286">
      <c r="F286" s="27" t="n"/>
      <c r="G286" s="27" t="n"/>
    </row>
    <row r="287">
      <c r="F287" s="27" t="n"/>
      <c r="G287" s="27" t="n"/>
    </row>
    <row r="288">
      <c r="F288" s="27" t="n"/>
      <c r="G288" s="27" t="n"/>
    </row>
    <row r="289">
      <c r="F289" s="27" t="n"/>
      <c r="G289" s="27" t="n"/>
    </row>
    <row r="290">
      <c r="F290" s="27" t="n"/>
      <c r="G290" s="27" t="n"/>
    </row>
    <row r="291">
      <c r="F291" s="27" t="n"/>
      <c r="G291" s="27" t="n"/>
    </row>
    <row r="292">
      <c r="F292" s="27" t="n"/>
      <c r="G292" s="27" t="n"/>
    </row>
    <row r="293">
      <c r="F293" s="27" t="n"/>
      <c r="G293" s="27" t="n"/>
    </row>
    <row r="294">
      <c r="F294" s="27" t="n"/>
      <c r="G294" s="27" t="n"/>
    </row>
    <row r="295">
      <c r="F295" s="27" t="n"/>
      <c r="G295" s="27" t="n"/>
    </row>
    <row r="296">
      <c r="F296" s="27" t="n"/>
      <c r="G296" s="27" t="n"/>
    </row>
    <row r="297">
      <c r="F297" s="27" t="n"/>
      <c r="G297" s="27" t="n"/>
    </row>
    <row r="298">
      <c r="F298" s="27" t="n"/>
      <c r="G298" s="27" t="n"/>
    </row>
    <row r="299">
      <c r="F299" s="27" t="n"/>
      <c r="G299" s="27" t="n"/>
    </row>
    <row r="300">
      <c r="F300" s="27" t="n"/>
      <c r="G300" s="27" t="n"/>
    </row>
    <row r="301">
      <c r="F301" s="27" t="n"/>
      <c r="G301" s="27" t="n"/>
    </row>
    <row r="302">
      <c r="F302" s="27" t="n"/>
      <c r="G302" s="27" t="n"/>
    </row>
    <row r="303">
      <c r="F303" s="27" t="n"/>
      <c r="G303" s="27" t="n"/>
    </row>
    <row r="304">
      <c r="F304" s="27" t="n"/>
      <c r="G304" s="27" t="n"/>
    </row>
    <row r="305">
      <c r="F305" s="27" t="n"/>
      <c r="G305" s="27" t="n"/>
    </row>
    <row r="306">
      <c r="F306" s="27" t="n"/>
      <c r="G306" s="27" t="n"/>
    </row>
    <row r="307">
      <c r="F307" s="27" t="n"/>
      <c r="G307" s="27" t="n"/>
    </row>
    <row r="308">
      <c r="F308" s="27" t="n"/>
      <c r="G308" s="27" t="n"/>
    </row>
    <row r="309">
      <c r="F309" s="27" t="n"/>
      <c r="G309" s="27" t="n"/>
    </row>
    <row r="310">
      <c r="F310" s="27" t="n"/>
      <c r="G310" s="27" t="n"/>
    </row>
    <row r="311">
      <c r="F311" s="27" t="n"/>
      <c r="G311" s="27" t="n"/>
    </row>
    <row r="312">
      <c r="F312" s="27" t="n"/>
      <c r="G312" s="27" t="n"/>
    </row>
    <row r="313">
      <c r="F313" s="27" t="n"/>
      <c r="G313" s="27" t="n"/>
    </row>
    <row r="314">
      <c r="F314" s="27" t="n"/>
      <c r="G314" s="27" t="n"/>
    </row>
    <row r="315">
      <c r="F315" s="27" t="n"/>
      <c r="G315" s="27" t="n"/>
    </row>
    <row r="316">
      <c r="F316" s="27" t="n"/>
      <c r="G316" s="27" t="n"/>
    </row>
    <row r="317">
      <c r="F317" s="27" t="n"/>
      <c r="G317" s="27" t="n"/>
    </row>
    <row r="318">
      <c r="F318" s="27" t="n"/>
      <c r="G318" s="27" t="n"/>
    </row>
    <row r="319">
      <c r="F319" s="27" t="n"/>
      <c r="G319" s="27" t="n"/>
    </row>
    <row r="320">
      <c r="F320" s="27" t="n"/>
      <c r="G320" s="27" t="n"/>
    </row>
    <row r="321">
      <c r="F321" s="27" t="n"/>
      <c r="G321" s="27" t="n"/>
    </row>
    <row r="322">
      <c r="F322" s="27" t="n"/>
      <c r="G322" s="27" t="n"/>
    </row>
    <row r="323">
      <c r="F323" s="27" t="n"/>
      <c r="G323" s="27" t="n"/>
    </row>
    <row r="324">
      <c r="F324" s="27" t="n"/>
      <c r="G324" s="27" t="n"/>
    </row>
    <row r="325">
      <c r="F325" s="27" t="n"/>
      <c r="G325" s="27" t="n"/>
    </row>
    <row r="326">
      <c r="F326" s="27" t="n"/>
      <c r="G326" s="27" t="n"/>
    </row>
    <row r="327">
      <c r="F327" s="27" t="n"/>
      <c r="G327" s="27" t="n"/>
    </row>
    <row r="328">
      <c r="F328" s="27" t="n"/>
      <c r="G328" s="27" t="n"/>
    </row>
    <row r="329">
      <c r="F329" s="27" t="n"/>
      <c r="G329" s="27" t="n"/>
    </row>
    <row r="330">
      <c r="F330" s="27" t="n"/>
      <c r="G330" s="27" t="n"/>
    </row>
    <row r="331">
      <c r="F331" s="27" t="n"/>
      <c r="G331" s="27" t="n"/>
    </row>
    <row r="332">
      <c r="F332" s="27" t="n"/>
      <c r="G332" s="27" t="n"/>
    </row>
    <row r="333">
      <c r="F333" s="27" t="n"/>
      <c r="G333" s="27" t="n"/>
    </row>
    <row r="334">
      <c r="F334" s="27" t="n"/>
      <c r="G334" s="27" t="n"/>
    </row>
    <row r="335">
      <c r="F335" s="27" t="n"/>
      <c r="G335" s="27" t="n"/>
    </row>
    <row r="336">
      <c r="F336" s="27" t="n"/>
      <c r="G336" s="27" t="n"/>
    </row>
    <row r="337">
      <c r="F337" s="27" t="n"/>
      <c r="G337" s="27" t="n"/>
    </row>
    <row r="338">
      <c r="F338" s="27" t="n"/>
      <c r="G338" s="27" t="n"/>
    </row>
    <row r="339">
      <c r="F339" s="27" t="n"/>
      <c r="G339" s="27" t="n"/>
    </row>
    <row r="340">
      <c r="F340" s="27" t="n"/>
      <c r="G340" s="27" t="n"/>
    </row>
    <row r="341">
      <c r="F341" s="27" t="n"/>
      <c r="G341" s="27" t="n"/>
    </row>
    <row r="342">
      <c r="F342" s="27" t="n"/>
      <c r="G342" s="27" t="n"/>
    </row>
    <row r="343">
      <c r="F343" s="27" t="n"/>
      <c r="G343" s="27" t="n"/>
    </row>
    <row r="344">
      <c r="F344" s="27" t="n"/>
      <c r="G344" s="27" t="n"/>
    </row>
    <row r="345">
      <c r="F345" s="27" t="n"/>
      <c r="G345" s="27" t="n"/>
    </row>
    <row r="346">
      <c r="F346" s="27" t="n"/>
      <c r="G346" s="27" t="n"/>
    </row>
    <row r="347">
      <c r="F347" s="27" t="n"/>
      <c r="G347" s="27" t="n"/>
    </row>
    <row r="348">
      <c r="F348" s="27" t="n"/>
      <c r="G348" s="27" t="n"/>
    </row>
    <row r="349">
      <c r="F349" s="27" t="n"/>
      <c r="G349" s="27" t="n"/>
    </row>
    <row r="350">
      <c r="F350" s="27" t="n"/>
      <c r="G350" s="27" t="n"/>
    </row>
    <row r="351">
      <c r="F351" s="27" t="n"/>
      <c r="G351" s="27" t="n"/>
    </row>
    <row r="352">
      <c r="F352" s="27" t="n"/>
      <c r="G352" s="27" t="n"/>
    </row>
    <row r="353">
      <c r="F353" s="27" t="n"/>
      <c r="G353" s="27" t="n"/>
    </row>
    <row r="354">
      <c r="F354" s="27" t="n"/>
      <c r="G354" s="27" t="n"/>
    </row>
    <row r="355">
      <c r="F355" s="27" t="n"/>
      <c r="G355" s="27" t="n"/>
    </row>
    <row r="356">
      <c r="F356" s="27" t="n"/>
      <c r="G356" s="27" t="n"/>
    </row>
    <row r="357">
      <c r="F357" s="27" t="n"/>
      <c r="G357" s="27" t="n"/>
    </row>
    <row r="358">
      <c r="F358" s="27" t="n"/>
      <c r="G358" s="27" t="n"/>
    </row>
    <row r="359">
      <c r="F359" s="27" t="n"/>
      <c r="G359" s="27" t="n"/>
    </row>
    <row r="360">
      <c r="F360" s="27" t="n"/>
      <c r="G360" s="27" t="n"/>
    </row>
    <row r="361">
      <c r="F361" s="27" t="n"/>
      <c r="G361" s="27" t="n"/>
    </row>
    <row r="362">
      <c r="F362" s="27" t="n"/>
      <c r="G362" s="27" t="n"/>
    </row>
    <row r="363">
      <c r="F363" s="27" t="n"/>
      <c r="G363" s="27" t="n"/>
    </row>
    <row r="364">
      <c r="F364" s="27" t="n"/>
      <c r="G364" s="27" t="n"/>
    </row>
    <row r="365">
      <c r="F365" s="27" t="n"/>
      <c r="G365" s="27" t="n"/>
    </row>
    <row r="366">
      <c r="F366" s="27" t="n"/>
      <c r="G366" s="27" t="n"/>
    </row>
    <row r="367">
      <c r="F367" s="27" t="n"/>
      <c r="G367" s="27" t="n"/>
    </row>
    <row r="368">
      <c r="F368" s="27" t="n"/>
      <c r="G368" s="27" t="n"/>
    </row>
    <row r="369">
      <c r="F369" s="27" t="n"/>
      <c r="G369" s="27" t="n"/>
    </row>
    <row r="370">
      <c r="F370" s="27" t="n"/>
      <c r="G370" s="27" t="n"/>
    </row>
    <row r="371">
      <c r="F371" s="27" t="n"/>
      <c r="G371" s="27" t="n"/>
    </row>
    <row r="372">
      <c r="F372" s="27" t="n"/>
      <c r="G372" s="27" t="n"/>
    </row>
    <row r="373">
      <c r="F373" s="27" t="n"/>
      <c r="G373" s="27" t="n"/>
    </row>
    <row r="374">
      <c r="F374" s="27" t="n"/>
      <c r="G374" s="27" t="n"/>
    </row>
    <row r="375">
      <c r="F375" s="27" t="n"/>
      <c r="G375" s="27" t="n"/>
    </row>
    <row r="376">
      <c r="F376" s="27" t="n"/>
      <c r="G376" s="27" t="n"/>
    </row>
    <row r="377">
      <c r="F377" s="27" t="n"/>
      <c r="G377" s="27" t="n"/>
    </row>
    <row r="378">
      <c r="F378" s="27" t="n"/>
      <c r="G378" s="27" t="n"/>
    </row>
    <row r="379">
      <c r="F379" s="27" t="n"/>
      <c r="G379" s="27" t="n"/>
    </row>
    <row r="380">
      <c r="F380" s="27" t="n"/>
      <c r="G380" s="27" t="n"/>
    </row>
    <row r="381">
      <c r="F381" s="27" t="n"/>
      <c r="G381" s="27" t="n"/>
    </row>
    <row r="382">
      <c r="F382" s="27" t="n"/>
      <c r="G382" s="27" t="n"/>
    </row>
    <row r="383">
      <c r="F383" s="27" t="n"/>
      <c r="G383" s="27" t="n"/>
    </row>
    <row r="384">
      <c r="F384" s="27" t="n"/>
      <c r="G384" s="27" t="n"/>
    </row>
    <row r="385">
      <c r="F385" s="27" t="n"/>
      <c r="G385" s="27" t="n"/>
    </row>
    <row r="386">
      <c r="F386" s="27" t="n"/>
      <c r="G386" s="27" t="n"/>
    </row>
    <row r="387">
      <c r="F387" s="27" t="n"/>
      <c r="G387" s="27" t="n"/>
    </row>
    <row r="388">
      <c r="F388" s="27" t="n"/>
      <c r="G388" s="27" t="n"/>
    </row>
    <row r="389">
      <c r="F389" s="27" t="n"/>
      <c r="G389" s="27" t="n"/>
    </row>
    <row r="390">
      <c r="F390" s="27" t="n"/>
      <c r="G390" s="27" t="n"/>
    </row>
    <row r="391">
      <c r="F391" s="27" t="n"/>
      <c r="G391" s="27" t="n"/>
    </row>
    <row r="392">
      <c r="F392" s="27" t="n"/>
      <c r="G392" s="27" t="n"/>
    </row>
    <row r="393">
      <c r="F393" s="27" t="n"/>
      <c r="G393" s="27" t="n"/>
    </row>
    <row r="394">
      <c r="F394" s="27" t="n"/>
      <c r="G394" s="27" t="n"/>
    </row>
    <row r="395">
      <c r="F395" s="27" t="n"/>
      <c r="G395" s="27" t="n"/>
    </row>
    <row r="396">
      <c r="F396" s="27" t="n"/>
      <c r="G396" s="27" t="n"/>
    </row>
    <row r="397">
      <c r="F397" s="27" t="n"/>
      <c r="G397" s="27" t="n"/>
    </row>
    <row r="398">
      <c r="F398" s="27" t="n"/>
      <c r="G398" s="27" t="n"/>
    </row>
    <row r="399">
      <c r="F399" s="27" t="n"/>
      <c r="G399" s="27" t="n"/>
    </row>
    <row r="400">
      <c r="F400" s="27" t="n"/>
      <c r="G400" s="27" t="n"/>
    </row>
    <row r="401">
      <c r="F401" s="27" t="n"/>
      <c r="G401" s="27" t="n"/>
    </row>
    <row r="402">
      <c r="F402" s="27" t="n"/>
      <c r="G402" s="27" t="n"/>
    </row>
    <row r="403">
      <c r="F403" s="27" t="n"/>
      <c r="G403" s="27" t="n"/>
    </row>
    <row r="404">
      <c r="F404" s="27" t="n"/>
      <c r="G404" s="27" t="n"/>
    </row>
    <row r="405">
      <c r="F405" s="27" t="n"/>
      <c r="G405" s="27" t="n"/>
    </row>
    <row r="406">
      <c r="F406" s="27" t="n"/>
      <c r="G406" s="27" t="n"/>
    </row>
    <row r="407">
      <c r="F407" s="27" t="n"/>
      <c r="G407" s="27" t="n"/>
    </row>
    <row r="408">
      <c r="F408" s="27" t="n"/>
      <c r="G408" s="27" t="n"/>
    </row>
    <row r="409">
      <c r="F409" s="27" t="n"/>
      <c r="G409" s="27" t="n"/>
    </row>
    <row r="410">
      <c r="F410" s="27" t="n"/>
      <c r="G410" s="27" t="n"/>
    </row>
    <row r="411">
      <c r="F411" s="27" t="n"/>
      <c r="G411" s="27" t="n"/>
    </row>
    <row r="412">
      <c r="F412" s="27" t="n"/>
      <c r="G412" s="27" t="n"/>
    </row>
    <row r="413">
      <c r="F413" s="27" t="n"/>
      <c r="G413" s="27" t="n"/>
    </row>
    <row r="414">
      <c r="F414" s="27" t="n"/>
      <c r="G414" s="27" t="n"/>
    </row>
    <row r="415">
      <c r="F415" s="27" t="n"/>
      <c r="G415" s="27" t="n"/>
    </row>
    <row r="416">
      <c r="F416" s="27" t="n"/>
      <c r="G416" s="27" t="n"/>
    </row>
    <row r="417">
      <c r="F417" s="27" t="n"/>
      <c r="G417" s="27" t="n"/>
    </row>
    <row r="418">
      <c r="F418" s="27" t="n"/>
      <c r="G418" s="27" t="n"/>
    </row>
    <row r="419">
      <c r="F419" s="27" t="n"/>
      <c r="G419" s="27" t="n"/>
    </row>
    <row r="420">
      <c r="F420" s="27" t="n"/>
      <c r="G420" s="27" t="n"/>
    </row>
    <row r="421">
      <c r="F421" s="27" t="n"/>
      <c r="G421" s="27" t="n"/>
    </row>
    <row r="422">
      <c r="F422" s="27" t="n"/>
      <c r="G422" s="27" t="n"/>
    </row>
    <row r="423">
      <c r="F423" s="27" t="n"/>
      <c r="G423" s="27" t="n"/>
    </row>
    <row r="424">
      <c r="F424" s="27" t="n"/>
      <c r="G424" s="27" t="n"/>
    </row>
    <row r="425">
      <c r="F425" s="27" t="n"/>
      <c r="G425" s="27" t="n"/>
    </row>
    <row r="426">
      <c r="F426" s="27" t="n"/>
      <c r="G426" s="27" t="n"/>
    </row>
    <row r="427">
      <c r="F427" s="27" t="n"/>
      <c r="G427" s="27" t="n"/>
    </row>
    <row r="428">
      <c r="F428" s="27" t="n"/>
      <c r="G428" s="27" t="n"/>
    </row>
    <row r="429">
      <c r="F429" s="27" t="n"/>
      <c r="G429" s="27" t="n"/>
    </row>
    <row r="430">
      <c r="F430" s="27" t="n"/>
      <c r="G430" s="27" t="n"/>
    </row>
    <row r="431">
      <c r="F431" s="27" t="n"/>
      <c r="G431" s="27" t="n"/>
    </row>
    <row r="432">
      <c r="F432" s="27" t="n"/>
      <c r="G432" s="27" t="n"/>
    </row>
    <row r="433">
      <c r="F433" s="27" t="n"/>
      <c r="G433" s="27" t="n"/>
    </row>
    <row r="434">
      <c r="F434" s="27" t="n"/>
      <c r="G434" s="27" t="n"/>
    </row>
    <row r="435">
      <c r="F435" s="27" t="n"/>
      <c r="G435" s="27" t="n"/>
    </row>
    <row r="436">
      <c r="F436" s="27" t="n"/>
      <c r="G436" s="27" t="n"/>
    </row>
    <row r="437">
      <c r="F437" s="27" t="n"/>
      <c r="G437" s="27" t="n"/>
    </row>
    <row r="438">
      <c r="F438" s="27" t="n"/>
      <c r="G438" s="27" t="n"/>
    </row>
    <row r="439">
      <c r="F439" s="27" t="n"/>
      <c r="G439" s="27" t="n"/>
    </row>
    <row r="440">
      <c r="F440" s="27" t="n"/>
      <c r="G440" s="27" t="n"/>
    </row>
    <row r="441">
      <c r="F441" s="27" t="n"/>
      <c r="G441" s="27" t="n"/>
    </row>
    <row r="442">
      <c r="F442" s="27" t="n"/>
      <c r="G442" s="27" t="n"/>
    </row>
    <row r="443">
      <c r="F443" s="27" t="n"/>
      <c r="G443" s="27" t="n"/>
    </row>
    <row r="444">
      <c r="F444" s="27" t="n"/>
      <c r="G444" s="27" t="n"/>
    </row>
    <row r="445">
      <c r="F445" s="27" t="n"/>
      <c r="G445" s="27" t="n"/>
    </row>
    <row r="446">
      <c r="F446" s="27" t="n"/>
      <c r="G446" s="27" t="n"/>
    </row>
    <row r="447">
      <c r="F447" s="27" t="n"/>
      <c r="G447" s="27" t="n"/>
    </row>
    <row r="448">
      <c r="F448" s="27" t="n"/>
      <c r="G448" s="27" t="n"/>
    </row>
    <row r="449">
      <c r="F449" s="27" t="n"/>
      <c r="G449" s="27" t="n"/>
    </row>
    <row r="450">
      <c r="F450" s="27" t="n"/>
      <c r="G450" s="27" t="n"/>
    </row>
    <row r="451">
      <c r="F451" s="27" t="n"/>
      <c r="G451" s="27" t="n"/>
    </row>
    <row r="452">
      <c r="F452" s="27" t="n"/>
      <c r="G452" s="27" t="n"/>
    </row>
    <row r="453">
      <c r="F453" s="27" t="n"/>
      <c r="G453" s="27" t="n"/>
    </row>
    <row r="454">
      <c r="F454" s="27" t="n"/>
      <c r="G454" s="27" t="n"/>
    </row>
    <row r="455">
      <c r="F455" s="27" t="n"/>
      <c r="G455" s="27" t="n"/>
    </row>
    <row r="456">
      <c r="F456" s="27" t="n"/>
      <c r="G456" s="27" t="n"/>
    </row>
    <row r="457">
      <c r="F457" s="27" t="n"/>
      <c r="G457" s="27" t="n"/>
    </row>
    <row r="458">
      <c r="F458" s="27" t="n"/>
      <c r="G458" s="27" t="n"/>
    </row>
    <row r="459">
      <c r="F459" s="27" t="n"/>
      <c r="G459" s="27" t="n"/>
    </row>
    <row r="460">
      <c r="F460" s="27" t="n"/>
      <c r="G460" s="27" t="n"/>
    </row>
    <row r="461">
      <c r="F461" s="27" t="n"/>
      <c r="G461" s="27" t="n"/>
    </row>
    <row r="462">
      <c r="F462" s="27" t="n"/>
      <c r="G462" s="27" t="n"/>
    </row>
    <row r="463">
      <c r="F463" s="27" t="n"/>
      <c r="G463" s="27" t="n"/>
    </row>
    <row r="464">
      <c r="F464" s="27" t="n"/>
      <c r="G464" s="27" t="n"/>
    </row>
    <row r="465">
      <c r="F465" s="27" t="n"/>
      <c r="G465" s="27" t="n"/>
    </row>
    <row r="466">
      <c r="F466" s="27" t="n"/>
      <c r="G466" s="27" t="n"/>
    </row>
    <row r="467">
      <c r="F467" s="27" t="n"/>
      <c r="G467" s="27" t="n"/>
    </row>
    <row r="468">
      <c r="F468" s="27" t="n"/>
      <c r="G468" s="27" t="n"/>
    </row>
    <row r="469">
      <c r="F469" s="27" t="n"/>
      <c r="G469" s="27" t="n"/>
    </row>
    <row r="470">
      <c r="F470" s="27" t="n"/>
      <c r="G470" s="27" t="n"/>
    </row>
    <row r="471">
      <c r="F471" s="27" t="n"/>
      <c r="G471" s="27" t="n"/>
    </row>
    <row r="472">
      <c r="F472" s="27" t="n"/>
      <c r="G472" s="27" t="n"/>
    </row>
    <row r="473">
      <c r="F473" s="27" t="n"/>
      <c r="G473" s="27" t="n"/>
    </row>
    <row r="474">
      <c r="F474" s="27" t="n"/>
      <c r="G474" s="27" t="n"/>
    </row>
    <row r="475">
      <c r="F475" s="27" t="n"/>
      <c r="G475" s="27" t="n"/>
    </row>
    <row r="476">
      <c r="F476" s="27" t="n"/>
      <c r="G476" s="27" t="n"/>
    </row>
    <row r="477">
      <c r="F477" s="27" t="n"/>
      <c r="G477" s="27" t="n"/>
    </row>
    <row r="478">
      <c r="F478" s="27" t="n"/>
      <c r="G478" s="27" t="n"/>
    </row>
    <row r="479">
      <c r="F479" s="27" t="n"/>
      <c r="G479" s="27" t="n"/>
    </row>
    <row r="480">
      <c r="F480" s="27" t="n"/>
      <c r="G480" s="27" t="n"/>
    </row>
    <row r="481">
      <c r="F481" s="27" t="n"/>
      <c r="G481" s="27" t="n"/>
    </row>
    <row r="482">
      <c r="F482" s="27" t="n"/>
      <c r="G482" s="27" t="n"/>
    </row>
    <row r="483">
      <c r="F483" s="27" t="n"/>
      <c r="G483" s="27" t="n"/>
    </row>
    <row r="484">
      <c r="F484" s="27" t="n"/>
      <c r="G484" s="27" t="n"/>
    </row>
    <row r="485">
      <c r="F485" s="27" t="n"/>
      <c r="G485" s="27" t="n"/>
    </row>
    <row r="486">
      <c r="F486" s="27" t="n"/>
      <c r="G486" s="27" t="n"/>
    </row>
    <row r="487">
      <c r="F487" s="27" t="n"/>
      <c r="G487" s="27" t="n"/>
    </row>
    <row r="488">
      <c r="F488" s="27" t="n"/>
      <c r="G488" s="27" t="n"/>
    </row>
    <row r="489">
      <c r="F489" s="27" t="n"/>
      <c r="G489" s="27" t="n"/>
    </row>
    <row r="490">
      <c r="F490" s="27" t="n"/>
      <c r="G490" s="27" t="n"/>
    </row>
    <row r="491">
      <c r="F491" s="27" t="n"/>
      <c r="G491" s="27" t="n"/>
    </row>
    <row r="492">
      <c r="F492" s="27" t="n"/>
      <c r="G492" s="27" t="n"/>
    </row>
    <row r="493">
      <c r="F493" s="27" t="n"/>
      <c r="G493" s="27" t="n"/>
    </row>
    <row r="494">
      <c r="F494" s="27" t="n"/>
      <c r="G494" s="27" t="n"/>
    </row>
    <row r="495">
      <c r="F495" s="27" t="n"/>
      <c r="G495" s="27" t="n"/>
    </row>
    <row r="496">
      <c r="F496" s="27" t="n"/>
      <c r="G496" s="27" t="n"/>
    </row>
    <row r="497">
      <c r="F497" s="27" t="n"/>
      <c r="G497" s="27" t="n"/>
    </row>
    <row r="498">
      <c r="F498" s="27" t="n"/>
      <c r="G498" s="27" t="n"/>
    </row>
    <row r="499">
      <c r="F499" s="27" t="n"/>
      <c r="G499" s="27" t="n"/>
    </row>
    <row r="500">
      <c r="F500" s="27" t="n"/>
      <c r="G500" s="27" t="n"/>
    </row>
    <row r="501">
      <c r="F501" s="27" t="n"/>
      <c r="G501" s="27" t="n"/>
    </row>
    <row r="502">
      <c r="F502" s="27" t="n"/>
      <c r="G502" s="27" t="n"/>
    </row>
    <row r="503">
      <c r="F503" s="27" t="n"/>
      <c r="G503" s="27" t="n"/>
    </row>
    <row r="504">
      <c r="F504" s="27" t="n"/>
      <c r="G504" s="27" t="n"/>
    </row>
    <row r="505">
      <c r="F505" s="27" t="n"/>
      <c r="G505" s="27" t="n"/>
    </row>
    <row r="506">
      <c r="F506" s="27" t="n"/>
      <c r="G506" s="27" t="n"/>
    </row>
    <row r="507">
      <c r="F507" s="27" t="n"/>
      <c r="G507" s="27" t="n"/>
    </row>
    <row r="508">
      <c r="F508" s="27" t="n"/>
      <c r="G508" s="27" t="n"/>
    </row>
    <row r="509">
      <c r="F509" s="27" t="n"/>
      <c r="G509" s="27" t="n"/>
    </row>
    <row r="510">
      <c r="F510" s="27" t="n"/>
      <c r="G510" s="27" t="n"/>
    </row>
    <row r="511">
      <c r="F511" s="27" t="n"/>
      <c r="G511" s="27" t="n"/>
    </row>
    <row r="512">
      <c r="F512" s="27" t="n"/>
      <c r="G512" s="27" t="n"/>
    </row>
    <row r="513">
      <c r="F513" s="27" t="n"/>
      <c r="G513" s="27" t="n"/>
    </row>
    <row r="514">
      <c r="F514" s="27" t="n"/>
      <c r="G514" s="27" t="n"/>
    </row>
    <row r="515">
      <c r="F515" s="27" t="n"/>
      <c r="G515" s="27" t="n"/>
    </row>
    <row r="516">
      <c r="F516" s="27" t="n"/>
      <c r="G516" s="27" t="n"/>
    </row>
    <row r="517">
      <c r="F517" s="27" t="n"/>
      <c r="G517" s="27" t="n"/>
    </row>
    <row r="518">
      <c r="F518" s="27" t="n"/>
      <c r="G518" s="27" t="n"/>
    </row>
    <row r="519">
      <c r="F519" s="27" t="n"/>
      <c r="G519" s="27" t="n"/>
    </row>
    <row r="520">
      <c r="F520" s="27" t="n"/>
      <c r="G520" s="27" t="n"/>
    </row>
    <row r="521">
      <c r="F521" s="27" t="n"/>
      <c r="G521" s="27" t="n"/>
    </row>
    <row r="522">
      <c r="F522" s="27" t="n"/>
      <c r="G522" s="27" t="n"/>
    </row>
    <row r="523">
      <c r="F523" s="27" t="n"/>
      <c r="G523" s="27" t="n"/>
    </row>
    <row r="524">
      <c r="F524" s="27" t="n"/>
      <c r="G524" s="27" t="n"/>
    </row>
    <row r="525">
      <c r="F525" s="27" t="n"/>
      <c r="G525" s="27" t="n"/>
    </row>
    <row r="526">
      <c r="F526" s="27" t="n"/>
      <c r="G526" s="27" t="n"/>
    </row>
    <row r="527">
      <c r="F527" s="27" t="n"/>
      <c r="G527" s="27" t="n"/>
    </row>
    <row r="528">
      <c r="F528" s="27" t="n"/>
      <c r="G528" s="27" t="n"/>
    </row>
    <row r="529">
      <c r="F529" s="27" t="n"/>
      <c r="G529" s="27" t="n"/>
    </row>
    <row r="530">
      <c r="F530" s="27" t="n"/>
      <c r="G530" s="27" t="n"/>
    </row>
    <row r="531">
      <c r="F531" s="27" t="n"/>
      <c r="G531" s="27" t="n"/>
    </row>
    <row r="532">
      <c r="F532" s="27" t="n"/>
      <c r="G532" s="27" t="n"/>
    </row>
    <row r="533">
      <c r="F533" s="27" t="n"/>
      <c r="G533" s="27" t="n"/>
    </row>
    <row r="534">
      <c r="F534" s="27" t="n"/>
      <c r="G534" s="27" t="n"/>
    </row>
    <row r="535">
      <c r="F535" s="27" t="n"/>
      <c r="G535" s="27" t="n"/>
    </row>
    <row r="536">
      <c r="F536" s="27" t="n"/>
      <c r="G536" s="27" t="n"/>
    </row>
    <row r="537">
      <c r="F537" s="27" t="n"/>
      <c r="G537" s="27" t="n"/>
    </row>
    <row r="538">
      <c r="F538" s="27" t="n"/>
      <c r="G538" s="27" t="n"/>
    </row>
    <row r="539">
      <c r="F539" s="27" t="n"/>
      <c r="G539" s="27" t="n"/>
    </row>
    <row r="540">
      <c r="F540" s="27" t="n"/>
      <c r="G540" s="27" t="n"/>
    </row>
    <row r="541">
      <c r="F541" s="27" t="n"/>
      <c r="G541" s="27" t="n"/>
    </row>
    <row r="542">
      <c r="F542" s="27" t="n"/>
      <c r="G542" s="27" t="n"/>
    </row>
    <row r="543">
      <c r="F543" s="27" t="n"/>
      <c r="G543" s="27" t="n"/>
    </row>
    <row r="544">
      <c r="F544" s="27" t="n"/>
      <c r="G544" s="27" t="n"/>
    </row>
    <row r="545">
      <c r="F545" s="27" t="n"/>
      <c r="G545" s="27" t="n"/>
    </row>
    <row r="546">
      <c r="F546" s="27" t="n"/>
      <c r="G546" s="27" t="n"/>
    </row>
    <row r="547">
      <c r="F547" s="27" t="n"/>
      <c r="G547" s="27" t="n"/>
    </row>
    <row r="548">
      <c r="F548" s="27" t="n"/>
      <c r="G548" s="27" t="n"/>
    </row>
    <row r="549">
      <c r="F549" s="27" t="n"/>
      <c r="G549" s="27" t="n"/>
    </row>
    <row r="550">
      <c r="F550" s="27" t="n"/>
      <c r="G550" s="27" t="n"/>
    </row>
    <row r="551">
      <c r="F551" s="27" t="n"/>
      <c r="G551" s="27" t="n"/>
    </row>
    <row r="552">
      <c r="F552" s="27" t="n"/>
      <c r="G552" s="27" t="n"/>
    </row>
    <row r="553">
      <c r="F553" s="27" t="n"/>
      <c r="G553" s="27" t="n"/>
    </row>
    <row r="554">
      <c r="F554" s="27" t="n"/>
      <c r="G554" s="27" t="n"/>
    </row>
    <row r="555">
      <c r="F555" s="27" t="n"/>
      <c r="G555" s="27" t="n"/>
    </row>
    <row r="556">
      <c r="F556" s="27" t="n"/>
      <c r="G556" s="27" t="n"/>
    </row>
    <row r="557">
      <c r="F557" s="27" t="n"/>
      <c r="G557" s="27" t="n"/>
    </row>
    <row r="558">
      <c r="F558" s="27" t="n"/>
      <c r="G558" s="27" t="n"/>
    </row>
    <row r="559">
      <c r="F559" s="27" t="n"/>
      <c r="G559" s="27" t="n"/>
    </row>
    <row r="560">
      <c r="F560" s="27" t="n"/>
      <c r="G560" s="27" t="n"/>
    </row>
    <row r="561">
      <c r="F561" s="27" t="n"/>
      <c r="G561" s="27" t="n"/>
    </row>
    <row r="562">
      <c r="F562" s="27" t="n"/>
      <c r="G562" s="27" t="n"/>
    </row>
    <row r="563">
      <c r="F563" s="27" t="n"/>
      <c r="G563" s="27" t="n"/>
    </row>
    <row r="564">
      <c r="F564" s="27" t="n"/>
      <c r="G564" s="27" t="n"/>
    </row>
    <row r="565">
      <c r="F565" s="27" t="n"/>
      <c r="G565" s="27" t="n"/>
    </row>
    <row r="566">
      <c r="F566" s="27" t="n"/>
      <c r="G566" s="27" t="n"/>
    </row>
    <row r="567">
      <c r="F567" s="27" t="n"/>
      <c r="G567" s="27" t="n"/>
    </row>
    <row r="568">
      <c r="F568" s="27" t="n"/>
      <c r="G568" s="27" t="n"/>
    </row>
    <row r="569">
      <c r="F569" s="27" t="n"/>
      <c r="G569" s="27" t="n"/>
    </row>
    <row r="570">
      <c r="F570" s="27" t="n"/>
      <c r="G570" s="27" t="n"/>
    </row>
    <row r="571">
      <c r="F571" s="27" t="n"/>
      <c r="G571" s="27" t="n"/>
    </row>
    <row r="572">
      <c r="F572" s="27" t="n"/>
      <c r="G572" s="27" t="n"/>
    </row>
    <row r="573">
      <c r="F573" s="27" t="n"/>
      <c r="G573" s="27" t="n"/>
    </row>
    <row r="574">
      <c r="F574" s="27" t="n"/>
      <c r="G574" s="27" t="n"/>
    </row>
    <row r="575">
      <c r="F575" s="27" t="n"/>
      <c r="G575" s="27" t="n"/>
    </row>
    <row r="576">
      <c r="F576" s="27" t="n"/>
      <c r="G576" s="27" t="n"/>
    </row>
    <row r="577">
      <c r="F577" s="27" t="n"/>
      <c r="G577" s="27" t="n"/>
    </row>
    <row r="578">
      <c r="F578" s="27" t="n"/>
      <c r="G578" s="27" t="n"/>
    </row>
    <row r="579">
      <c r="F579" s="27" t="n"/>
      <c r="G579" s="27" t="n"/>
    </row>
    <row r="580">
      <c r="F580" s="27" t="n"/>
      <c r="G580" s="27" t="n"/>
    </row>
    <row r="581">
      <c r="F581" s="27" t="n"/>
      <c r="G581" s="27" t="n"/>
    </row>
    <row r="582">
      <c r="F582" s="27" t="n"/>
      <c r="G582" s="27" t="n"/>
    </row>
    <row r="583">
      <c r="F583" s="27" t="n"/>
      <c r="G583" s="27" t="n"/>
    </row>
    <row r="584">
      <c r="F584" s="27" t="n"/>
      <c r="G584" s="27" t="n"/>
    </row>
    <row r="585">
      <c r="F585" s="27" t="n"/>
      <c r="G585" s="27" t="n"/>
    </row>
    <row r="586">
      <c r="F586" s="27" t="n"/>
      <c r="G586" s="27" t="n"/>
    </row>
    <row r="587">
      <c r="F587" s="27" t="n"/>
      <c r="G587" s="27" t="n"/>
    </row>
    <row r="588">
      <c r="F588" s="27" t="n"/>
      <c r="G588" s="27" t="n"/>
    </row>
    <row r="589">
      <c r="F589" s="27" t="n"/>
      <c r="G589" s="27" t="n"/>
    </row>
    <row r="590">
      <c r="F590" s="27" t="n"/>
      <c r="G590" s="27" t="n"/>
    </row>
    <row r="591">
      <c r="F591" s="27" t="n"/>
      <c r="G591" s="27" t="n"/>
    </row>
    <row r="592">
      <c r="F592" s="27" t="n"/>
      <c r="G592" s="27" t="n"/>
    </row>
    <row r="593">
      <c r="F593" s="27" t="n"/>
      <c r="G593" s="27" t="n"/>
    </row>
    <row r="594">
      <c r="F594" s="27" t="n"/>
      <c r="G594" s="27" t="n"/>
    </row>
    <row r="595">
      <c r="F595" s="27" t="n"/>
      <c r="G595" s="27" t="n"/>
    </row>
    <row r="596">
      <c r="F596" s="27" t="n"/>
      <c r="G596" s="27" t="n"/>
    </row>
    <row r="597">
      <c r="F597" s="27" t="n"/>
      <c r="G597" s="27" t="n"/>
    </row>
    <row r="598">
      <c r="F598" s="27" t="n"/>
      <c r="G598" s="27" t="n"/>
    </row>
    <row r="599">
      <c r="F599" s="27" t="n"/>
      <c r="G599" s="27" t="n"/>
    </row>
    <row r="600">
      <c r="F600" s="27" t="n"/>
      <c r="G600" s="27" t="n"/>
    </row>
    <row r="601">
      <c r="F601" s="27" t="n"/>
      <c r="G601" s="27" t="n"/>
    </row>
    <row r="602">
      <c r="F602" s="27" t="n"/>
      <c r="G602" s="27" t="n"/>
    </row>
    <row r="603">
      <c r="F603" s="27" t="n"/>
      <c r="G603" s="27" t="n"/>
    </row>
    <row r="604">
      <c r="F604" s="27" t="n"/>
      <c r="G604" s="27" t="n"/>
    </row>
    <row r="605">
      <c r="F605" s="27" t="n"/>
      <c r="G605" s="27" t="n"/>
    </row>
    <row r="606">
      <c r="F606" s="27" t="n"/>
      <c r="G606" s="27" t="n"/>
    </row>
    <row r="607">
      <c r="F607" s="27" t="n"/>
      <c r="G607" s="27" t="n"/>
    </row>
    <row r="608">
      <c r="F608" s="27" t="n"/>
      <c r="G608" s="27" t="n"/>
    </row>
    <row r="609">
      <c r="F609" s="27" t="n"/>
      <c r="G609" s="27" t="n"/>
    </row>
    <row r="610">
      <c r="F610" s="27" t="n"/>
      <c r="G610" s="27" t="n"/>
    </row>
    <row r="611">
      <c r="F611" s="27" t="n"/>
      <c r="G611" s="27" t="n"/>
    </row>
    <row r="612">
      <c r="F612" s="27" t="n"/>
      <c r="G612" s="27" t="n"/>
    </row>
    <row r="613">
      <c r="F613" s="27" t="n"/>
      <c r="G613" s="27" t="n"/>
    </row>
    <row r="614">
      <c r="F614" s="27" t="n"/>
      <c r="G614" s="27" t="n"/>
    </row>
    <row r="615">
      <c r="F615" s="27" t="n"/>
      <c r="G615" s="27" t="n"/>
    </row>
    <row r="616">
      <c r="F616" s="27" t="n"/>
      <c r="G616" s="27" t="n"/>
    </row>
    <row r="617">
      <c r="F617" s="27" t="n"/>
      <c r="G617" s="27" t="n"/>
    </row>
    <row r="618">
      <c r="F618" s="27" t="n"/>
      <c r="G618" s="27" t="n"/>
    </row>
    <row r="619">
      <c r="F619" s="27" t="n"/>
      <c r="G619" s="27" t="n"/>
    </row>
    <row r="620">
      <c r="F620" s="27" t="n"/>
      <c r="G620" s="27" t="n"/>
    </row>
    <row r="621">
      <c r="F621" s="27" t="n"/>
      <c r="G621" s="27" t="n"/>
    </row>
    <row r="622">
      <c r="F622" s="27" t="n"/>
      <c r="G622" s="27" t="n"/>
    </row>
    <row r="623">
      <c r="F623" s="27" t="n"/>
      <c r="G623" s="27" t="n"/>
    </row>
    <row r="624">
      <c r="F624" s="27" t="n"/>
      <c r="G624" s="27" t="n"/>
    </row>
    <row r="625">
      <c r="F625" s="27" t="n"/>
      <c r="G625" s="27" t="n"/>
    </row>
    <row r="626">
      <c r="F626" s="27" t="n"/>
      <c r="G626" s="27" t="n"/>
    </row>
    <row r="627">
      <c r="F627" s="27" t="n"/>
      <c r="G627" s="27" t="n"/>
    </row>
    <row r="628">
      <c r="F628" s="27" t="n"/>
      <c r="G628" s="27" t="n"/>
    </row>
    <row r="629">
      <c r="F629" s="27" t="n"/>
      <c r="G629" s="27" t="n"/>
    </row>
    <row r="630">
      <c r="F630" s="27" t="n"/>
      <c r="G630" s="27" t="n"/>
    </row>
    <row r="631">
      <c r="F631" s="27" t="n"/>
      <c r="G631" s="27" t="n"/>
    </row>
    <row r="632">
      <c r="F632" s="27" t="n"/>
      <c r="G632" s="27" t="n"/>
    </row>
    <row r="633">
      <c r="F633" s="27" t="n"/>
      <c r="G633" s="27" t="n"/>
    </row>
    <row r="634">
      <c r="F634" s="27" t="n"/>
      <c r="G634" s="27" t="n"/>
    </row>
    <row r="635">
      <c r="F635" s="27" t="n"/>
      <c r="G635" s="27" t="n"/>
    </row>
    <row r="636">
      <c r="F636" s="27" t="n"/>
      <c r="G636" s="27" t="n"/>
    </row>
    <row r="637">
      <c r="F637" s="27" t="n"/>
      <c r="G637" s="27" t="n"/>
    </row>
    <row r="638">
      <c r="F638" s="27" t="n"/>
      <c r="G638" s="27" t="n"/>
    </row>
    <row r="639">
      <c r="F639" s="27" t="n"/>
      <c r="G639" s="27" t="n"/>
    </row>
    <row r="640">
      <c r="F640" s="27" t="n"/>
      <c r="G640" s="27" t="n"/>
    </row>
    <row r="641">
      <c r="F641" s="27" t="n"/>
      <c r="G641" s="27" t="n"/>
    </row>
    <row r="642">
      <c r="F642" s="27" t="n"/>
      <c r="G642" s="27" t="n"/>
    </row>
    <row r="643">
      <c r="F643" s="27" t="n"/>
      <c r="G643" s="27" t="n"/>
    </row>
    <row r="644">
      <c r="F644" s="27" t="n"/>
      <c r="G644" s="27" t="n"/>
    </row>
    <row r="645">
      <c r="F645" s="27" t="n"/>
      <c r="G645" s="27" t="n"/>
    </row>
    <row r="646">
      <c r="F646" s="27" t="n"/>
      <c r="G646" s="27" t="n"/>
    </row>
    <row r="647">
      <c r="F647" s="27" t="n"/>
      <c r="G647" s="27" t="n"/>
    </row>
    <row r="648">
      <c r="F648" s="27" t="n"/>
      <c r="G648" s="27" t="n"/>
    </row>
    <row r="649">
      <c r="F649" s="27" t="n"/>
      <c r="G649" s="27" t="n"/>
    </row>
    <row r="650">
      <c r="F650" s="27" t="n"/>
      <c r="G650" s="27" t="n"/>
    </row>
    <row r="651">
      <c r="F651" s="27" t="n"/>
      <c r="G651" s="27" t="n"/>
    </row>
    <row r="652">
      <c r="F652" s="27" t="n"/>
      <c r="G652" s="27" t="n"/>
    </row>
    <row r="653">
      <c r="F653" s="27" t="n"/>
      <c r="G653" s="27" t="n"/>
    </row>
    <row r="654">
      <c r="F654" s="27" t="n"/>
      <c r="G654" s="27" t="n"/>
    </row>
    <row r="655">
      <c r="F655" s="27" t="n"/>
      <c r="G655" s="27" t="n"/>
    </row>
    <row r="656">
      <c r="F656" s="27" t="n"/>
      <c r="G656" s="27" t="n"/>
    </row>
    <row r="657">
      <c r="F657" s="27" t="n"/>
      <c r="G657" s="27" t="n"/>
    </row>
    <row r="658">
      <c r="F658" s="27" t="n"/>
      <c r="G658" s="27" t="n"/>
    </row>
    <row r="659">
      <c r="F659" s="27" t="n"/>
      <c r="G659" s="27" t="n"/>
    </row>
    <row r="660">
      <c r="F660" s="27" t="n"/>
      <c r="G660" s="27" t="n"/>
    </row>
    <row r="661">
      <c r="F661" s="27" t="n"/>
      <c r="G661" s="27" t="n"/>
    </row>
    <row r="662">
      <c r="F662" s="27" t="n"/>
      <c r="G662" s="27" t="n"/>
    </row>
    <row r="663">
      <c r="F663" s="27" t="n"/>
      <c r="G663" s="27" t="n"/>
    </row>
    <row r="664">
      <c r="F664" s="27" t="n"/>
      <c r="G664" s="27" t="n"/>
    </row>
    <row r="665">
      <c r="F665" s="27" t="n"/>
      <c r="G665" s="27" t="n"/>
    </row>
    <row r="666">
      <c r="F666" s="27" t="n"/>
      <c r="G666" s="27" t="n"/>
    </row>
    <row r="667">
      <c r="F667" s="27" t="n"/>
      <c r="G667" s="27" t="n"/>
    </row>
    <row r="668">
      <c r="F668" s="27" t="n"/>
      <c r="G668" s="27" t="n"/>
    </row>
    <row r="669">
      <c r="F669" s="27" t="n"/>
      <c r="G669" s="27" t="n"/>
    </row>
    <row r="670">
      <c r="F670" s="27" t="n"/>
      <c r="G670" s="27" t="n"/>
    </row>
    <row r="671">
      <c r="F671" s="27" t="n"/>
      <c r="G671" s="27" t="n"/>
    </row>
    <row r="672">
      <c r="F672" s="27" t="n"/>
      <c r="G672" s="27" t="n"/>
    </row>
    <row r="673">
      <c r="F673" s="27" t="n"/>
      <c r="G673" s="27" t="n"/>
    </row>
    <row r="674">
      <c r="F674" s="27" t="n"/>
      <c r="G674" s="27" t="n"/>
    </row>
    <row r="675">
      <c r="F675" s="27" t="n"/>
      <c r="G675" s="27" t="n"/>
    </row>
    <row r="676">
      <c r="F676" s="27" t="n"/>
      <c r="G676" s="27" t="n"/>
    </row>
    <row r="677">
      <c r="F677" s="27" t="n"/>
      <c r="G677" s="27" t="n"/>
    </row>
    <row r="678">
      <c r="F678" s="27" t="n"/>
      <c r="G678" s="27" t="n"/>
    </row>
    <row r="679">
      <c r="F679" s="27" t="n"/>
      <c r="G679" s="27" t="n"/>
    </row>
    <row r="680">
      <c r="F680" s="27" t="n"/>
      <c r="G680" s="27" t="n"/>
    </row>
    <row r="681">
      <c r="F681" s="27" t="n"/>
      <c r="G681" s="27" t="n"/>
    </row>
    <row r="682">
      <c r="F682" s="27" t="n"/>
      <c r="G682" s="27" t="n"/>
    </row>
    <row r="683">
      <c r="F683" s="27" t="n"/>
      <c r="G683" s="27" t="n"/>
    </row>
    <row r="684">
      <c r="F684" s="27" t="n"/>
      <c r="G684" s="27" t="n"/>
    </row>
    <row r="685">
      <c r="F685" s="27" t="n"/>
      <c r="G685" s="27" t="n"/>
    </row>
    <row r="686">
      <c r="F686" s="27" t="n"/>
      <c r="G686" s="27" t="n"/>
    </row>
    <row r="687">
      <c r="F687" s="27" t="n"/>
      <c r="G687" s="27" t="n"/>
    </row>
    <row r="688">
      <c r="F688" s="27" t="n"/>
      <c r="G688" s="27" t="n"/>
    </row>
    <row r="689">
      <c r="F689" s="27" t="n"/>
      <c r="G689" s="27" t="n"/>
    </row>
    <row r="690">
      <c r="F690" s="27" t="n"/>
      <c r="G690" s="27" t="n"/>
    </row>
    <row r="691">
      <c r="F691" s="27" t="n"/>
      <c r="G691" s="27" t="n"/>
    </row>
    <row r="692">
      <c r="F692" s="27" t="n"/>
      <c r="G692" s="27" t="n"/>
    </row>
    <row r="693">
      <c r="F693" s="27" t="n"/>
      <c r="G693" s="27" t="n"/>
    </row>
    <row r="694">
      <c r="F694" s="27" t="n"/>
      <c r="G694" s="27" t="n"/>
    </row>
    <row r="695">
      <c r="F695" s="27" t="n"/>
      <c r="G695" s="27" t="n"/>
    </row>
    <row r="696">
      <c r="F696" s="27" t="n"/>
      <c r="G696" s="27" t="n"/>
    </row>
    <row r="697">
      <c r="F697" s="27" t="n"/>
      <c r="G697" s="27" t="n"/>
    </row>
    <row r="698">
      <c r="F698" s="27" t="n"/>
      <c r="G698" s="27" t="n"/>
    </row>
    <row r="699">
      <c r="F699" s="27" t="n"/>
      <c r="G699" s="27" t="n"/>
    </row>
    <row r="700">
      <c r="F700" s="27" t="n"/>
      <c r="G700" s="27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G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1" t="inlineStr">
        <is>
          <t>Change Request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Approval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CR ID</t>
        </is>
      </c>
      <c r="B4" s="10" t="inlineStr">
        <is>
          <t>Project ID</t>
        </is>
      </c>
      <c r="C4" s="10" t="inlineStr">
        <is>
          <t>Change Description</t>
        </is>
      </c>
      <c r="D4" s="10" t="inlineStr">
        <is>
          <t>Requested By</t>
        </is>
      </c>
      <c r="E4" s="10" t="inlineStr">
        <is>
          <t>Requested Date</t>
        </is>
      </c>
      <c r="F4" s="10" t="inlineStr">
        <is>
          <t>Impact Analysis</t>
        </is>
      </c>
      <c r="G4" s="10" t="inlineStr">
        <is>
          <t>Effort Estimate</t>
        </is>
      </c>
      <c r="H4" s="10" t="inlineStr">
        <is>
          <t>Approval Status</t>
        </is>
      </c>
      <c r="I4" s="10" t="inlineStr">
        <is>
          <t>Target Date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Change Request Tracker'!A2:K350,('Data - Change Request Tracker'!$A$2:$A$350&lt;&gt;"")*(IF(C2="All",TRUE,'Data - Change Request Tracker'!$B$2:$B$350=C2))*(IF(E2="All",TRUE,'Data - Change Request Tracker'!$H$2:$H$350=E2))*(IF(G2="All",TRUE,'Data - Change Request Tracker'!$J$2:$J$350=G2))),"No matching records")</f>
        <v/>
      </c>
      <c r="B5" s="15" t="n"/>
      <c r="C5" s="15" t="n"/>
      <c r="D5" s="15" t="n"/>
      <c r="E5" s="16" t="n"/>
      <c r="F5" s="15" t="n"/>
      <c r="G5" s="15" t="n"/>
      <c r="H5" s="15" t="n"/>
      <c r="I5" s="16" t="n"/>
      <c r="J5" s="15" t="n"/>
      <c r="K5" s="15" t="n"/>
    </row>
    <row r="6">
      <c r="A6" s="15" t="n"/>
      <c r="B6" s="15" t="n"/>
      <c r="C6" s="15" t="n"/>
      <c r="D6" s="15" t="n"/>
      <c r="E6" s="16" t="n"/>
      <c r="F6" s="15" t="n"/>
      <c r="G6" s="15" t="n"/>
      <c r="H6" s="15" t="n"/>
      <c r="I6" s="16" t="n"/>
      <c r="J6" s="15" t="n"/>
      <c r="K6" s="15" t="n"/>
    </row>
    <row r="7">
      <c r="A7" s="15" t="n"/>
      <c r="B7" s="15" t="n"/>
      <c r="C7" s="15" t="n"/>
      <c r="D7" s="15" t="n"/>
      <c r="E7" s="16" t="n"/>
      <c r="F7" s="15" t="n"/>
      <c r="G7" s="15" t="n"/>
      <c r="H7" s="15" t="n"/>
      <c r="I7" s="16" t="n"/>
      <c r="J7" s="15" t="n"/>
      <c r="K7" s="15" t="n"/>
    </row>
    <row r="8">
      <c r="A8" s="15" t="n"/>
      <c r="B8" s="15" t="n"/>
      <c r="C8" s="15" t="n"/>
      <c r="D8" s="15" t="n"/>
      <c r="E8" s="16" t="n"/>
      <c r="F8" s="15" t="n"/>
      <c r="G8" s="15" t="n"/>
      <c r="H8" s="15" t="n"/>
      <c r="I8" s="16" t="n"/>
      <c r="J8" s="15" t="n"/>
      <c r="K8" s="15" t="n"/>
    </row>
    <row r="9">
      <c r="A9" s="15" t="n"/>
      <c r="B9" s="15" t="n"/>
      <c r="C9" s="15" t="n"/>
      <c r="D9" s="15" t="n"/>
      <c r="E9" s="16" t="n"/>
      <c r="F9" s="15" t="n"/>
      <c r="G9" s="15" t="n"/>
      <c r="H9" s="15" t="n"/>
      <c r="I9" s="16" t="n"/>
      <c r="J9" s="15" t="n"/>
      <c r="K9" s="15" t="n"/>
    </row>
    <row r="10">
      <c r="A10" s="15" t="n"/>
      <c r="B10" s="15" t="n"/>
      <c r="C10" s="15" t="n"/>
      <c r="D10" s="15" t="n"/>
      <c r="E10" s="16" t="n"/>
      <c r="F10" s="15" t="n"/>
      <c r="G10" s="15" t="n"/>
      <c r="H10" s="15" t="n"/>
      <c r="I10" s="16" t="n"/>
      <c r="J10" s="15" t="n"/>
      <c r="K10" s="15" t="n"/>
    </row>
    <row r="11">
      <c r="A11" s="15" t="n"/>
      <c r="B11" s="15" t="n"/>
      <c r="C11" s="15" t="n"/>
      <c r="D11" s="15" t="n"/>
      <c r="E11" s="16" t="n"/>
      <c r="F11" s="15" t="n"/>
      <c r="G11" s="15" t="n"/>
      <c r="H11" s="15" t="n"/>
      <c r="I11" s="16" t="n"/>
      <c r="J11" s="15" t="n"/>
      <c r="K11" s="15" t="n"/>
    </row>
    <row r="12">
      <c r="A12" s="15" t="n"/>
      <c r="B12" s="15" t="n"/>
      <c r="C12" s="15" t="n"/>
      <c r="D12" s="15" t="n"/>
      <c r="E12" s="16" t="n"/>
      <c r="F12" s="15" t="n"/>
      <c r="G12" s="15" t="n"/>
      <c r="H12" s="15" t="n"/>
      <c r="I12" s="16" t="n"/>
      <c r="J12" s="15" t="n"/>
      <c r="K12" s="15" t="n"/>
    </row>
    <row r="13">
      <c r="A13" s="15" t="n"/>
      <c r="B13" s="15" t="n"/>
      <c r="C13" s="15" t="n"/>
      <c r="D13" s="15" t="n"/>
      <c r="E13" s="16" t="n"/>
      <c r="F13" s="15" t="n"/>
      <c r="G13" s="15" t="n"/>
      <c r="H13" s="15" t="n"/>
      <c r="I13" s="16" t="n"/>
      <c r="J13" s="15" t="n"/>
      <c r="K13" s="15" t="n"/>
    </row>
    <row r="14">
      <c r="A14" s="15" t="n"/>
      <c r="B14" s="15" t="n"/>
      <c r="C14" s="15" t="n"/>
      <c r="D14" s="15" t="n"/>
      <c r="E14" s="16" t="n"/>
      <c r="F14" s="15" t="n"/>
      <c r="G14" s="15" t="n"/>
      <c r="H14" s="15" t="n"/>
      <c r="I14" s="16" t="n"/>
      <c r="J14" s="15" t="n"/>
      <c r="K14" s="15" t="n"/>
    </row>
    <row r="15">
      <c r="A15" s="15" t="n"/>
      <c r="B15" s="15" t="n"/>
      <c r="C15" s="15" t="n"/>
      <c r="D15" s="15" t="n"/>
      <c r="E15" s="16" t="n"/>
      <c r="F15" s="15" t="n"/>
      <c r="G15" s="15" t="n"/>
      <c r="H15" s="15" t="n"/>
      <c r="I15" s="16" t="n"/>
      <c r="J15" s="15" t="n"/>
      <c r="K15" s="15" t="n"/>
    </row>
    <row r="16">
      <c r="A16" s="15" t="n"/>
      <c r="B16" s="15" t="n"/>
      <c r="C16" s="15" t="n"/>
      <c r="D16" s="15" t="n"/>
      <c r="E16" s="16" t="n"/>
      <c r="F16" s="15" t="n"/>
      <c r="G16" s="15" t="n"/>
      <c r="H16" s="15" t="n"/>
      <c r="I16" s="16" t="n"/>
      <c r="J16" s="15" t="n"/>
      <c r="K16" s="15" t="n"/>
    </row>
    <row r="17">
      <c r="A17" s="15" t="n"/>
      <c r="B17" s="15" t="n"/>
      <c r="C17" s="15" t="n"/>
      <c r="D17" s="15" t="n"/>
      <c r="E17" s="16" t="n"/>
      <c r="F17" s="15" t="n"/>
      <c r="G17" s="15" t="n"/>
      <c r="H17" s="15" t="n"/>
      <c r="I17" s="16" t="n"/>
      <c r="J17" s="15" t="n"/>
      <c r="K17" s="15" t="n"/>
    </row>
    <row r="18">
      <c r="A18" s="15" t="n"/>
      <c r="B18" s="15" t="n"/>
      <c r="C18" s="15" t="n"/>
      <c r="D18" s="15" t="n"/>
      <c r="E18" s="16" t="n"/>
      <c r="F18" s="15" t="n"/>
      <c r="G18" s="15" t="n"/>
      <c r="H18" s="15" t="n"/>
      <c r="I18" s="16" t="n"/>
      <c r="J18" s="15" t="n"/>
      <c r="K18" s="15" t="n"/>
    </row>
    <row r="19">
      <c r="A19" s="15" t="n"/>
      <c r="B19" s="15" t="n"/>
      <c r="C19" s="15" t="n"/>
      <c r="D19" s="15" t="n"/>
      <c r="E19" s="16" t="n"/>
      <c r="F19" s="15" t="n"/>
      <c r="G19" s="15" t="n"/>
      <c r="H19" s="15" t="n"/>
      <c r="I19" s="16" t="n"/>
      <c r="J19" s="15" t="n"/>
      <c r="K19" s="15" t="n"/>
    </row>
    <row r="20">
      <c r="A20" s="15" t="n"/>
      <c r="B20" s="15" t="n"/>
      <c r="C20" s="15" t="n"/>
      <c r="D20" s="15" t="n"/>
      <c r="E20" s="16" t="n"/>
      <c r="F20" s="15" t="n"/>
      <c r="G20" s="15" t="n"/>
      <c r="H20" s="15" t="n"/>
      <c r="I20" s="16" t="n"/>
      <c r="J20" s="15" t="n"/>
      <c r="K20" s="15" t="n"/>
    </row>
    <row r="21">
      <c r="A21" s="15" t="n"/>
      <c r="B21" s="15" t="n"/>
      <c r="C21" s="15" t="n"/>
      <c r="D21" s="15" t="n"/>
      <c r="E21" s="16" t="n"/>
      <c r="F21" s="15" t="n"/>
      <c r="G21" s="15" t="n"/>
      <c r="H21" s="15" t="n"/>
      <c r="I21" s="16" t="n"/>
      <c r="J21" s="15" t="n"/>
      <c r="K21" s="15" t="n"/>
    </row>
    <row r="22">
      <c r="A22" s="15" t="n"/>
      <c r="B22" s="15" t="n"/>
      <c r="C22" s="15" t="n"/>
      <c r="D22" s="15" t="n"/>
      <c r="E22" s="16" t="n"/>
      <c r="F22" s="15" t="n"/>
      <c r="G22" s="15" t="n"/>
      <c r="H22" s="15" t="n"/>
      <c r="I22" s="16" t="n"/>
      <c r="J22" s="15" t="n"/>
      <c r="K22" s="15" t="n"/>
    </row>
    <row r="23">
      <c r="A23" s="15" t="n"/>
      <c r="B23" s="15" t="n"/>
      <c r="C23" s="15" t="n"/>
      <c r="D23" s="15" t="n"/>
      <c r="E23" s="16" t="n"/>
      <c r="F23" s="15" t="n"/>
      <c r="G23" s="15" t="n"/>
      <c r="H23" s="15" t="n"/>
      <c r="I23" s="16" t="n"/>
      <c r="J23" s="15" t="n"/>
      <c r="K23" s="15" t="n"/>
    </row>
    <row r="24">
      <c r="A24" s="15" t="n"/>
      <c r="B24" s="15" t="n"/>
      <c r="C24" s="15" t="n"/>
      <c r="D24" s="15" t="n"/>
      <c r="E24" s="16" t="n"/>
      <c r="F24" s="15" t="n"/>
      <c r="G24" s="15" t="n"/>
      <c r="H24" s="15" t="n"/>
      <c r="I24" s="16" t="n"/>
      <c r="J24" s="15" t="n"/>
      <c r="K24" s="15" t="n"/>
    </row>
    <row r="25">
      <c r="A25" s="15" t="n"/>
      <c r="B25" s="15" t="n"/>
      <c r="C25" s="15" t="n"/>
      <c r="D25" s="15" t="n"/>
      <c r="E25" s="16" t="n"/>
      <c r="F25" s="15" t="n"/>
      <c r="G25" s="15" t="n"/>
      <c r="H25" s="15" t="n"/>
      <c r="I25" s="16" t="n"/>
      <c r="J25" s="15" t="n"/>
      <c r="K25" s="15" t="n"/>
    </row>
    <row r="26">
      <c r="A26" s="15" t="n"/>
      <c r="B26" s="15" t="n"/>
      <c r="C26" s="15" t="n"/>
      <c r="D26" s="15" t="n"/>
      <c r="E26" s="16" t="n"/>
      <c r="F26" s="15" t="n"/>
      <c r="G26" s="15" t="n"/>
      <c r="H26" s="15" t="n"/>
      <c r="I26" s="16" t="n"/>
      <c r="J26" s="15" t="n"/>
      <c r="K26" s="15" t="n"/>
    </row>
    <row r="27">
      <c r="A27" s="15" t="n"/>
      <c r="B27" s="15" t="n"/>
      <c r="C27" s="15" t="n"/>
      <c r="D27" s="15" t="n"/>
      <c r="E27" s="16" t="n"/>
      <c r="F27" s="15" t="n"/>
      <c r="G27" s="15" t="n"/>
      <c r="H27" s="15" t="n"/>
      <c r="I27" s="16" t="n"/>
      <c r="J27" s="15" t="n"/>
      <c r="K27" s="15" t="n"/>
    </row>
    <row r="28">
      <c r="A28" s="15" t="n"/>
      <c r="B28" s="15" t="n"/>
      <c r="C28" s="15" t="n"/>
      <c r="D28" s="15" t="n"/>
      <c r="E28" s="16" t="n"/>
      <c r="F28" s="15" t="n"/>
      <c r="G28" s="15" t="n"/>
      <c r="H28" s="15" t="n"/>
      <c r="I28" s="16" t="n"/>
      <c r="J28" s="15" t="n"/>
      <c r="K28" s="15" t="n"/>
    </row>
    <row r="29">
      <c r="A29" s="15" t="n"/>
      <c r="B29" s="15" t="n"/>
      <c r="C29" s="15" t="n"/>
      <c r="D29" s="15" t="n"/>
      <c r="E29" s="16" t="n"/>
      <c r="F29" s="15" t="n"/>
      <c r="G29" s="15" t="n"/>
      <c r="H29" s="15" t="n"/>
      <c r="I29" s="16" t="n"/>
      <c r="J29" s="15" t="n"/>
      <c r="K29" s="15" t="n"/>
    </row>
    <row r="30">
      <c r="A30" s="15" t="n"/>
      <c r="B30" s="15" t="n"/>
      <c r="C30" s="15" t="n"/>
      <c r="D30" s="15" t="n"/>
      <c r="E30" s="16" t="n"/>
      <c r="F30" s="15" t="n"/>
      <c r="G30" s="15" t="n"/>
      <c r="H30" s="15" t="n"/>
      <c r="I30" s="16" t="n"/>
      <c r="J30" s="15" t="n"/>
      <c r="K30" s="15" t="n"/>
    </row>
    <row r="31">
      <c r="A31" s="15" t="n"/>
      <c r="B31" s="15" t="n"/>
      <c r="C31" s="15" t="n"/>
      <c r="D31" s="15" t="n"/>
      <c r="E31" s="16" t="n"/>
      <c r="F31" s="15" t="n"/>
      <c r="G31" s="15" t="n"/>
      <c r="H31" s="15" t="n"/>
      <c r="I31" s="16" t="n"/>
      <c r="J31" s="15" t="n"/>
      <c r="K31" s="15" t="n"/>
    </row>
    <row r="32">
      <c r="A32" s="15" t="n"/>
      <c r="B32" s="15" t="n"/>
      <c r="C32" s="15" t="n"/>
      <c r="D32" s="15" t="n"/>
      <c r="E32" s="16" t="n"/>
      <c r="F32" s="15" t="n"/>
      <c r="G32" s="15" t="n"/>
      <c r="H32" s="15" t="n"/>
      <c r="I32" s="16" t="n"/>
      <c r="J32" s="15" t="n"/>
      <c r="K32" s="15" t="n"/>
    </row>
    <row r="33">
      <c r="A33" s="15" t="n"/>
      <c r="B33" s="15" t="n"/>
      <c r="C33" s="15" t="n"/>
      <c r="D33" s="15" t="n"/>
      <c r="E33" s="16" t="n"/>
      <c r="F33" s="15" t="n"/>
      <c r="G33" s="15" t="n"/>
      <c r="H33" s="15" t="n"/>
      <c r="I33" s="16" t="n"/>
      <c r="J33" s="15" t="n"/>
      <c r="K33" s="15" t="n"/>
    </row>
    <row r="34">
      <c r="A34" s="15" t="n"/>
      <c r="B34" s="15" t="n"/>
      <c r="C34" s="15" t="n"/>
      <c r="D34" s="15" t="n"/>
      <c r="E34" s="16" t="n"/>
      <c r="F34" s="15" t="n"/>
      <c r="G34" s="15" t="n"/>
      <c r="H34" s="15" t="n"/>
      <c r="I34" s="16" t="n"/>
      <c r="J34" s="15" t="n"/>
      <c r="K34" s="15" t="n"/>
    </row>
    <row r="35">
      <c r="A35" s="15" t="n"/>
      <c r="B35" s="15" t="n"/>
      <c r="C35" s="15" t="n"/>
      <c r="D35" s="15" t="n"/>
      <c r="E35" s="16" t="n"/>
      <c r="F35" s="15" t="n"/>
      <c r="G35" s="15" t="n"/>
      <c r="H35" s="15" t="n"/>
      <c r="I35" s="16" t="n"/>
      <c r="J35" s="15" t="n"/>
      <c r="K35" s="15" t="n"/>
    </row>
    <row r="36">
      <c r="A36" s="15" t="n"/>
      <c r="B36" s="15" t="n"/>
      <c r="C36" s="15" t="n"/>
      <c r="D36" s="15" t="n"/>
      <c r="E36" s="16" t="n"/>
      <c r="F36" s="15" t="n"/>
      <c r="G36" s="15" t="n"/>
      <c r="H36" s="15" t="n"/>
      <c r="I36" s="16" t="n"/>
      <c r="J36" s="15" t="n"/>
      <c r="K36" s="15" t="n"/>
    </row>
    <row r="37">
      <c r="A37" s="15" t="n"/>
      <c r="B37" s="15" t="n"/>
      <c r="C37" s="15" t="n"/>
      <c r="D37" s="15" t="n"/>
      <c r="E37" s="16" t="n"/>
      <c r="F37" s="15" t="n"/>
      <c r="G37" s="15" t="n"/>
      <c r="H37" s="15" t="n"/>
      <c r="I37" s="16" t="n"/>
      <c r="J37" s="15" t="n"/>
      <c r="K37" s="15" t="n"/>
    </row>
    <row r="38">
      <c r="A38" s="15" t="n"/>
      <c r="B38" s="15" t="n"/>
      <c r="C38" s="15" t="n"/>
      <c r="D38" s="15" t="n"/>
      <c r="E38" s="16" t="n"/>
      <c r="F38" s="15" t="n"/>
      <c r="G38" s="15" t="n"/>
      <c r="H38" s="15" t="n"/>
      <c r="I38" s="16" t="n"/>
      <c r="J38" s="15" t="n"/>
      <c r="K38" s="15" t="n"/>
    </row>
    <row r="39">
      <c r="A39" s="15" t="n"/>
      <c r="B39" s="15" t="n"/>
      <c r="C39" s="15" t="n"/>
      <c r="D39" s="15" t="n"/>
      <c r="E39" s="16" t="n"/>
      <c r="F39" s="15" t="n"/>
      <c r="G39" s="15" t="n"/>
      <c r="H39" s="15" t="n"/>
      <c r="I39" s="16" t="n"/>
      <c r="J39" s="15" t="n"/>
      <c r="K39" s="15" t="n"/>
    </row>
    <row r="40">
      <c r="A40" s="15" t="n"/>
      <c r="B40" s="15" t="n"/>
      <c r="C40" s="15" t="n"/>
      <c r="D40" s="15" t="n"/>
      <c r="E40" s="16" t="n"/>
      <c r="F40" s="15" t="n"/>
      <c r="G40" s="15" t="n"/>
      <c r="H40" s="15" t="n"/>
      <c r="I40" s="16" t="n"/>
      <c r="J40" s="15" t="n"/>
      <c r="K40" s="15" t="n"/>
    </row>
    <row r="41">
      <c r="A41" s="15" t="n"/>
      <c r="B41" s="15" t="n"/>
      <c r="C41" s="15" t="n"/>
      <c r="D41" s="15" t="n"/>
      <c r="E41" s="16" t="n"/>
      <c r="F41" s="15" t="n"/>
      <c r="G41" s="15" t="n"/>
      <c r="H41" s="15" t="n"/>
      <c r="I41" s="16" t="n"/>
      <c r="J41" s="15" t="n"/>
      <c r="K41" s="15" t="n"/>
    </row>
    <row r="42">
      <c r="A42" s="15" t="n"/>
      <c r="B42" s="15" t="n"/>
      <c r="C42" s="15" t="n"/>
      <c r="D42" s="15" t="n"/>
      <c r="E42" s="16" t="n"/>
      <c r="F42" s="15" t="n"/>
      <c r="G42" s="15" t="n"/>
      <c r="H42" s="15" t="n"/>
      <c r="I42" s="16" t="n"/>
      <c r="J42" s="15" t="n"/>
      <c r="K42" s="15" t="n"/>
    </row>
    <row r="43">
      <c r="A43" s="15" t="n"/>
      <c r="B43" s="15" t="n"/>
      <c r="C43" s="15" t="n"/>
      <c r="D43" s="15" t="n"/>
      <c r="E43" s="16" t="n"/>
      <c r="F43" s="15" t="n"/>
      <c r="G43" s="15" t="n"/>
      <c r="H43" s="15" t="n"/>
      <c r="I43" s="16" t="n"/>
      <c r="J43" s="15" t="n"/>
      <c r="K43" s="15" t="n"/>
    </row>
    <row r="44">
      <c r="A44" s="15" t="n"/>
      <c r="B44" s="15" t="n"/>
      <c r="C44" s="15" t="n"/>
      <c r="D44" s="15" t="n"/>
      <c r="E44" s="16" t="n"/>
      <c r="F44" s="15" t="n"/>
      <c r="G44" s="15" t="n"/>
      <c r="H44" s="15" t="n"/>
      <c r="I44" s="16" t="n"/>
      <c r="J44" s="15" t="n"/>
      <c r="K44" s="15" t="n"/>
    </row>
    <row r="45">
      <c r="A45" s="15" t="n"/>
      <c r="B45" s="15" t="n"/>
      <c r="C45" s="15" t="n"/>
      <c r="D45" s="15" t="n"/>
      <c r="E45" s="16" t="n"/>
      <c r="F45" s="15" t="n"/>
      <c r="G45" s="15" t="n"/>
      <c r="H45" s="15" t="n"/>
      <c r="I45" s="16" t="n"/>
      <c r="J45" s="15" t="n"/>
      <c r="K45" s="15" t="n"/>
    </row>
    <row r="46">
      <c r="A46" s="15" t="n"/>
      <c r="B46" s="15" t="n"/>
      <c r="C46" s="15" t="n"/>
      <c r="D46" s="15" t="n"/>
      <c r="E46" s="16" t="n"/>
      <c r="F46" s="15" t="n"/>
      <c r="G46" s="15" t="n"/>
      <c r="H46" s="15" t="n"/>
      <c r="I46" s="16" t="n"/>
      <c r="J46" s="15" t="n"/>
      <c r="K46" s="15" t="n"/>
    </row>
    <row r="47">
      <c r="A47" s="15" t="n"/>
      <c r="B47" s="15" t="n"/>
      <c r="C47" s="15" t="n"/>
      <c r="D47" s="15" t="n"/>
      <c r="E47" s="16" t="n"/>
      <c r="F47" s="15" t="n"/>
      <c r="G47" s="15" t="n"/>
      <c r="H47" s="15" t="n"/>
      <c r="I47" s="16" t="n"/>
      <c r="J47" s="15" t="n"/>
      <c r="K47" s="15" t="n"/>
    </row>
    <row r="48">
      <c r="A48" s="15" t="n"/>
      <c r="B48" s="15" t="n"/>
      <c r="C48" s="15" t="n"/>
      <c r="D48" s="15" t="n"/>
      <c r="E48" s="16" t="n"/>
      <c r="F48" s="15" t="n"/>
      <c r="G48" s="15" t="n"/>
      <c r="H48" s="15" t="n"/>
      <c r="I48" s="16" t="n"/>
      <c r="J48" s="15" t="n"/>
      <c r="K48" s="15" t="n"/>
    </row>
    <row r="49">
      <c r="A49" s="15" t="n"/>
      <c r="B49" s="15" t="n"/>
      <c r="C49" s="15" t="n"/>
      <c r="D49" s="15" t="n"/>
      <c r="E49" s="16" t="n"/>
      <c r="F49" s="15" t="n"/>
      <c r="G49" s="15" t="n"/>
      <c r="H49" s="15" t="n"/>
      <c r="I49" s="16" t="n"/>
      <c r="J49" s="15" t="n"/>
      <c r="K49" s="15" t="n"/>
    </row>
    <row r="50">
      <c r="A50" s="15" t="n"/>
      <c r="B50" s="15" t="n"/>
      <c r="C50" s="15" t="n"/>
      <c r="D50" s="15" t="n"/>
      <c r="E50" s="16" t="n"/>
      <c r="F50" s="15" t="n"/>
      <c r="G50" s="15" t="n"/>
      <c r="H50" s="15" t="n"/>
      <c r="I50" s="16" t="n"/>
      <c r="J50" s="15" t="n"/>
      <c r="K50" s="15" t="n"/>
    </row>
    <row r="51">
      <c r="A51" s="15" t="n"/>
      <c r="B51" s="15" t="n"/>
      <c r="C51" s="15" t="n"/>
      <c r="D51" s="15" t="n"/>
      <c r="E51" s="16" t="n"/>
      <c r="F51" s="15" t="n"/>
      <c r="G51" s="15" t="n"/>
      <c r="H51" s="15" t="n"/>
      <c r="I51" s="16" t="n"/>
      <c r="J51" s="15" t="n"/>
      <c r="K51" s="15" t="n"/>
    </row>
    <row r="52">
      <c r="A52" s="15" t="n"/>
      <c r="B52" s="15" t="n"/>
      <c r="C52" s="15" t="n"/>
      <c r="D52" s="15" t="n"/>
      <c r="E52" s="16" t="n"/>
      <c r="F52" s="15" t="n"/>
      <c r="G52" s="15" t="n"/>
      <c r="H52" s="15" t="n"/>
      <c r="I52" s="16" t="n"/>
      <c r="J52" s="15" t="n"/>
      <c r="K52" s="15" t="n"/>
    </row>
    <row r="53">
      <c r="A53" s="15" t="n"/>
      <c r="B53" s="15" t="n"/>
      <c r="C53" s="15" t="n"/>
      <c r="D53" s="15" t="n"/>
      <c r="E53" s="16" t="n"/>
      <c r="F53" s="15" t="n"/>
      <c r="G53" s="15" t="n"/>
      <c r="H53" s="15" t="n"/>
      <c r="I53" s="16" t="n"/>
      <c r="J53" s="15" t="n"/>
      <c r="K53" s="15" t="n"/>
    </row>
    <row r="54">
      <c r="A54" s="15" t="n"/>
      <c r="B54" s="15" t="n"/>
      <c r="C54" s="15" t="n"/>
      <c r="D54" s="15" t="n"/>
      <c r="E54" s="16" t="n"/>
      <c r="F54" s="15" t="n"/>
      <c r="G54" s="15" t="n"/>
      <c r="H54" s="15" t="n"/>
      <c r="I54" s="16" t="n"/>
      <c r="J54" s="15" t="n"/>
      <c r="K54" s="15" t="n"/>
    </row>
    <row r="55">
      <c r="A55" s="15" t="n"/>
      <c r="B55" s="15" t="n"/>
      <c r="C55" s="15" t="n"/>
      <c r="D55" s="15" t="n"/>
      <c r="E55" s="16" t="n"/>
      <c r="F55" s="15" t="n"/>
      <c r="G55" s="15" t="n"/>
      <c r="H55" s="15" t="n"/>
      <c r="I55" s="16" t="n"/>
      <c r="J55" s="15" t="n"/>
      <c r="K55" s="15" t="n"/>
    </row>
    <row r="56">
      <c r="A56" s="15" t="n"/>
      <c r="B56" s="15" t="n"/>
      <c r="C56" s="15" t="n"/>
      <c r="D56" s="15" t="n"/>
      <c r="E56" s="16" t="n"/>
      <c r="F56" s="15" t="n"/>
      <c r="G56" s="15" t="n"/>
      <c r="H56" s="15" t="n"/>
      <c r="I56" s="16" t="n"/>
      <c r="J56" s="15" t="n"/>
      <c r="K56" s="15" t="n"/>
    </row>
    <row r="57">
      <c r="A57" s="15" t="n"/>
      <c r="B57" s="15" t="n"/>
      <c r="C57" s="15" t="n"/>
      <c r="D57" s="15" t="n"/>
      <c r="E57" s="16" t="n"/>
      <c r="F57" s="15" t="n"/>
      <c r="G57" s="15" t="n"/>
      <c r="H57" s="15" t="n"/>
      <c r="I57" s="16" t="n"/>
      <c r="J57" s="15" t="n"/>
      <c r="K57" s="15" t="n"/>
    </row>
    <row r="58">
      <c r="A58" s="15" t="n"/>
      <c r="B58" s="15" t="n"/>
      <c r="C58" s="15" t="n"/>
      <c r="D58" s="15" t="n"/>
      <c r="E58" s="16" t="n"/>
      <c r="F58" s="15" t="n"/>
      <c r="G58" s="15" t="n"/>
      <c r="H58" s="15" t="n"/>
      <c r="I58" s="16" t="n"/>
      <c r="J58" s="15" t="n"/>
      <c r="K58" s="15" t="n"/>
    </row>
    <row r="59">
      <c r="A59" s="15" t="n"/>
      <c r="B59" s="15" t="n"/>
      <c r="C59" s="15" t="n"/>
      <c r="D59" s="15" t="n"/>
      <c r="E59" s="16" t="n"/>
      <c r="F59" s="15" t="n"/>
      <c r="G59" s="15" t="n"/>
      <c r="H59" s="15" t="n"/>
      <c r="I59" s="16" t="n"/>
      <c r="J59" s="15" t="n"/>
      <c r="K59" s="15" t="n"/>
    </row>
    <row r="60">
      <c r="A60" s="15" t="n"/>
      <c r="B60" s="15" t="n"/>
      <c r="C60" s="15" t="n"/>
      <c r="D60" s="15" t="n"/>
      <c r="E60" s="16" t="n"/>
      <c r="F60" s="15" t="n"/>
      <c r="G60" s="15" t="n"/>
      <c r="H60" s="15" t="n"/>
      <c r="I60" s="16" t="n"/>
      <c r="J60" s="15" t="n"/>
      <c r="K60" s="15" t="n"/>
    </row>
    <row r="61">
      <c r="A61" s="15" t="n"/>
      <c r="B61" s="15" t="n"/>
      <c r="C61" s="15" t="n"/>
      <c r="D61" s="15" t="n"/>
      <c r="E61" s="16" t="n"/>
      <c r="F61" s="15" t="n"/>
      <c r="G61" s="15" t="n"/>
      <c r="H61" s="15" t="n"/>
      <c r="I61" s="16" t="n"/>
      <c r="J61" s="15" t="n"/>
      <c r="K61" s="15" t="n"/>
    </row>
    <row r="62">
      <c r="A62" s="15" t="n"/>
      <c r="B62" s="15" t="n"/>
      <c r="C62" s="15" t="n"/>
      <c r="D62" s="15" t="n"/>
      <c r="E62" s="16" t="n"/>
      <c r="F62" s="15" t="n"/>
      <c r="G62" s="15" t="n"/>
      <c r="H62" s="15" t="n"/>
      <c r="I62" s="16" t="n"/>
      <c r="J62" s="15" t="n"/>
      <c r="K62" s="15" t="n"/>
    </row>
    <row r="63">
      <c r="A63" s="15" t="n"/>
      <c r="B63" s="15" t="n"/>
      <c r="C63" s="15" t="n"/>
      <c r="D63" s="15" t="n"/>
      <c r="E63" s="16" t="n"/>
      <c r="F63" s="15" t="n"/>
      <c r="G63" s="15" t="n"/>
      <c r="H63" s="15" t="n"/>
      <c r="I63" s="16" t="n"/>
      <c r="J63" s="15" t="n"/>
      <c r="K63" s="15" t="n"/>
    </row>
    <row r="64">
      <c r="A64" s="15" t="n"/>
      <c r="B64" s="15" t="n"/>
      <c r="C64" s="15" t="n"/>
      <c r="D64" s="15" t="n"/>
      <c r="E64" s="16" t="n"/>
      <c r="F64" s="15" t="n"/>
      <c r="G64" s="15" t="n"/>
      <c r="H64" s="15" t="n"/>
      <c r="I64" s="16" t="n"/>
      <c r="J64" s="15" t="n"/>
      <c r="K64" s="15" t="n"/>
    </row>
    <row r="65">
      <c r="A65" s="15" t="n"/>
      <c r="B65" s="15" t="n"/>
      <c r="C65" s="15" t="n"/>
      <c r="D65" s="15" t="n"/>
      <c r="E65" s="16" t="n"/>
      <c r="F65" s="15" t="n"/>
      <c r="G65" s="15" t="n"/>
      <c r="H65" s="15" t="n"/>
      <c r="I65" s="16" t="n"/>
      <c r="J65" s="15" t="n"/>
      <c r="K65" s="15" t="n"/>
    </row>
    <row r="66">
      <c r="A66" s="15" t="n"/>
      <c r="B66" s="15" t="n"/>
      <c r="C66" s="15" t="n"/>
      <c r="D66" s="15" t="n"/>
      <c r="E66" s="16" t="n"/>
      <c r="F66" s="15" t="n"/>
      <c r="G66" s="15" t="n"/>
      <c r="H66" s="15" t="n"/>
      <c r="I66" s="16" t="n"/>
      <c r="J66" s="15" t="n"/>
      <c r="K66" s="15" t="n"/>
    </row>
    <row r="67">
      <c r="A67" s="15" t="n"/>
      <c r="B67" s="15" t="n"/>
      <c r="C67" s="15" t="n"/>
      <c r="D67" s="15" t="n"/>
      <c r="E67" s="16" t="n"/>
      <c r="F67" s="15" t="n"/>
      <c r="G67" s="15" t="n"/>
      <c r="H67" s="15" t="n"/>
      <c r="I67" s="16" t="n"/>
      <c r="J67" s="15" t="n"/>
      <c r="K67" s="15" t="n"/>
    </row>
    <row r="68">
      <c r="A68" s="15" t="n"/>
      <c r="B68" s="15" t="n"/>
      <c r="C68" s="15" t="n"/>
      <c r="D68" s="15" t="n"/>
      <c r="E68" s="16" t="n"/>
      <c r="F68" s="15" t="n"/>
      <c r="G68" s="15" t="n"/>
      <c r="H68" s="15" t="n"/>
      <c r="I68" s="16" t="n"/>
      <c r="J68" s="15" t="n"/>
      <c r="K68" s="15" t="n"/>
    </row>
    <row r="69">
      <c r="A69" s="15" t="n"/>
      <c r="B69" s="15" t="n"/>
      <c r="C69" s="15" t="n"/>
      <c r="D69" s="15" t="n"/>
      <c r="E69" s="16" t="n"/>
      <c r="F69" s="15" t="n"/>
      <c r="G69" s="15" t="n"/>
      <c r="H69" s="15" t="n"/>
      <c r="I69" s="16" t="n"/>
      <c r="J69" s="15" t="n"/>
      <c r="K69" s="15" t="n"/>
    </row>
    <row r="70">
      <c r="A70" s="15" t="n"/>
      <c r="B70" s="15" t="n"/>
      <c r="C70" s="15" t="n"/>
      <c r="D70" s="15" t="n"/>
      <c r="E70" s="16" t="n"/>
      <c r="F70" s="15" t="n"/>
      <c r="G70" s="15" t="n"/>
      <c r="H70" s="15" t="n"/>
      <c r="I70" s="16" t="n"/>
      <c r="J70" s="15" t="n"/>
      <c r="K70" s="15" t="n"/>
    </row>
    <row r="71">
      <c r="A71" s="15" t="n"/>
      <c r="B71" s="15" t="n"/>
      <c r="C71" s="15" t="n"/>
      <c r="D71" s="15" t="n"/>
      <c r="E71" s="16" t="n"/>
      <c r="F71" s="15" t="n"/>
      <c r="G71" s="15" t="n"/>
      <c r="H71" s="15" t="n"/>
      <c r="I71" s="16" t="n"/>
      <c r="J71" s="15" t="n"/>
      <c r="K71" s="15" t="n"/>
    </row>
    <row r="72">
      <c r="A72" s="15" t="n"/>
      <c r="B72" s="15" t="n"/>
      <c r="C72" s="15" t="n"/>
      <c r="D72" s="15" t="n"/>
      <c r="E72" s="16" t="n"/>
      <c r="F72" s="15" t="n"/>
      <c r="G72" s="15" t="n"/>
      <c r="H72" s="15" t="n"/>
      <c r="I72" s="16" t="n"/>
      <c r="J72" s="15" t="n"/>
      <c r="K72" s="15" t="n"/>
    </row>
    <row r="73">
      <c r="A73" s="15" t="n"/>
      <c r="B73" s="15" t="n"/>
      <c r="C73" s="15" t="n"/>
      <c r="D73" s="15" t="n"/>
      <c r="E73" s="16" t="n"/>
      <c r="F73" s="15" t="n"/>
      <c r="G73" s="15" t="n"/>
      <c r="H73" s="15" t="n"/>
      <c r="I73" s="16" t="n"/>
      <c r="J73" s="15" t="n"/>
      <c r="K73" s="15" t="n"/>
    </row>
    <row r="74">
      <c r="A74" s="15" t="n"/>
      <c r="B74" s="15" t="n"/>
      <c r="C74" s="15" t="n"/>
      <c r="D74" s="15" t="n"/>
      <c r="E74" s="16" t="n"/>
      <c r="F74" s="15" t="n"/>
      <c r="G74" s="15" t="n"/>
      <c r="H74" s="15" t="n"/>
      <c r="I74" s="16" t="n"/>
      <c r="J74" s="15" t="n"/>
      <c r="K74" s="15" t="n"/>
    </row>
    <row r="75">
      <c r="A75" s="15" t="n"/>
      <c r="B75" s="15" t="n"/>
      <c r="C75" s="15" t="n"/>
      <c r="D75" s="15" t="n"/>
      <c r="E75" s="16" t="n"/>
      <c r="F75" s="15" t="n"/>
      <c r="G75" s="15" t="n"/>
      <c r="H75" s="15" t="n"/>
      <c r="I75" s="16" t="n"/>
      <c r="J75" s="15" t="n"/>
      <c r="K75" s="15" t="n"/>
    </row>
    <row r="76">
      <c r="A76" s="15" t="n"/>
      <c r="B76" s="15" t="n"/>
      <c r="C76" s="15" t="n"/>
      <c r="D76" s="15" t="n"/>
      <c r="E76" s="16" t="n"/>
      <c r="F76" s="15" t="n"/>
      <c r="G76" s="15" t="n"/>
      <c r="H76" s="15" t="n"/>
      <c r="I76" s="16" t="n"/>
      <c r="J76" s="15" t="n"/>
      <c r="K76" s="15" t="n"/>
    </row>
    <row r="77">
      <c r="A77" s="15" t="n"/>
      <c r="B77" s="15" t="n"/>
      <c r="C77" s="15" t="n"/>
      <c r="D77" s="15" t="n"/>
      <c r="E77" s="16" t="n"/>
      <c r="F77" s="15" t="n"/>
      <c r="G77" s="15" t="n"/>
      <c r="H77" s="15" t="n"/>
      <c r="I77" s="16" t="n"/>
      <c r="J77" s="15" t="n"/>
      <c r="K77" s="15" t="n"/>
    </row>
    <row r="78">
      <c r="A78" s="15" t="n"/>
      <c r="B78" s="15" t="n"/>
      <c r="C78" s="15" t="n"/>
      <c r="D78" s="15" t="n"/>
      <c r="E78" s="16" t="n"/>
      <c r="F78" s="15" t="n"/>
      <c r="G78" s="15" t="n"/>
      <c r="H78" s="15" t="n"/>
      <c r="I78" s="16" t="n"/>
      <c r="J78" s="15" t="n"/>
      <c r="K78" s="15" t="n"/>
    </row>
    <row r="79">
      <c r="A79" s="15" t="n"/>
      <c r="B79" s="15" t="n"/>
      <c r="C79" s="15" t="n"/>
      <c r="D79" s="15" t="n"/>
      <c r="E79" s="16" t="n"/>
      <c r="F79" s="15" t="n"/>
      <c r="G79" s="15" t="n"/>
      <c r="H79" s="15" t="n"/>
      <c r="I79" s="16" t="n"/>
      <c r="J79" s="15" t="n"/>
      <c r="K79" s="15" t="n"/>
    </row>
    <row r="80">
      <c r="A80" s="15" t="n"/>
      <c r="B80" s="15" t="n"/>
      <c r="C80" s="15" t="n"/>
      <c r="D80" s="15" t="n"/>
      <c r="E80" s="16" t="n"/>
      <c r="F80" s="15" t="n"/>
      <c r="G80" s="15" t="n"/>
      <c r="H80" s="15" t="n"/>
      <c r="I80" s="16" t="n"/>
      <c r="J80" s="15" t="n"/>
      <c r="K80" s="15" t="n"/>
    </row>
    <row r="81">
      <c r="A81" s="15" t="n"/>
      <c r="B81" s="15" t="n"/>
      <c r="C81" s="15" t="n"/>
      <c r="D81" s="15" t="n"/>
      <c r="E81" s="16" t="n"/>
      <c r="F81" s="15" t="n"/>
      <c r="G81" s="15" t="n"/>
      <c r="H81" s="15" t="n"/>
      <c r="I81" s="16" t="n"/>
      <c r="J81" s="15" t="n"/>
      <c r="K81" s="15" t="n"/>
    </row>
    <row r="82">
      <c r="A82" s="15" t="n"/>
      <c r="B82" s="15" t="n"/>
      <c r="C82" s="15" t="n"/>
      <c r="D82" s="15" t="n"/>
      <c r="E82" s="16" t="n"/>
      <c r="F82" s="15" t="n"/>
      <c r="G82" s="15" t="n"/>
      <c r="H82" s="15" t="n"/>
      <c r="I82" s="16" t="n"/>
      <c r="J82" s="15" t="n"/>
      <c r="K82" s="15" t="n"/>
    </row>
    <row r="83">
      <c r="A83" s="15" t="n"/>
      <c r="B83" s="15" t="n"/>
      <c r="C83" s="15" t="n"/>
      <c r="D83" s="15" t="n"/>
      <c r="E83" s="16" t="n"/>
      <c r="F83" s="15" t="n"/>
      <c r="G83" s="15" t="n"/>
      <c r="H83" s="15" t="n"/>
      <c r="I83" s="16" t="n"/>
      <c r="J83" s="15" t="n"/>
      <c r="K83" s="15" t="n"/>
    </row>
    <row r="84">
      <c r="A84" s="15" t="n"/>
      <c r="B84" s="15" t="n"/>
      <c r="C84" s="15" t="n"/>
      <c r="D84" s="15" t="n"/>
      <c r="E84" s="16" t="n"/>
      <c r="F84" s="15" t="n"/>
      <c r="G84" s="15" t="n"/>
      <c r="H84" s="15" t="n"/>
      <c r="I84" s="16" t="n"/>
      <c r="J84" s="15" t="n"/>
      <c r="K84" s="15" t="n"/>
    </row>
    <row r="85">
      <c r="A85" s="15" t="n"/>
      <c r="B85" s="15" t="n"/>
      <c r="C85" s="15" t="n"/>
      <c r="D85" s="15" t="n"/>
      <c r="E85" s="16" t="n"/>
      <c r="F85" s="15" t="n"/>
      <c r="G85" s="15" t="n"/>
      <c r="H85" s="15" t="n"/>
      <c r="I85" s="16" t="n"/>
      <c r="J85" s="15" t="n"/>
      <c r="K85" s="15" t="n"/>
    </row>
    <row r="86">
      <c r="A86" s="15" t="n"/>
      <c r="B86" s="15" t="n"/>
      <c r="C86" s="15" t="n"/>
      <c r="D86" s="15" t="n"/>
      <c r="E86" s="16" t="n"/>
      <c r="F86" s="15" t="n"/>
      <c r="G86" s="15" t="n"/>
      <c r="H86" s="15" t="n"/>
      <c r="I86" s="16" t="n"/>
      <c r="J86" s="15" t="n"/>
      <c r="K86" s="15" t="n"/>
    </row>
    <row r="87">
      <c r="A87" s="15" t="n"/>
      <c r="B87" s="15" t="n"/>
      <c r="C87" s="15" t="n"/>
      <c r="D87" s="15" t="n"/>
      <c r="E87" s="16" t="n"/>
      <c r="F87" s="15" t="n"/>
      <c r="G87" s="15" t="n"/>
      <c r="H87" s="15" t="n"/>
      <c r="I87" s="16" t="n"/>
      <c r="J87" s="15" t="n"/>
      <c r="K87" s="15" t="n"/>
    </row>
    <row r="88">
      <c r="A88" s="15" t="n"/>
      <c r="B88" s="15" t="n"/>
      <c r="C88" s="15" t="n"/>
      <c r="D88" s="15" t="n"/>
      <c r="E88" s="16" t="n"/>
      <c r="F88" s="15" t="n"/>
      <c r="G88" s="15" t="n"/>
      <c r="H88" s="15" t="n"/>
      <c r="I88" s="16" t="n"/>
      <c r="J88" s="15" t="n"/>
      <c r="K88" s="15" t="n"/>
    </row>
    <row r="89">
      <c r="A89" s="15" t="n"/>
      <c r="B89" s="15" t="n"/>
      <c r="C89" s="15" t="n"/>
      <c r="D89" s="15" t="n"/>
      <c r="E89" s="16" t="n"/>
      <c r="F89" s="15" t="n"/>
      <c r="G89" s="15" t="n"/>
      <c r="H89" s="15" t="n"/>
      <c r="I89" s="16" t="n"/>
      <c r="J89" s="15" t="n"/>
      <c r="K89" s="15" t="n"/>
    </row>
    <row r="90">
      <c r="A90" s="15" t="n"/>
      <c r="B90" s="15" t="n"/>
      <c r="C90" s="15" t="n"/>
      <c r="D90" s="15" t="n"/>
      <c r="E90" s="16" t="n"/>
      <c r="F90" s="15" t="n"/>
      <c r="G90" s="15" t="n"/>
      <c r="H90" s="15" t="n"/>
      <c r="I90" s="16" t="n"/>
      <c r="J90" s="15" t="n"/>
      <c r="K90" s="15" t="n"/>
    </row>
    <row r="91">
      <c r="A91" s="15" t="n"/>
      <c r="B91" s="15" t="n"/>
      <c r="C91" s="15" t="n"/>
      <c r="D91" s="15" t="n"/>
      <c r="E91" s="16" t="n"/>
      <c r="F91" s="15" t="n"/>
      <c r="G91" s="15" t="n"/>
      <c r="H91" s="15" t="n"/>
      <c r="I91" s="16" t="n"/>
      <c r="J91" s="15" t="n"/>
      <c r="K91" s="15" t="n"/>
    </row>
    <row r="92">
      <c r="A92" s="15" t="n"/>
      <c r="B92" s="15" t="n"/>
      <c r="C92" s="15" t="n"/>
      <c r="D92" s="15" t="n"/>
      <c r="E92" s="16" t="n"/>
      <c r="F92" s="15" t="n"/>
      <c r="G92" s="15" t="n"/>
      <c r="H92" s="15" t="n"/>
      <c r="I92" s="16" t="n"/>
      <c r="J92" s="15" t="n"/>
      <c r="K92" s="15" t="n"/>
    </row>
    <row r="93">
      <c r="A93" s="15" t="n"/>
      <c r="B93" s="15" t="n"/>
      <c r="C93" s="15" t="n"/>
      <c r="D93" s="15" t="n"/>
      <c r="E93" s="16" t="n"/>
      <c r="F93" s="15" t="n"/>
      <c r="G93" s="15" t="n"/>
      <c r="H93" s="15" t="n"/>
      <c r="I93" s="16" t="n"/>
      <c r="J93" s="15" t="n"/>
      <c r="K93" s="15" t="n"/>
    </row>
    <row r="94">
      <c r="A94" s="15" t="n"/>
      <c r="B94" s="15" t="n"/>
      <c r="C94" s="15" t="n"/>
      <c r="D94" s="15" t="n"/>
      <c r="E94" s="16" t="n"/>
      <c r="F94" s="15" t="n"/>
      <c r="G94" s="15" t="n"/>
      <c r="H94" s="15" t="n"/>
      <c r="I94" s="16" t="n"/>
      <c r="J94" s="15" t="n"/>
      <c r="K94" s="15" t="n"/>
    </row>
    <row r="95">
      <c r="A95" s="15" t="n"/>
      <c r="B95" s="15" t="n"/>
      <c r="C95" s="15" t="n"/>
      <c r="D95" s="15" t="n"/>
      <c r="E95" s="16" t="n"/>
      <c r="F95" s="15" t="n"/>
      <c r="G95" s="15" t="n"/>
      <c r="H95" s="15" t="n"/>
      <c r="I95" s="16" t="n"/>
      <c r="J95" s="15" t="n"/>
      <c r="K95" s="15" t="n"/>
    </row>
    <row r="96">
      <c r="A96" s="15" t="n"/>
      <c r="B96" s="15" t="n"/>
      <c r="C96" s="15" t="n"/>
      <c r="D96" s="15" t="n"/>
      <c r="E96" s="16" t="n"/>
      <c r="F96" s="15" t="n"/>
      <c r="G96" s="15" t="n"/>
      <c r="H96" s="15" t="n"/>
      <c r="I96" s="16" t="n"/>
      <c r="J96" s="15" t="n"/>
      <c r="K96" s="15" t="n"/>
    </row>
    <row r="97">
      <c r="A97" s="15" t="n"/>
      <c r="B97" s="15" t="n"/>
      <c r="C97" s="15" t="n"/>
      <c r="D97" s="15" t="n"/>
      <c r="E97" s="16" t="n"/>
      <c r="F97" s="15" t="n"/>
      <c r="G97" s="15" t="n"/>
      <c r="H97" s="15" t="n"/>
      <c r="I97" s="16" t="n"/>
      <c r="J97" s="15" t="n"/>
      <c r="K97" s="15" t="n"/>
    </row>
    <row r="98">
      <c r="A98" s="15" t="n"/>
      <c r="B98" s="15" t="n"/>
      <c r="C98" s="15" t="n"/>
      <c r="D98" s="15" t="n"/>
      <c r="E98" s="16" t="n"/>
      <c r="F98" s="15" t="n"/>
      <c r="G98" s="15" t="n"/>
      <c r="H98" s="15" t="n"/>
      <c r="I98" s="16" t="n"/>
      <c r="J98" s="15" t="n"/>
      <c r="K98" s="15" t="n"/>
    </row>
    <row r="99">
      <c r="A99" s="15" t="n"/>
      <c r="B99" s="15" t="n"/>
      <c r="C99" s="15" t="n"/>
      <c r="D99" s="15" t="n"/>
      <c r="E99" s="16" t="n"/>
      <c r="F99" s="15" t="n"/>
      <c r="G99" s="15" t="n"/>
      <c r="H99" s="15" t="n"/>
      <c r="I99" s="16" t="n"/>
      <c r="J99" s="15" t="n"/>
      <c r="K99" s="15" t="n"/>
    </row>
    <row r="100">
      <c r="A100" s="15" t="n"/>
      <c r="B100" s="15" t="n"/>
      <c r="C100" s="15" t="n"/>
      <c r="D100" s="15" t="n"/>
      <c r="E100" s="16" t="n"/>
      <c r="F100" s="15" t="n"/>
      <c r="G100" s="15" t="n"/>
      <c r="H100" s="15" t="n"/>
      <c r="I100" s="16" t="n"/>
      <c r="J100" s="15" t="n"/>
      <c r="K100" s="15" t="n"/>
    </row>
    <row r="101">
      <c r="A101" s="15" t="n"/>
      <c r="B101" s="15" t="n"/>
      <c r="C101" s="15" t="n"/>
      <c r="D101" s="15" t="n"/>
      <c r="E101" s="16" t="n"/>
      <c r="F101" s="15" t="n"/>
      <c r="G101" s="15" t="n"/>
      <c r="H101" s="15" t="n"/>
      <c r="I101" s="16" t="n"/>
      <c r="J101" s="15" t="n"/>
      <c r="K101" s="15" t="n"/>
    </row>
    <row r="102">
      <c r="A102" s="15" t="n"/>
      <c r="B102" s="15" t="n"/>
      <c r="C102" s="15" t="n"/>
      <c r="D102" s="15" t="n"/>
      <c r="E102" s="16" t="n"/>
      <c r="F102" s="15" t="n"/>
      <c r="G102" s="15" t="n"/>
      <c r="H102" s="15" t="n"/>
      <c r="I102" s="16" t="n"/>
      <c r="J102" s="15" t="n"/>
      <c r="K102" s="15" t="n"/>
    </row>
    <row r="103">
      <c r="A103" s="15" t="n"/>
      <c r="B103" s="15" t="n"/>
      <c r="C103" s="15" t="n"/>
      <c r="D103" s="15" t="n"/>
      <c r="E103" s="16" t="n"/>
      <c r="F103" s="15" t="n"/>
      <c r="G103" s="15" t="n"/>
      <c r="H103" s="15" t="n"/>
      <c r="I103" s="16" t="n"/>
      <c r="J103" s="15" t="n"/>
      <c r="K103" s="15" t="n"/>
    </row>
    <row r="104">
      <c r="A104" s="15" t="n"/>
      <c r="B104" s="15" t="n"/>
      <c r="C104" s="15" t="n"/>
      <c r="D104" s="15" t="n"/>
      <c r="E104" s="16" t="n"/>
      <c r="F104" s="15" t="n"/>
      <c r="G104" s="15" t="n"/>
      <c r="H104" s="15" t="n"/>
      <c r="I104" s="16" t="n"/>
      <c r="J104" s="15" t="n"/>
      <c r="K104" s="15" t="n"/>
    </row>
    <row r="105">
      <c r="A105" s="15" t="n"/>
      <c r="B105" s="15" t="n"/>
      <c r="C105" s="15" t="n"/>
      <c r="D105" s="15" t="n"/>
      <c r="E105" s="16" t="n"/>
      <c r="F105" s="15" t="n"/>
      <c r="G105" s="15" t="n"/>
      <c r="H105" s="15" t="n"/>
      <c r="I105" s="16" t="n"/>
      <c r="J105" s="15" t="n"/>
      <c r="K105" s="15" t="n"/>
    </row>
    <row r="106">
      <c r="A106" s="15" t="n"/>
      <c r="B106" s="15" t="n"/>
      <c r="C106" s="15" t="n"/>
      <c r="D106" s="15" t="n"/>
      <c r="E106" s="16" t="n"/>
      <c r="F106" s="15" t="n"/>
      <c r="G106" s="15" t="n"/>
      <c r="H106" s="15" t="n"/>
      <c r="I106" s="16" t="n"/>
      <c r="J106" s="15" t="n"/>
      <c r="K106" s="15" t="n"/>
    </row>
    <row r="107">
      <c r="A107" s="15" t="n"/>
      <c r="B107" s="15" t="n"/>
      <c r="C107" s="15" t="n"/>
      <c r="D107" s="15" t="n"/>
      <c r="E107" s="16" t="n"/>
      <c r="F107" s="15" t="n"/>
      <c r="G107" s="15" t="n"/>
      <c r="H107" s="15" t="n"/>
      <c r="I107" s="16" t="n"/>
      <c r="J107" s="15" t="n"/>
      <c r="K107" s="15" t="n"/>
    </row>
    <row r="108">
      <c r="A108" s="15" t="n"/>
      <c r="B108" s="15" t="n"/>
      <c r="C108" s="15" t="n"/>
      <c r="D108" s="15" t="n"/>
      <c r="E108" s="16" t="n"/>
      <c r="F108" s="15" t="n"/>
      <c r="G108" s="15" t="n"/>
      <c r="H108" s="15" t="n"/>
      <c r="I108" s="16" t="n"/>
      <c r="J108" s="15" t="n"/>
      <c r="K108" s="15" t="n"/>
    </row>
    <row r="109">
      <c r="A109" s="15" t="n"/>
      <c r="B109" s="15" t="n"/>
      <c r="C109" s="15" t="n"/>
      <c r="D109" s="15" t="n"/>
      <c r="E109" s="16" t="n"/>
      <c r="F109" s="15" t="n"/>
      <c r="G109" s="15" t="n"/>
      <c r="H109" s="15" t="n"/>
      <c r="I109" s="16" t="n"/>
      <c r="J109" s="15" t="n"/>
      <c r="K109" s="15" t="n"/>
    </row>
    <row r="110">
      <c r="A110" s="15" t="n"/>
      <c r="B110" s="15" t="n"/>
      <c r="C110" s="15" t="n"/>
      <c r="D110" s="15" t="n"/>
      <c r="E110" s="16" t="n"/>
      <c r="F110" s="15" t="n"/>
      <c r="G110" s="15" t="n"/>
      <c r="H110" s="15" t="n"/>
      <c r="I110" s="16" t="n"/>
      <c r="J110" s="15" t="n"/>
      <c r="K110" s="15" t="n"/>
    </row>
    <row r="111">
      <c r="A111" s="15" t="n"/>
      <c r="B111" s="15" t="n"/>
      <c r="C111" s="15" t="n"/>
      <c r="D111" s="15" t="n"/>
      <c r="E111" s="16" t="n"/>
      <c r="F111" s="15" t="n"/>
      <c r="G111" s="15" t="n"/>
      <c r="H111" s="15" t="n"/>
      <c r="I111" s="16" t="n"/>
      <c r="J111" s="15" t="n"/>
      <c r="K111" s="15" t="n"/>
    </row>
    <row r="112">
      <c r="A112" s="15" t="n"/>
      <c r="B112" s="15" t="n"/>
      <c r="C112" s="15" t="n"/>
      <c r="D112" s="15" t="n"/>
      <c r="E112" s="16" t="n"/>
      <c r="F112" s="15" t="n"/>
      <c r="G112" s="15" t="n"/>
      <c r="H112" s="15" t="n"/>
      <c r="I112" s="16" t="n"/>
      <c r="J112" s="15" t="n"/>
      <c r="K112" s="15" t="n"/>
    </row>
    <row r="113">
      <c r="A113" s="15" t="n"/>
      <c r="B113" s="15" t="n"/>
      <c r="C113" s="15" t="n"/>
      <c r="D113" s="15" t="n"/>
      <c r="E113" s="16" t="n"/>
      <c r="F113" s="15" t="n"/>
      <c r="G113" s="15" t="n"/>
      <c r="H113" s="15" t="n"/>
      <c r="I113" s="16" t="n"/>
      <c r="J113" s="15" t="n"/>
      <c r="K113" s="15" t="n"/>
    </row>
    <row r="114">
      <c r="A114" s="15" t="n"/>
      <c r="B114" s="15" t="n"/>
      <c r="C114" s="15" t="n"/>
      <c r="D114" s="15" t="n"/>
      <c r="E114" s="16" t="n"/>
      <c r="F114" s="15" t="n"/>
      <c r="G114" s="15" t="n"/>
      <c r="H114" s="15" t="n"/>
      <c r="I114" s="16" t="n"/>
      <c r="J114" s="15" t="n"/>
      <c r="K114" s="15" t="n"/>
    </row>
    <row r="115">
      <c r="A115" s="15" t="n"/>
      <c r="B115" s="15" t="n"/>
      <c r="C115" s="15" t="n"/>
      <c r="D115" s="15" t="n"/>
      <c r="E115" s="16" t="n"/>
      <c r="F115" s="15" t="n"/>
      <c r="G115" s="15" t="n"/>
      <c r="H115" s="15" t="n"/>
      <c r="I115" s="16" t="n"/>
      <c r="J115" s="15" t="n"/>
      <c r="K115" s="15" t="n"/>
    </row>
    <row r="116">
      <c r="A116" s="15" t="n"/>
      <c r="B116" s="15" t="n"/>
      <c r="C116" s="15" t="n"/>
      <c r="D116" s="15" t="n"/>
      <c r="E116" s="16" t="n"/>
      <c r="F116" s="15" t="n"/>
      <c r="G116" s="15" t="n"/>
      <c r="H116" s="15" t="n"/>
      <c r="I116" s="16" t="n"/>
      <c r="J116" s="15" t="n"/>
      <c r="K116" s="15" t="n"/>
    </row>
    <row r="117">
      <c r="A117" s="15" t="n"/>
      <c r="B117" s="15" t="n"/>
      <c r="C117" s="15" t="n"/>
      <c r="D117" s="15" t="n"/>
      <c r="E117" s="16" t="n"/>
      <c r="F117" s="15" t="n"/>
      <c r="G117" s="15" t="n"/>
      <c r="H117" s="15" t="n"/>
      <c r="I117" s="16" t="n"/>
      <c r="J117" s="15" t="n"/>
      <c r="K117" s="15" t="n"/>
    </row>
    <row r="118">
      <c r="A118" s="15" t="n"/>
      <c r="B118" s="15" t="n"/>
      <c r="C118" s="15" t="n"/>
      <c r="D118" s="15" t="n"/>
      <c r="E118" s="16" t="n"/>
      <c r="F118" s="15" t="n"/>
      <c r="G118" s="15" t="n"/>
      <c r="H118" s="15" t="n"/>
      <c r="I118" s="16" t="n"/>
      <c r="J118" s="15" t="n"/>
      <c r="K118" s="15" t="n"/>
    </row>
    <row r="119">
      <c r="A119" s="15" t="n"/>
      <c r="B119" s="15" t="n"/>
      <c r="C119" s="15" t="n"/>
      <c r="D119" s="15" t="n"/>
      <c r="E119" s="16" t="n"/>
      <c r="F119" s="15" t="n"/>
      <c r="G119" s="15" t="n"/>
      <c r="H119" s="15" t="n"/>
      <c r="I119" s="16" t="n"/>
      <c r="J119" s="15" t="n"/>
      <c r="K119" s="15" t="n"/>
    </row>
    <row r="120">
      <c r="E120" s="27" t="n"/>
      <c r="I120" s="27" t="n"/>
    </row>
    <row r="121">
      <c r="E121" s="27" t="n"/>
      <c r="I121" s="27" t="n"/>
    </row>
    <row r="122">
      <c r="E122" s="27" t="n"/>
      <c r="I122" s="27" t="n"/>
    </row>
    <row r="123">
      <c r="E123" s="27" t="n"/>
      <c r="I123" s="27" t="n"/>
    </row>
    <row r="124">
      <c r="E124" s="27" t="n"/>
      <c r="I124" s="27" t="n"/>
    </row>
    <row r="125">
      <c r="E125" s="27" t="n"/>
      <c r="I125" s="27" t="n"/>
    </row>
    <row r="126">
      <c r="E126" s="27" t="n"/>
      <c r="I126" s="27" t="n"/>
    </row>
    <row r="127">
      <c r="E127" s="27" t="n"/>
      <c r="I127" s="27" t="n"/>
    </row>
    <row r="128">
      <c r="E128" s="27" t="n"/>
      <c r="I128" s="27" t="n"/>
    </row>
    <row r="129">
      <c r="E129" s="27" t="n"/>
      <c r="I129" s="27" t="n"/>
    </row>
    <row r="130">
      <c r="E130" s="27" t="n"/>
      <c r="I130" s="27" t="n"/>
    </row>
    <row r="131">
      <c r="E131" s="27" t="n"/>
      <c r="I131" s="27" t="n"/>
    </row>
    <row r="132">
      <c r="E132" s="27" t="n"/>
      <c r="I132" s="27" t="n"/>
    </row>
    <row r="133">
      <c r="E133" s="27" t="n"/>
      <c r="I133" s="27" t="n"/>
    </row>
    <row r="134">
      <c r="E134" s="27" t="n"/>
      <c r="I134" s="27" t="n"/>
    </row>
    <row r="135">
      <c r="E135" s="27" t="n"/>
      <c r="I135" s="27" t="n"/>
    </row>
    <row r="136">
      <c r="E136" s="27" t="n"/>
      <c r="I136" s="27" t="n"/>
    </row>
    <row r="137">
      <c r="E137" s="27" t="n"/>
      <c r="I137" s="27" t="n"/>
    </row>
    <row r="138">
      <c r="E138" s="27" t="n"/>
      <c r="I138" s="27" t="n"/>
    </row>
    <row r="139">
      <c r="E139" s="27" t="n"/>
      <c r="I139" s="27" t="n"/>
    </row>
    <row r="140">
      <c r="E140" s="27" t="n"/>
      <c r="I140" s="27" t="n"/>
    </row>
    <row r="141">
      <c r="E141" s="27" t="n"/>
      <c r="I141" s="27" t="n"/>
    </row>
    <row r="142">
      <c r="E142" s="27" t="n"/>
      <c r="I142" s="27" t="n"/>
    </row>
    <row r="143">
      <c r="E143" s="27" t="n"/>
      <c r="I143" s="27" t="n"/>
    </row>
    <row r="144">
      <c r="E144" s="27" t="n"/>
      <c r="I144" s="27" t="n"/>
    </row>
    <row r="145">
      <c r="E145" s="27" t="n"/>
      <c r="I145" s="27" t="n"/>
    </row>
    <row r="146">
      <c r="E146" s="27" t="n"/>
      <c r="I146" s="27" t="n"/>
    </row>
    <row r="147">
      <c r="E147" s="27" t="n"/>
      <c r="I147" s="27" t="n"/>
    </row>
    <row r="148">
      <c r="E148" s="27" t="n"/>
      <c r="I148" s="27" t="n"/>
    </row>
    <row r="149">
      <c r="E149" s="27" t="n"/>
      <c r="I149" s="27" t="n"/>
    </row>
    <row r="150">
      <c r="E150" s="27" t="n"/>
      <c r="I150" s="27" t="n"/>
    </row>
    <row r="151">
      <c r="E151" s="27" t="n"/>
      <c r="I151" s="27" t="n"/>
    </row>
    <row r="152">
      <c r="E152" s="27" t="n"/>
      <c r="I152" s="27" t="n"/>
    </row>
    <row r="153">
      <c r="E153" s="27" t="n"/>
      <c r="I153" s="27" t="n"/>
    </row>
    <row r="154">
      <c r="E154" s="27" t="n"/>
      <c r="I154" s="27" t="n"/>
    </row>
    <row r="155">
      <c r="E155" s="27" t="n"/>
      <c r="I155" s="27" t="n"/>
    </row>
    <row r="156">
      <c r="E156" s="27" t="n"/>
      <c r="I156" s="27" t="n"/>
    </row>
    <row r="157">
      <c r="E157" s="27" t="n"/>
      <c r="I157" s="27" t="n"/>
    </row>
    <row r="158">
      <c r="E158" s="27" t="n"/>
      <c r="I158" s="27" t="n"/>
    </row>
    <row r="159">
      <c r="E159" s="27" t="n"/>
      <c r="I159" s="27" t="n"/>
    </row>
    <row r="160">
      <c r="E160" s="27" t="n"/>
      <c r="I160" s="27" t="n"/>
    </row>
    <row r="161">
      <c r="E161" s="27" t="n"/>
      <c r="I161" s="27" t="n"/>
    </row>
    <row r="162">
      <c r="E162" s="27" t="n"/>
      <c r="I162" s="27" t="n"/>
    </row>
    <row r="163">
      <c r="E163" s="27" t="n"/>
      <c r="I163" s="27" t="n"/>
    </row>
    <row r="164">
      <c r="E164" s="27" t="n"/>
      <c r="I164" s="27" t="n"/>
    </row>
    <row r="165">
      <c r="E165" s="27" t="n"/>
      <c r="I165" s="27" t="n"/>
    </row>
    <row r="166">
      <c r="E166" s="27" t="n"/>
      <c r="I166" s="27" t="n"/>
    </row>
    <row r="167">
      <c r="E167" s="27" t="n"/>
      <c r="I167" s="27" t="n"/>
    </row>
    <row r="168">
      <c r="E168" s="27" t="n"/>
      <c r="I168" s="27" t="n"/>
    </row>
    <row r="169">
      <c r="E169" s="27" t="n"/>
      <c r="I169" s="27" t="n"/>
    </row>
    <row r="170">
      <c r="E170" s="27" t="n"/>
      <c r="I170" s="27" t="n"/>
    </row>
    <row r="171">
      <c r="E171" s="27" t="n"/>
      <c r="I171" s="27" t="n"/>
    </row>
    <row r="172">
      <c r="E172" s="27" t="n"/>
      <c r="I172" s="27" t="n"/>
    </row>
    <row r="173">
      <c r="E173" s="27" t="n"/>
      <c r="I173" s="27" t="n"/>
    </row>
    <row r="174">
      <c r="E174" s="27" t="n"/>
      <c r="I174" s="27" t="n"/>
    </row>
    <row r="175">
      <c r="E175" s="27" t="n"/>
      <c r="I175" s="27" t="n"/>
    </row>
    <row r="176">
      <c r="E176" s="27" t="n"/>
      <c r="I176" s="27" t="n"/>
    </row>
    <row r="177">
      <c r="E177" s="27" t="n"/>
      <c r="I177" s="27" t="n"/>
    </row>
    <row r="178">
      <c r="E178" s="27" t="n"/>
      <c r="I178" s="27" t="n"/>
    </row>
    <row r="179">
      <c r="E179" s="27" t="n"/>
      <c r="I179" s="27" t="n"/>
    </row>
    <row r="180">
      <c r="E180" s="27" t="n"/>
      <c r="I180" s="27" t="n"/>
    </row>
    <row r="181">
      <c r="E181" s="27" t="n"/>
      <c r="I181" s="27" t="n"/>
    </row>
    <row r="182">
      <c r="E182" s="27" t="n"/>
      <c r="I182" s="27" t="n"/>
    </row>
    <row r="183">
      <c r="E183" s="27" t="n"/>
      <c r="I183" s="27" t="n"/>
    </row>
    <row r="184">
      <c r="E184" s="27" t="n"/>
      <c r="I184" s="27" t="n"/>
    </row>
    <row r="185">
      <c r="E185" s="27" t="n"/>
      <c r="I185" s="27" t="n"/>
    </row>
    <row r="186">
      <c r="E186" s="27" t="n"/>
      <c r="I186" s="27" t="n"/>
    </row>
    <row r="187">
      <c r="E187" s="27" t="n"/>
      <c r="I187" s="27" t="n"/>
    </row>
    <row r="188">
      <c r="E188" s="27" t="n"/>
      <c r="I188" s="27" t="n"/>
    </row>
    <row r="189">
      <c r="E189" s="27" t="n"/>
      <c r="I189" s="27" t="n"/>
    </row>
    <row r="190">
      <c r="E190" s="27" t="n"/>
      <c r="I190" s="27" t="n"/>
    </row>
    <row r="191">
      <c r="E191" s="27" t="n"/>
      <c r="I191" s="27" t="n"/>
    </row>
    <row r="192">
      <c r="E192" s="27" t="n"/>
      <c r="I192" s="27" t="n"/>
    </row>
    <row r="193">
      <c r="E193" s="27" t="n"/>
      <c r="I193" s="27" t="n"/>
    </row>
    <row r="194">
      <c r="E194" s="27" t="n"/>
      <c r="I194" s="27" t="n"/>
    </row>
    <row r="195">
      <c r="E195" s="27" t="n"/>
      <c r="I195" s="27" t="n"/>
    </row>
    <row r="196">
      <c r="E196" s="27" t="n"/>
      <c r="I196" s="27" t="n"/>
    </row>
    <row r="197">
      <c r="E197" s="27" t="n"/>
      <c r="I197" s="27" t="n"/>
    </row>
    <row r="198">
      <c r="E198" s="27" t="n"/>
      <c r="I198" s="27" t="n"/>
    </row>
    <row r="199">
      <c r="E199" s="27" t="n"/>
      <c r="I199" s="27" t="n"/>
    </row>
    <row r="200">
      <c r="E200" s="27" t="n"/>
      <c r="I200" s="27" t="n"/>
    </row>
    <row r="201">
      <c r="E201" s="27" t="n"/>
      <c r="I201" s="27" t="n"/>
    </row>
    <row r="202">
      <c r="E202" s="27" t="n"/>
      <c r="I202" s="27" t="n"/>
    </row>
    <row r="203">
      <c r="E203" s="27" t="n"/>
      <c r="I203" s="27" t="n"/>
    </row>
    <row r="204">
      <c r="E204" s="27" t="n"/>
      <c r="I204" s="27" t="n"/>
    </row>
    <row r="205">
      <c r="E205" s="27" t="n"/>
      <c r="I205" s="27" t="n"/>
    </row>
    <row r="206">
      <c r="E206" s="27" t="n"/>
      <c r="I206" s="27" t="n"/>
    </row>
    <row r="207">
      <c r="E207" s="27" t="n"/>
      <c r="I207" s="27" t="n"/>
    </row>
    <row r="208">
      <c r="E208" s="27" t="n"/>
      <c r="I208" s="27" t="n"/>
    </row>
    <row r="209">
      <c r="E209" s="27" t="n"/>
      <c r="I209" s="27" t="n"/>
    </row>
    <row r="210">
      <c r="E210" s="27" t="n"/>
      <c r="I210" s="27" t="n"/>
    </row>
    <row r="211">
      <c r="E211" s="27" t="n"/>
      <c r="I211" s="27" t="n"/>
    </row>
    <row r="212">
      <c r="E212" s="27" t="n"/>
      <c r="I212" s="27" t="n"/>
    </row>
    <row r="213">
      <c r="E213" s="27" t="n"/>
      <c r="I213" s="27" t="n"/>
    </row>
    <row r="214">
      <c r="E214" s="27" t="n"/>
      <c r="I214" s="27" t="n"/>
    </row>
    <row r="215">
      <c r="E215" s="27" t="n"/>
      <c r="I215" s="27" t="n"/>
    </row>
    <row r="216">
      <c r="E216" s="27" t="n"/>
      <c r="I216" s="27" t="n"/>
    </row>
    <row r="217">
      <c r="E217" s="27" t="n"/>
      <c r="I217" s="27" t="n"/>
    </row>
    <row r="218">
      <c r="E218" s="27" t="n"/>
      <c r="I218" s="27" t="n"/>
    </row>
    <row r="219">
      <c r="E219" s="27" t="n"/>
      <c r="I219" s="27" t="n"/>
    </row>
    <row r="220">
      <c r="E220" s="27" t="n"/>
      <c r="I220" s="27" t="n"/>
    </row>
    <row r="221">
      <c r="E221" s="27" t="n"/>
      <c r="I221" s="27" t="n"/>
    </row>
    <row r="222">
      <c r="E222" s="27" t="n"/>
      <c r="I222" s="27" t="n"/>
    </row>
    <row r="223">
      <c r="E223" s="27" t="n"/>
      <c r="I223" s="27" t="n"/>
    </row>
    <row r="224">
      <c r="E224" s="27" t="n"/>
      <c r="I224" s="27" t="n"/>
    </row>
    <row r="225">
      <c r="E225" s="27" t="n"/>
      <c r="I225" s="27" t="n"/>
    </row>
    <row r="226">
      <c r="E226" s="27" t="n"/>
      <c r="I226" s="27" t="n"/>
    </row>
    <row r="227">
      <c r="E227" s="27" t="n"/>
      <c r="I227" s="27" t="n"/>
    </row>
    <row r="228">
      <c r="E228" s="27" t="n"/>
      <c r="I228" s="27" t="n"/>
    </row>
    <row r="229">
      <c r="E229" s="27" t="n"/>
      <c r="I229" s="27" t="n"/>
    </row>
    <row r="230">
      <c r="E230" s="27" t="n"/>
      <c r="I230" s="27" t="n"/>
    </row>
    <row r="231">
      <c r="E231" s="27" t="n"/>
      <c r="I231" s="27" t="n"/>
    </row>
    <row r="232">
      <c r="E232" s="27" t="n"/>
      <c r="I232" s="27" t="n"/>
    </row>
    <row r="233">
      <c r="E233" s="27" t="n"/>
      <c r="I233" s="27" t="n"/>
    </row>
    <row r="234">
      <c r="E234" s="27" t="n"/>
      <c r="I234" s="27" t="n"/>
    </row>
    <row r="235">
      <c r="E235" s="27" t="n"/>
      <c r="I235" s="27" t="n"/>
    </row>
    <row r="236">
      <c r="E236" s="27" t="n"/>
      <c r="I236" s="27" t="n"/>
    </row>
    <row r="237">
      <c r="E237" s="27" t="n"/>
      <c r="I237" s="27" t="n"/>
    </row>
    <row r="238">
      <c r="E238" s="27" t="n"/>
      <c r="I238" s="27" t="n"/>
    </row>
    <row r="239">
      <c r="E239" s="27" t="n"/>
      <c r="I239" s="27" t="n"/>
    </row>
    <row r="240">
      <c r="E240" s="27" t="n"/>
      <c r="I240" s="27" t="n"/>
    </row>
    <row r="241">
      <c r="E241" s="27" t="n"/>
      <c r="I241" s="27" t="n"/>
    </row>
    <row r="242">
      <c r="E242" s="27" t="n"/>
      <c r="I242" s="27" t="n"/>
    </row>
    <row r="243">
      <c r="E243" s="27" t="n"/>
      <c r="I243" s="27" t="n"/>
    </row>
    <row r="244">
      <c r="E244" s="27" t="n"/>
      <c r="I244" s="27" t="n"/>
    </row>
    <row r="245">
      <c r="E245" s="27" t="n"/>
      <c r="I245" s="27" t="n"/>
    </row>
    <row r="246">
      <c r="E246" s="27" t="n"/>
      <c r="I246" s="27" t="n"/>
    </row>
    <row r="247">
      <c r="E247" s="27" t="n"/>
      <c r="I247" s="27" t="n"/>
    </row>
    <row r="248">
      <c r="E248" s="27" t="n"/>
      <c r="I248" s="27" t="n"/>
    </row>
    <row r="249">
      <c r="E249" s="27" t="n"/>
      <c r="I249" s="27" t="n"/>
    </row>
    <row r="250">
      <c r="E250" s="27" t="n"/>
      <c r="I250" s="27" t="n"/>
    </row>
    <row r="251">
      <c r="E251" s="27" t="n"/>
      <c r="I251" s="27" t="n"/>
    </row>
    <row r="252">
      <c r="E252" s="27" t="n"/>
      <c r="I252" s="27" t="n"/>
    </row>
    <row r="253">
      <c r="E253" s="27" t="n"/>
      <c r="I253" s="27" t="n"/>
    </row>
    <row r="254">
      <c r="E254" s="27" t="n"/>
      <c r="I254" s="27" t="n"/>
    </row>
    <row r="255">
      <c r="E255" s="27" t="n"/>
      <c r="I255" s="27" t="n"/>
    </row>
    <row r="256">
      <c r="E256" s="27" t="n"/>
      <c r="I256" s="27" t="n"/>
    </row>
    <row r="257">
      <c r="E257" s="27" t="n"/>
      <c r="I257" s="27" t="n"/>
    </row>
    <row r="258">
      <c r="E258" s="27" t="n"/>
      <c r="I258" s="27" t="n"/>
    </row>
    <row r="259">
      <c r="E259" s="27" t="n"/>
      <c r="I259" s="27" t="n"/>
    </row>
    <row r="260">
      <c r="E260" s="27" t="n"/>
      <c r="I260" s="27" t="n"/>
    </row>
    <row r="261">
      <c r="E261" s="27" t="n"/>
      <c r="I261" s="27" t="n"/>
    </row>
    <row r="262">
      <c r="E262" s="27" t="n"/>
      <c r="I262" s="27" t="n"/>
    </row>
    <row r="263">
      <c r="E263" s="27" t="n"/>
      <c r="I263" s="27" t="n"/>
    </row>
    <row r="264">
      <c r="E264" s="27" t="n"/>
      <c r="I264" s="27" t="n"/>
    </row>
    <row r="265">
      <c r="E265" s="27" t="n"/>
      <c r="I265" s="27" t="n"/>
    </row>
    <row r="266">
      <c r="E266" s="27" t="n"/>
      <c r="I266" s="27" t="n"/>
    </row>
    <row r="267">
      <c r="E267" s="27" t="n"/>
      <c r="I267" s="27" t="n"/>
    </row>
    <row r="268">
      <c r="E268" s="27" t="n"/>
      <c r="I268" s="27" t="n"/>
    </row>
    <row r="269">
      <c r="E269" s="27" t="n"/>
      <c r="I269" s="27" t="n"/>
    </row>
    <row r="270">
      <c r="E270" s="27" t="n"/>
      <c r="I270" s="27" t="n"/>
    </row>
    <row r="271">
      <c r="E271" s="27" t="n"/>
      <c r="I271" s="27" t="n"/>
    </row>
    <row r="272">
      <c r="E272" s="27" t="n"/>
      <c r="I272" s="27" t="n"/>
    </row>
    <row r="273">
      <c r="E273" s="27" t="n"/>
      <c r="I273" s="27" t="n"/>
    </row>
    <row r="274">
      <c r="E274" s="27" t="n"/>
      <c r="I274" s="27" t="n"/>
    </row>
    <row r="275">
      <c r="E275" s="27" t="n"/>
      <c r="I275" s="27" t="n"/>
    </row>
    <row r="276">
      <c r="E276" s="27" t="n"/>
      <c r="I276" s="27" t="n"/>
    </row>
    <row r="277">
      <c r="E277" s="27" t="n"/>
      <c r="I277" s="27" t="n"/>
    </row>
    <row r="278">
      <c r="E278" s="27" t="n"/>
      <c r="I278" s="27" t="n"/>
    </row>
    <row r="279">
      <c r="E279" s="27" t="n"/>
      <c r="I279" s="27" t="n"/>
    </row>
    <row r="280">
      <c r="E280" s="27" t="n"/>
      <c r="I280" s="27" t="n"/>
    </row>
    <row r="281">
      <c r="E281" s="27" t="n"/>
      <c r="I281" s="27" t="n"/>
    </row>
    <row r="282">
      <c r="E282" s="27" t="n"/>
      <c r="I282" s="27" t="n"/>
    </row>
    <row r="283">
      <c r="E283" s="27" t="n"/>
      <c r="I283" s="27" t="n"/>
    </row>
    <row r="284">
      <c r="E284" s="27" t="n"/>
      <c r="I284" s="27" t="n"/>
    </row>
    <row r="285">
      <c r="E285" s="27" t="n"/>
      <c r="I285" s="27" t="n"/>
    </row>
    <row r="286">
      <c r="E286" s="27" t="n"/>
      <c r="I286" s="27" t="n"/>
    </row>
    <row r="287">
      <c r="E287" s="27" t="n"/>
      <c r="I287" s="27" t="n"/>
    </row>
    <row r="288">
      <c r="E288" s="27" t="n"/>
      <c r="I288" s="27" t="n"/>
    </row>
    <row r="289">
      <c r="E289" s="27" t="n"/>
      <c r="I289" s="27" t="n"/>
    </row>
    <row r="290">
      <c r="E290" s="27" t="n"/>
      <c r="I290" s="27" t="n"/>
    </row>
    <row r="291">
      <c r="E291" s="27" t="n"/>
      <c r="I291" s="27" t="n"/>
    </row>
    <row r="292">
      <c r="E292" s="27" t="n"/>
      <c r="I292" s="27" t="n"/>
    </row>
    <row r="293">
      <c r="E293" s="27" t="n"/>
      <c r="I293" s="27" t="n"/>
    </row>
    <row r="294">
      <c r="E294" s="27" t="n"/>
      <c r="I294" s="27" t="n"/>
    </row>
    <row r="295">
      <c r="E295" s="27" t="n"/>
      <c r="I295" s="27" t="n"/>
    </row>
    <row r="296">
      <c r="E296" s="27" t="n"/>
      <c r="I296" s="27" t="n"/>
    </row>
    <row r="297">
      <c r="E297" s="27" t="n"/>
      <c r="I297" s="27" t="n"/>
    </row>
    <row r="298">
      <c r="E298" s="27" t="n"/>
      <c r="I298" s="27" t="n"/>
    </row>
    <row r="299">
      <c r="E299" s="27" t="n"/>
      <c r="I299" s="27" t="n"/>
    </row>
    <row r="300">
      <c r="E300" s="27" t="n"/>
      <c r="I300" s="27" t="n"/>
    </row>
    <row r="301">
      <c r="E301" s="27" t="n"/>
      <c r="I301" s="27" t="n"/>
    </row>
    <row r="302">
      <c r="E302" s="27" t="n"/>
      <c r="I302" s="27" t="n"/>
    </row>
    <row r="303">
      <c r="E303" s="27" t="n"/>
      <c r="I303" s="27" t="n"/>
    </row>
    <row r="304">
      <c r="E304" s="27" t="n"/>
      <c r="I304" s="27" t="n"/>
    </row>
    <row r="305">
      <c r="E305" s="27" t="n"/>
      <c r="I305" s="27" t="n"/>
    </row>
    <row r="306">
      <c r="E306" s="27" t="n"/>
      <c r="I306" s="27" t="n"/>
    </row>
    <row r="307">
      <c r="E307" s="27" t="n"/>
      <c r="I307" s="27" t="n"/>
    </row>
    <row r="308">
      <c r="E308" s="27" t="n"/>
      <c r="I308" s="27" t="n"/>
    </row>
    <row r="309">
      <c r="E309" s="27" t="n"/>
      <c r="I309" s="27" t="n"/>
    </row>
    <row r="310">
      <c r="E310" s="27" t="n"/>
      <c r="I310" s="27" t="n"/>
    </row>
    <row r="311">
      <c r="E311" s="27" t="n"/>
      <c r="I311" s="27" t="n"/>
    </row>
    <row r="312">
      <c r="E312" s="27" t="n"/>
      <c r="I312" s="27" t="n"/>
    </row>
    <row r="313">
      <c r="E313" s="27" t="n"/>
      <c r="I313" s="27" t="n"/>
    </row>
    <row r="314">
      <c r="E314" s="27" t="n"/>
      <c r="I314" s="27" t="n"/>
    </row>
    <row r="315">
      <c r="E315" s="27" t="n"/>
      <c r="I315" s="27" t="n"/>
    </row>
    <row r="316">
      <c r="E316" s="27" t="n"/>
      <c r="I316" s="27" t="n"/>
    </row>
    <row r="317">
      <c r="E317" s="27" t="n"/>
      <c r="I317" s="27" t="n"/>
    </row>
    <row r="318">
      <c r="E318" s="27" t="n"/>
      <c r="I318" s="27" t="n"/>
    </row>
    <row r="319">
      <c r="E319" s="27" t="n"/>
      <c r="I319" s="27" t="n"/>
    </row>
    <row r="320">
      <c r="E320" s="27" t="n"/>
      <c r="I320" s="27" t="n"/>
    </row>
    <row r="321">
      <c r="E321" s="27" t="n"/>
      <c r="I321" s="27" t="n"/>
    </row>
    <row r="322">
      <c r="E322" s="27" t="n"/>
      <c r="I322" s="27" t="n"/>
    </row>
    <row r="323">
      <c r="E323" s="27" t="n"/>
      <c r="I323" s="27" t="n"/>
    </row>
    <row r="324">
      <c r="E324" s="27" t="n"/>
      <c r="I324" s="27" t="n"/>
    </row>
    <row r="325">
      <c r="E325" s="27" t="n"/>
      <c r="I325" s="27" t="n"/>
    </row>
    <row r="326">
      <c r="E326" s="27" t="n"/>
      <c r="I326" s="27" t="n"/>
    </row>
    <row r="327">
      <c r="E327" s="27" t="n"/>
      <c r="I327" s="27" t="n"/>
    </row>
    <row r="328">
      <c r="E328" s="27" t="n"/>
      <c r="I328" s="27" t="n"/>
    </row>
    <row r="329">
      <c r="E329" s="27" t="n"/>
      <c r="I329" s="27" t="n"/>
    </row>
    <row r="330">
      <c r="E330" s="27" t="n"/>
      <c r="I330" s="27" t="n"/>
    </row>
    <row r="331">
      <c r="E331" s="27" t="n"/>
      <c r="I331" s="27" t="n"/>
    </row>
    <row r="332">
      <c r="E332" s="27" t="n"/>
      <c r="I332" s="27" t="n"/>
    </row>
    <row r="333">
      <c r="E333" s="27" t="n"/>
      <c r="I333" s="27" t="n"/>
    </row>
    <row r="334">
      <c r="E334" s="27" t="n"/>
      <c r="I334" s="27" t="n"/>
    </row>
    <row r="335">
      <c r="E335" s="27" t="n"/>
      <c r="I335" s="27" t="n"/>
    </row>
    <row r="336">
      <c r="E336" s="27" t="n"/>
      <c r="I336" s="27" t="n"/>
    </row>
    <row r="337">
      <c r="E337" s="27" t="n"/>
      <c r="I337" s="27" t="n"/>
    </row>
    <row r="338">
      <c r="E338" s="27" t="n"/>
      <c r="I338" s="27" t="n"/>
    </row>
    <row r="339">
      <c r="E339" s="27" t="n"/>
      <c r="I339" s="27" t="n"/>
    </row>
    <row r="340">
      <c r="E340" s="27" t="n"/>
      <c r="I340" s="27" t="n"/>
    </row>
    <row r="341">
      <c r="E341" s="27" t="n"/>
      <c r="I341" s="27" t="n"/>
    </row>
    <row r="342">
      <c r="E342" s="27" t="n"/>
      <c r="I342" s="27" t="n"/>
    </row>
    <row r="343">
      <c r="E343" s="27" t="n"/>
      <c r="I343" s="27" t="n"/>
    </row>
    <row r="344">
      <c r="E344" s="27" t="n"/>
      <c r="I344" s="27" t="n"/>
    </row>
    <row r="345">
      <c r="E345" s="27" t="n"/>
      <c r="I345" s="27" t="n"/>
    </row>
    <row r="346">
      <c r="E346" s="27" t="n"/>
      <c r="I346" s="27" t="n"/>
    </row>
    <row r="347">
      <c r="E347" s="27" t="n"/>
      <c r="I347" s="27" t="n"/>
    </row>
    <row r="348">
      <c r="E348" s="27" t="n"/>
      <c r="I348" s="27" t="n"/>
    </row>
    <row r="349">
      <c r="E349" s="27" t="n"/>
      <c r="I349" s="27" t="n"/>
    </row>
    <row r="350">
      <c r="E350" s="27" t="n"/>
      <c r="I350" s="27" t="n"/>
    </row>
    <row r="351">
      <c r="E351" s="27" t="n"/>
      <c r="I351" s="27" t="n"/>
    </row>
    <row r="352">
      <c r="E352" s="27" t="n"/>
      <c r="I352" s="27" t="n"/>
    </row>
    <row r="353">
      <c r="E353" s="27" t="n"/>
      <c r="I353" s="27" t="n"/>
    </row>
    <row r="354">
      <c r="E354" s="27" t="n"/>
      <c r="I354" s="27" t="n"/>
    </row>
    <row r="355">
      <c r="E355" s="27" t="n"/>
      <c r="I355" s="27" t="n"/>
    </row>
    <row r="356">
      <c r="E356" s="27" t="n"/>
      <c r="I356" s="27" t="n"/>
    </row>
    <row r="357">
      <c r="E357" s="27" t="n"/>
      <c r="I357" s="27" t="n"/>
    </row>
    <row r="358">
      <c r="E358" s="27" t="n"/>
      <c r="I358" s="27" t="n"/>
    </row>
    <row r="359">
      <c r="E359" s="27" t="n"/>
      <c r="I359" s="27" t="n"/>
    </row>
    <row r="360">
      <c r="E360" s="27" t="n"/>
      <c r="I360" s="27" t="n"/>
    </row>
    <row r="361">
      <c r="E361" s="27" t="n"/>
      <c r="I361" s="27" t="n"/>
    </row>
    <row r="362">
      <c r="E362" s="27" t="n"/>
      <c r="I362" s="27" t="n"/>
    </row>
    <row r="363">
      <c r="E363" s="27" t="n"/>
      <c r="I363" s="27" t="n"/>
    </row>
    <row r="364">
      <c r="E364" s="27" t="n"/>
      <c r="I364" s="27" t="n"/>
    </row>
    <row r="365">
      <c r="E365" s="27" t="n"/>
      <c r="I365" s="27" t="n"/>
    </row>
    <row r="366">
      <c r="E366" s="27" t="n"/>
      <c r="I366" s="27" t="n"/>
    </row>
    <row r="367">
      <c r="E367" s="27" t="n"/>
      <c r="I367" s="27" t="n"/>
    </row>
    <row r="368">
      <c r="E368" s="27" t="n"/>
      <c r="I368" s="27" t="n"/>
    </row>
    <row r="369">
      <c r="E369" s="27" t="n"/>
      <c r="I369" s="27" t="n"/>
    </row>
    <row r="370">
      <c r="E370" s="27" t="n"/>
      <c r="I370" s="27" t="n"/>
    </row>
    <row r="371">
      <c r="E371" s="27" t="n"/>
      <c r="I371" s="27" t="n"/>
    </row>
    <row r="372">
      <c r="E372" s="27" t="n"/>
      <c r="I372" s="27" t="n"/>
    </row>
    <row r="373">
      <c r="E373" s="27" t="n"/>
      <c r="I373" s="27" t="n"/>
    </row>
    <row r="374">
      <c r="E374" s="27" t="n"/>
      <c r="I374" s="27" t="n"/>
    </row>
    <row r="375">
      <c r="E375" s="27" t="n"/>
      <c r="I375" s="27" t="n"/>
    </row>
    <row r="376">
      <c r="E376" s="27" t="n"/>
      <c r="I376" s="27" t="n"/>
    </row>
    <row r="377">
      <c r="E377" s="27" t="n"/>
      <c r="I377" s="27" t="n"/>
    </row>
    <row r="378">
      <c r="E378" s="27" t="n"/>
      <c r="I378" s="27" t="n"/>
    </row>
    <row r="379">
      <c r="E379" s="27" t="n"/>
      <c r="I379" s="27" t="n"/>
    </row>
    <row r="380">
      <c r="E380" s="27" t="n"/>
      <c r="I380" s="27" t="n"/>
    </row>
    <row r="381">
      <c r="E381" s="27" t="n"/>
      <c r="I381" s="27" t="n"/>
    </row>
    <row r="382">
      <c r="E382" s="27" t="n"/>
      <c r="I382" s="27" t="n"/>
    </row>
    <row r="383">
      <c r="E383" s="27" t="n"/>
      <c r="I383" s="27" t="n"/>
    </row>
    <row r="384">
      <c r="E384" s="27" t="n"/>
      <c r="I384" s="27" t="n"/>
    </row>
    <row r="385">
      <c r="E385" s="27" t="n"/>
      <c r="I385" s="27" t="n"/>
    </row>
    <row r="386">
      <c r="E386" s="27" t="n"/>
      <c r="I386" s="27" t="n"/>
    </row>
    <row r="387">
      <c r="E387" s="27" t="n"/>
      <c r="I387" s="27" t="n"/>
    </row>
    <row r="388">
      <c r="E388" s="27" t="n"/>
      <c r="I388" s="27" t="n"/>
    </row>
    <row r="389">
      <c r="E389" s="27" t="n"/>
      <c r="I389" s="27" t="n"/>
    </row>
    <row r="390">
      <c r="E390" s="27" t="n"/>
      <c r="I390" s="27" t="n"/>
    </row>
    <row r="391">
      <c r="E391" s="27" t="n"/>
      <c r="I391" s="27" t="n"/>
    </row>
    <row r="392">
      <c r="E392" s="27" t="n"/>
      <c r="I392" s="27" t="n"/>
    </row>
    <row r="393">
      <c r="E393" s="27" t="n"/>
      <c r="I393" s="27" t="n"/>
    </row>
    <row r="394">
      <c r="E394" s="27" t="n"/>
      <c r="I394" s="27" t="n"/>
    </row>
    <row r="395">
      <c r="E395" s="27" t="n"/>
      <c r="I395" s="27" t="n"/>
    </row>
    <row r="396">
      <c r="E396" s="27" t="n"/>
      <c r="I396" s="27" t="n"/>
    </row>
    <row r="397">
      <c r="E397" s="27" t="n"/>
      <c r="I397" s="27" t="n"/>
    </row>
    <row r="398">
      <c r="E398" s="27" t="n"/>
      <c r="I398" s="27" t="n"/>
    </row>
    <row r="399">
      <c r="E399" s="27" t="n"/>
      <c r="I399" s="27" t="n"/>
    </row>
    <row r="400">
      <c r="E400" s="27" t="n"/>
      <c r="I400" s="27" t="n"/>
    </row>
    <row r="401">
      <c r="E401" s="27" t="n"/>
      <c r="I401" s="27" t="n"/>
    </row>
    <row r="402">
      <c r="E402" s="27" t="n"/>
      <c r="I402" s="27" t="n"/>
    </row>
    <row r="403">
      <c r="E403" s="27" t="n"/>
      <c r="I403" s="27" t="n"/>
    </row>
    <row r="404">
      <c r="E404" s="27" t="n"/>
      <c r="I404" s="27" t="n"/>
    </row>
    <row r="405">
      <c r="E405" s="27" t="n"/>
      <c r="I405" s="27" t="n"/>
    </row>
    <row r="406">
      <c r="E406" s="27" t="n"/>
      <c r="I406" s="27" t="n"/>
    </row>
    <row r="407">
      <c r="E407" s="27" t="n"/>
      <c r="I407" s="27" t="n"/>
    </row>
    <row r="408">
      <c r="E408" s="27" t="n"/>
      <c r="I408" s="27" t="n"/>
    </row>
    <row r="409">
      <c r="E409" s="27" t="n"/>
      <c r="I409" s="27" t="n"/>
    </row>
    <row r="410">
      <c r="E410" s="27" t="n"/>
      <c r="I410" s="27" t="n"/>
    </row>
    <row r="411">
      <c r="E411" s="27" t="n"/>
      <c r="I411" s="27" t="n"/>
    </row>
    <row r="412">
      <c r="E412" s="27" t="n"/>
      <c r="I412" s="27" t="n"/>
    </row>
    <row r="413">
      <c r="E413" s="27" t="n"/>
      <c r="I413" s="27" t="n"/>
    </row>
    <row r="414">
      <c r="E414" s="27" t="n"/>
      <c r="I414" s="27" t="n"/>
    </row>
    <row r="415">
      <c r="E415" s="27" t="n"/>
      <c r="I415" s="27" t="n"/>
    </row>
    <row r="416">
      <c r="E416" s="27" t="n"/>
      <c r="I416" s="27" t="n"/>
    </row>
    <row r="417">
      <c r="E417" s="27" t="n"/>
      <c r="I417" s="27" t="n"/>
    </row>
    <row r="418">
      <c r="E418" s="27" t="n"/>
      <c r="I418" s="27" t="n"/>
    </row>
    <row r="419">
      <c r="E419" s="27" t="n"/>
      <c r="I419" s="27" t="n"/>
    </row>
    <row r="420">
      <c r="E420" s="27" t="n"/>
      <c r="I420" s="27" t="n"/>
    </row>
    <row r="421">
      <c r="E421" s="27" t="n"/>
      <c r="I421" s="27" t="n"/>
    </row>
    <row r="422">
      <c r="E422" s="27" t="n"/>
      <c r="I422" s="27" t="n"/>
    </row>
    <row r="423">
      <c r="E423" s="27" t="n"/>
      <c r="I423" s="27" t="n"/>
    </row>
    <row r="424">
      <c r="E424" s="27" t="n"/>
      <c r="I424" s="27" t="n"/>
    </row>
    <row r="425">
      <c r="E425" s="27" t="n"/>
      <c r="I425" s="27" t="n"/>
    </row>
    <row r="426">
      <c r="E426" s="27" t="n"/>
      <c r="I426" s="27" t="n"/>
    </row>
    <row r="427">
      <c r="E427" s="27" t="n"/>
      <c r="I427" s="27" t="n"/>
    </row>
    <row r="428">
      <c r="E428" s="27" t="n"/>
      <c r="I428" s="27" t="n"/>
    </row>
    <row r="429">
      <c r="E429" s="27" t="n"/>
      <c r="I429" s="27" t="n"/>
    </row>
    <row r="430">
      <c r="E430" s="27" t="n"/>
      <c r="I430" s="27" t="n"/>
    </row>
    <row r="431">
      <c r="E431" s="27" t="n"/>
      <c r="I431" s="27" t="n"/>
    </row>
    <row r="432">
      <c r="E432" s="27" t="n"/>
      <c r="I432" s="27" t="n"/>
    </row>
    <row r="433">
      <c r="E433" s="27" t="n"/>
      <c r="I433" s="27" t="n"/>
    </row>
    <row r="434">
      <c r="E434" s="27" t="n"/>
      <c r="I434" s="27" t="n"/>
    </row>
    <row r="435">
      <c r="E435" s="27" t="n"/>
      <c r="I435" s="27" t="n"/>
    </row>
    <row r="436">
      <c r="E436" s="27" t="n"/>
      <c r="I436" s="27" t="n"/>
    </row>
    <row r="437">
      <c r="E437" s="27" t="n"/>
      <c r="I437" s="27" t="n"/>
    </row>
    <row r="438">
      <c r="E438" s="27" t="n"/>
      <c r="I438" s="27" t="n"/>
    </row>
    <row r="439">
      <c r="E439" s="27" t="n"/>
      <c r="I439" s="27" t="n"/>
    </row>
    <row r="440">
      <c r="E440" s="27" t="n"/>
      <c r="I440" s="27" t="n"/>
    </row>
    <row r="441">
      <c r="E441" s="27" t="n"/>
      <c r="I441" s="27" t="n"/>
    </row>
    <row r="442">
      <c r="E442" s="27" t="n"/>
      <c r="I442" s="27" t="n"/>
    </row>
    <row r="443">
      <c r="E443" s="27" t="n"/>
      <c r="I443" s="27" t="n"/>
    </row>
    <row r="444">
      <c r="E444" s="27" t="n"/>
      <c r="I444" s="27" t="n"/>
    </row>
    <row r="445">
      <c r="E445" s="27" t="n"/>
      <c r="I445" s="27" t="n"/>
    </row>
    <row r="446">
      <c r="E446" s="27" t="n"/>
      <c r="I446" s="27" t="n"/>
    </row>
    <row r="447">
      <c r="E447" s="27" t="n"/>
      <c r="I447" s="27" t="n"/>
    </row>
    <row r="448">
      <c r="E448" s="27" t="n"/>
      <c r="I448" s="27" t="n"/>
    </row>
    <row r="449">
      <c r="E449" s="27" t="n"/>
      <c r="I449" s="27" t="n"/>
    </row>
    <row r="450">
      <c r="E450" s="27" t="n"/>
      <c r="I450" s="27" t="n"/>
    </row>
    <row r="451">
      <c r="E451" s="27" t="n"/>
      <c r="I451" s="27" t="n"/>
    </row>
    <row r="452">
      <c r="E452" s="27" t="n"/>
      <c r="I452" s="27" t="n"/>
    </row>
    <row r="453">
      <c r="E453" s="27" t="n"/>
      <c r="I453" s="27" t="n"/>
    </row>
    <row r="454">
      <c r="E454" s="27" t="n"/>
      <c r="I454" s="27" t="n"/>
    </row>
    <row r="455">
      <c r="E455" s="27" t="n"/>
      <c r="I455" s="27" t="n"/>
    </row>
    <row r="456">
      <c r="E456" s="27" t="n"/>
      <c r="I456" s="27" t="n"/>
    </row>
    <row r="457">
      <c r="E457" s="27" t="n"/>
      <c r="I457" s="27" t="n"/>
    </row>
    <row r="458">
      <c r="E458" s="27" t="n"/>
      <c r="I458" s="27" t="n"/>
    </row>
    <row r="459">
      <c r="E459" s="27" t="n"/>
      <c r="I459" s="27" t="n"/>
    </row>
    <row r="460">
      <c r="E460" s="27" t="n"/>
      <c r="I460" s="27" t="n"/>
    </row>
    <row r="461">
      <c r="E461" s="27" t="n"/>
      <c r="I461" s="27" t="n"/>
    </row>
    <row r="462">
      <c r="E462" s="27" t="n"/>
      <c r="I462" s="27" t="n"/>
    </row>
    <row r="463">
      <c r="E463" s="27" t="n"/>
      <c r="I463" s="27" t="n"/>
    </row>
    <row r="464">
      <c r="E464" s="27" t="n"/>
      <c r="I464" s="27" t="n"/>
    </row>
    <row r="465">
      <c r="E465" s="27" t="n"/>
      <c r="I465" s="27" t="n"/>
    </row>
    <row r="466">
      <c r="E466" s="27" t="n"/>
      <c r="I466" s="27" t="n"/>
    </row>
    <row r="467">
      <c r="E467" s="27" t="n"/>
      <c r="I467" s="27" t="n"/>
    </row>
    <row r="468">
      <c r="E468" s="27" t="n"/>
      <c r="I468" s="27" t="n"/>
    </row>
    <row r="469">
      <c r="E469" s="27" t="n"/>
      <c r="I469" s="27" t="n"/>
    </row>
    <row r="470">
      <c r="E470" s="27" t="n"/>
      <c r="I470" s="27" t="n"/>
    </row>
    <row r="471">
      <c r="E471" s="27" t="n"/>
      <c r="I471" s="27" t="n"/>
    </row>
    <row r="472">
      <c r="E472" s="27" t="n"/>
      <c r="I472" s="27" t="n"/>
    </row>
    <row r="473">
      <c r="E473" s="27" t="n"/>
      <c r="I473" s="27" t="n"/>
    </row>
    <row r="474">
      <c r="E474" s="27" t="n"/>
      <c r="I474" s="27" t="n"/>
    </row>
    <row r="475">
      <c r="E475" s="27" t="n"/>
      <c r="I475" s="27" t="n"/>
    </row>
    <row r="476">
      <c r="E476" s="27" t="n"/>
      <c r="I476" s="27" t="n"/>
    </row>
    <row r="477">
      <c r="E477" s="27" t="n"/>
      <c r="I477" s="27" t="n"/>
    </row>
    <row r="478">
      <c r="E478" s="27" t="n"/>
      <c r="I478" s="27" t="n"/>
    </row>
    <row r="479">
      <c r="E479" s="27" t="n"/>
      <c r="I479" s="27" t="n"/>
    </row>
    <row r="480">
      <c r="E480" s="27" t="n"/>
      <c r="I480" s="27" t="n"/>
    </row>
    <row r="481">
      <c r="E481" s="27" t="n"/>
      <c r="I481" s="27" t="n"/>
    </row>
    <row r="482">
      <c r="E482" s="27" t="n"/>
      <c r="I482" s="27" t="n"/>
    </row>
    <row r="483">
      <c r="E483" s="27" t="n"/>
      <c r="I483" s="27" t="n"/>
    </row>
    <row r="484">
      <c r="E484" s="27" t="n"/>
      <c r="I484" s="27" t="n"/>
    </row>
    <row r="485">
      <c r="E485" s="27" t="n"/>
      <c r="I485" s="27" t="n"/>
    </row>
    <row r="486">
      <c r="E486" s="27" t="n"/>
      <c r="I486" s="27" t="n"/>
    </row>
    <row r="487">
      <c r="E487" s="27" t="n"/>
      <c r="I487" s="27" t="n"/>
    </row>
    <row r="488">
      <c r="E488" s="27" t="n"/>
      <c r="I488" s="27" t="n"/>
    </row>
    <row r="489">
      <c r="E489" s="27" t="n"/>
      <c r="I489" s="27" t="n"/>
    </row>
    <row r="490">
      <c r="E490" s="27" t="n"/>
      <c r="I490" s="27" t="n"/>
    </row>
    <row r="491">
      <c r="E491" s="27" t="n"/>
      <c r="I491" s="27" t="n"/>
    </row>
    <row r="492">
      <c r="E492" s="27" t="n"/>
      <c r="I492" s="27" t="n"/>
    </row>
    <row r="493">
      <c r="E493" s="27" t="n"/>
      <c r="I493" s="27" t="n"/>
    </row>
    <row r="494">
      <c r="E494" s="27" t="n"/>
      <c r="I494" s="27" t="n"/>
    </row>
    <row r="495">
      <c r="E495" s="27" t="n"/>
      <c r="I495" s="27" t="n"/>
    </row>
    <row r="496">
      <c r="E496" s="27" t="n"/>
      <c r="I496" s="27" t="n"/>
    </row>
    <row r="497">
      <c r="E497" s="27" t="n"/>
      <c r="I497" s="27" t="n"/>
    </row>
    <row r="498">
      <c r="E498" s="27" t="n"/>
      <c r="I498" s="27" t="n"/>
    </row>
    <row r="499">
      <c r="E499" s="27" t="n"/>
      <c r="I499" s="27" t="n"/>
    </row>
    <row r="500">
      <c r="E500" s="27" t="n"/>
      <c r="I500" s="27" t="n"/>
    </row>
    <row r="501">
      <c r="E501" s="27" t="n"/>
      <c r="I501" s="27" t="n"/>
    </row>
    <row r="502">
      <c r="E502" s="27" t="n"/>
      <c r="I502" s="27" t="n"/>
    </row>
    <row r="503">
      <c r="E503" s="27" t="n"/>
      <c r="I503" s="27" t="n"/>
    </row>
    <row r="504">
      <c r="E504" s="27" t="n"/>
      <c r="I504" s="27" t="n"/>
    </row>
    <row r="505">
      <c r="E505" s="27" t="n"/>
      <c r="I505" s="27" t="n"/>
    </row>
    <row r="506">
      <c r="E506" s="27" t="n"/>
      <c r="I506" s="27" t="n"/>
    </row>
    <row r="507">
      <c r="E507" s="27" t="n"/>
      <c r="I507" s="27" t="n"/>
    </row>
    <row r="508">
      <c r="E508" s="27" t="n"/>
      <c r="I508" s="27" t="n"/>
    </row>
    <row r="509">
      <c r="E509" s="27" t="n"/>
      <c r="I509" s="27" t="n"/>
    </row>
    <row r="510">
      <c r="E510" s="27" t="n"/>
      <c r="I510" s="27" t="n"/>
    </row>
    <row r="511">
      <c r="E511" s="27" t="n"/>
      <c r="I511" s="27" t="n"/>
    </row>
    <row r="512">
      <c r="E512" s="27" t="n"/>
      <c r="I512" s="27" t="n"/>
    </row>
    <row r="513">
      <c r="E513" s="27" t="n"/>
      <c r="I513" s="27" t="n"/>
    </row>
    <row r="514">
      <c r="E514" s="27" t="n"/>
      <c r="I514" s="27" t="n"/>
    </row>
    <row r="515">
      <c r="E515" s="27" t="n"/>
      <c r="I515" s="27" t="n"/>
    </row>
    <row r="516">
      <c r="E516" s="27" t="n"/>
      <c r="I516" s="27" t="n"/>
    </row>
    <row r="517">
      <c r="E517" s="27" t="n"/>
      <c r="I517" s="27" t="n"/>
    </row>
    <row r="518">
      <c r="E518" s="27" t="n"/>
      <c r="I518" s="27" t="n"/>
    </row>
    <row r="519">
      <c r="E519" s="27" t="n"/>
      <c r="I519" s="27" t="n"/>
    </row>
    <row r="520">
      <c r="E520" s="27" t="n"/>
      <c r="I520" s="27" t="n"/>
    </row>
    <row r="521">
      <c r="E521" s="27" t="n"/>
      <c r="I521" s="27" t="n"/>
    </row>
    <row r="522">
      <c r="E522" s="27" t="n"/>
      <c r="I522" s="27" t="n"/>
    </row>
    <row r="523">
      <c r="E523" s="27" t="n"/>
      <c r="I523" s="27" t="n"/>
    </row>
    <row r="524">
      <c r="E524" s="27" t="n"/>
      <c r="I524" s="27" t="n"/>
    </row>
    <row r="525">
      <c r="E525" s="27" t="n"/>
      <c r="I525" s="27" t="n"/>
    </row>
    <row r="526">
      <c r="E526" s="27" t="n"/>
      <c r="I526" s="27" t="n"/>
    </row>
    <row r="527">
      <c r="E527" s="27" t="n"/>
      <c r="I527" s="27" t="n"/>
    </row>
    <row r="528">
      <c r="E528" s="27" t="n"/>
      <c r="I528" s="27" t="n"/>
    </row>
    <row r="529">
      <c r="E529" s="27" t="n"/>
      <c r="I529" s="27" t="n"/>
    </row>
    <row r="530">
      <c r="E530" s="27" t="n"/>
      <c r="I530" s="27" t="n"/>
    </row>
    <row r="531">
      <c r="E531" s="27" t="n"/>
      <c r="I531" s="27" t="n"/>
    </row>
    <row r="532">
      <c r="E532" s="27" t="n"/>
      <c r="I532" s="27" t="n"/>
    </row>
    <row r="533">
      <c r="E533" s="27" t="n"/>
      <c r="I533" s="27" t="n"/>
    </row>
    <row r="534">
      <c r="E534" s="27" t="n"/>
      <c r="I534" s="27" t="n"/>
    </row>
    <row r="535">
      <c r="E535" s="27" t="n"/>
      <c r="I535" s="27" t="n"/>
    </row>
    <row r="536">
      <c r="E536" s="27" t="n"/>
      <c r="I536" s="27" t="n"/>
    </row>
    <row r="537">
      <c r="E537" s="27" t="n"/>
      <c r="I537" s="27" t="n"/>
    </row>
    <row r="538">
      <c r="E538" s="27" t="n"/>
      <c r="I538" s="27" t="n"/>
    </row>
    <row r="539">
      <c r="E539" s="27" t="n"/>
      <c r="I539" s="27" t="n"/>
    </row>
    <row r="540">
      <c r="E540" s="27" t="n"/>
      <c r="I540" s="27" t="n"/>
    </row>
    <row r="541">
      <c r="E541" s="27" t="n"/>
      <c r="I541" s="27" t="n"/>
    </row>
    <row r="542">
      <c r="E542" s="27" t="n"/>
      <c r="I542" s="27" t="n"/>
    </row>
    <row r="543">
      <c r="E543" s="27" t="n"/>
      <c r="I543" s="27" t="n"/>
    </row>
    <row r="544">
      <c r="E544" s="27" t="n"/>
      <c r="I544" s="27" t="n"/>
    </row>
    <row r="545">
      <c r="E545" s="27" t="n"/>
      <c r="I545" s="27" t="n"/>
    </row>
    <row r="546">
      <c r="E546" s="27" t="n"/>
      <c r="I546" s="27" t="n"/>
    </row>
    <row r="547">
      <c r="E547" s="27" t="n"/>
      <c r="I547" s="27" t="n"/>
    </row>
    <row r="548">
      <c r="E548" s="27" t="n"/>
      <c r="I548" s="27" t="n"/>
    </row>
    <row r="549">
      <c r="E549" s="27" t="n"/>
      <c r="I549" s="27" t="n"/>
    </row>
    <row r="550">
      <c r="E550" s="27" t="n"/>
      <c r="I550" s="27" t="n"/>
    </row>
    <row r="551">
      <c r="E551" s="27" t="n"/>
      <c r="I551" s="27" t="n"/>
    </row>
    <row r="552">
      <c r="E552" s="27" t="n"/>
      <c r="I552" s="27" t="n"/>
    </row>
    <row r="553">
      <c r="E553" s="27" t="n"/>
      <c r="I553" s="27" t="n"/>
    </row>
    <row r="554">
      <c r="E554" s="27" t="n"/>
      <c r="I554" s="27" t="n"/>
    </row>
    <row r="555">
      <c r="E555" s="27" t="n"/>
      <c r="I555" s="27" t="n"/>
    </row>
    <row r="556">
      <c r="E556" s="27" t="n"/>
      <c r="I556" s="27" t="n"/>
    </row>
    <row r="557">
      <c r="E557" s="27" t="n"/>
      <c r="I557" s="27" t="n"/>
    </row>
    <row r="558">
      <c r="E558" s="27" t="n"/>
      <c r="I558" s="27" t="n"/>
    </row>
    <row r="559">
      <c r="E559" s="27" t="n"/>
      <c r="I559" s="27" t="n"/>
    </row>
    <row r="560">
      <c r="E560" s="27" t="n"/>
      <c r="I560" s="27" t="n"/>
    </row>
    <row r="561">
      <c r="E561" s="27" t="n"/>
      <c r="I561" s="27" t="n"/>
    </row>
    <row r="562">
      <c r="E562" s="27" t="n"/>
      <c r="I562" s="27" t="n"/>
    </row>
    <row r="563">
      <c r="E563" s="27" t="n"/>
      <c r="I563" s="27" t="n"/>
    </row>
    <row r="564">
      <c r="E564" s="27" t="n"/>
      <c r="I564" s="27" t="n"/>
    </row>
    <row r="565">
      <c r="E565" s="27" t="n"/>
      <c r="I565" s="27" t="n"/>
    </row>
    <row r="566">
      <c r="E566" s="27" t="n"/>
      <c r="I566" s="27" t="n"/>
    </row>
    <row r="567">
      <c r="E567" s="27" t="n"/>
      <c r="I567" s="27" t="n"/>
    </row>
    <row r="568">
      <c r="E568" s="27" t="n"/>
      <c r="I568" s="27" t="n"/>
    </row>
    <row r="569">
      <c r="E569" s="27" t="n"/>
      <c r="I569" s="27" t="n"/>
    </row>
    <row r="570">
      <c r="E570" s="27" t="n"/>
      <c r="I570" s="27" t="n"/>
    </row>
    <row r="571">
      <c r="E571" s="27" t="n"/>
      <c r="I571" s="27" t="n"/>
    </row>
    <row r="572">
      <c r="E572" s="27" t="n"/>
      <c r="I572" s="27" t="n"/>
    </row>
    <row r="573">
      <c r="E573" s="27" t="n"/>
      <c r="I573" s="27" t="n"/>
    </row>
    <row r="574">
      <c r="E574" s="27" t="n"/>
      <c r="I574" s="27" t="n"/>
    </row>
    <row r="575">
      <c r="E575" s="27" t="n"/>
      <c r="I575" s="27" t="n"/>
    </row>
    <row r="576">
      <c r="E576" s="27" t="n"/>
      <c r="I576" s="27" t="n"/>
    </row>
    <row r="577">
      <c r="E577" s="27" t="n"/>
      <c r="I577" s="27" t="n"/>
    </row>
    <row r="578">
      <c r="E578" s="27" t="n"/>
      <c r="I578" s="27" t="n"/>
    </row>
    <row r="579">
      <c r="E579" s="27" t="n"/>
      <c r="I579" s="27" t="n"/>
    </row>
    <row r="580">
      <c r="E580" s="27" t="n"/>
      <c r="I580" s="27" t="n"/>
    </row>
    <row r="581">
      <c r="E581" s="27" t="n"/>
      <c r="I581" s="27" t="n"/>
    </row>
    <row r="582">
      <c r="E582" s="27" t="n"/>
      <c r="I582" s="27" t="n"/>
    </row>
    <row r="583">
      <c r="E583" s="27" t="n"/>
      <c r="I583" s="27" t="n"/>
    </row>
    <row r="584">
      <c r="E584" s="27" t="n"/>
      <c r="I584" s="27" t="n"/>
    </row>
    <row r="585">
      <c r="E585" s="27" t="n"/>
      <c r="I585" s="27" t="n"/>
    </row>
    <row r="586">
      <c r="E586" s="27" t="n"/>
      <c r="I586" s="27" t="n"/>
    </row>
    <row r="587">
      <c r="E587" s="27" t="n"/>
      <c r="I587" s="27" t="n"/>
    </row>
    <row r="588">
      <c r="E588" s="27" t="n"/>
      <c r="I588" s="27" t="n"/>
    </row>
    <row r="589">
      <c r="E589" s="27" t="n"/>
      <c r="I589" s="27" t="n"/>
    </row>
    <row r="590">
      <c r="E590" s="27" t="n"/>
      <c r="I590" s="27" t="n"/>
    </row>
    <row r="591">
      <c r="E591" s="27" t="n"/>
      <c r="I591" s="27" t="n"/>
    </row>
    <row r="592">
      <c r="E592" s="27" t="n"/>
      <c r="I592" s="27" t="n"/>
    </row>
    <row r="593">
      <c r="E593" s="27" t="n"/>
      <c r="I593" s="27" t="n"/>
    </row>
    <row r="594">
      <c r="E594" s="27" t="n"/>
      <c r="I594" s="27" t="n"/>
    </row>
    <row r="595">
      <c r="E595" s="27" t="n"/>
      <c r="I595" s="27" t="n"/>
    </row>
    <row r="596">
      <c r="E596" s="27" t="n"/>
      <c r="I596" s="27" t="n"/>
    </row>
    <row r="597">
      <c r="E597" s="27" t="n"/>
      <c r="I597" s="27" t="n"/>
    </row>
    <row r="598">
      <c r="E598" s="27" t="n"/>
      <c r="I598" s="27" t="n"/>
    </row>
    <row r="599">
      <c r="E599" s="27" t="n"/>
      <c r="I599" s="27" t="n"/>
    </row>
    <row r="600">
      <c r="E600" s="27" t="n"/>
      <c r="I600" s="27" t="n"/>
    </row>
    <row r="601">
      <c r="E601" s="27" t="n"/>
      <c r="I601" s="27" t="n"/>
    </row>
    <row r="602">
      <c r="E602" s="27" t="n"/>
      <c r="I602" s="27" t="n"/>
    </row>
    <row r="603">
      <c r="E603" s="27" t="n"/>
      <c r="I603" s="27" t="n"/>
    </row>
    <row r="604">
      <c r="E604" s="27" t="n"/>
      <c r="I604" s="27" t="n"/>
    </row>
    <row r="605">
      <c r="E605" s="27" t="n"/>
      <c r="I605" s="27" t="n"/>
    </row>
    <row r="606">
      <c r="E606" s="27" t="n"/>
      <c r="I606" s="27" t="n"/>
    </row>
    <row r="607">
      <c r="E607" s="27" t="n"/>
      <c r="I607" s="27" t="n"/>
    </row>
    <row r="608">
      <c r="E608" s="27" t="n"/>
      <c r="I608" s="27" t="n"/>
    </row>
    <row r="609">
      <c r="E609" s="27" t="n"/>
      <c r="I609" s="27" t="n"/>
    </row>
    <row r="610">
      <c r="E610" s="27" t="n"/>
      <c r="I610" s="27" t="n"/>
    </row>
    <row r="611">
      <c r="E611" s="27" t="n"/>
      <c r="I611" s="27" t="n"/>
    </row>
    <row r="612">
      <c r="E612" s="27" t="n"/>
      <c r="I612" s="27" t="n"/>
    </row>
    <row r="613">
      <c r="E613" s="27" t="n"/>
      <c r="I613" s="27" t="n"/>
    </row>
    <row r="614">
      <c r="E614" s="27" t="n"/>
      <c r="I614" s="27" t="n"/>
    </row>
    <row r="615">
      <c r="E615" s="27" t="n"/>
      <c r="I615" s="27" t="n"/>
    </row>
    <row r="616">
      <c r="E616" s="27" t="n"/>
      <c r="I616" s="27" t="n"/>
    </row>
    <row r="617">
      <c r="E617" s="27" t="n"/>
      <c r="I617" s="27" t="n"/>
    </row>
    <row r="618">
      <c r="E618" s="27" t="n"/>
      <c r="I618" s="27" t="n"/>
    </row>
    <row r="619">
      <c r="E619" s="27" t="n"/>
      <c r="I619" s="27" t="n"/>
    </row>
    <row r="620">
      <c r="E620" s="27" t="n"/>
      <c r="I620" s="27" t="n"/>
    </row>
    <row r="621">
      <c r="E621" s="27" t="n"/>
      <c r="I621" s="27" t="n"/>
    </row>
    <row r="622">
      <c r="E622" s="27" t="n"/>
      <c r="I622" s="27" t="n"/>
    </row>
    <row r="623">
      <c r="E623" s="27" t="n"/>
      <c r="I623" s="27" t="n"/>
    </row>
    <row r="624">
      <c r="E624" s="27" t="n"/>
      <c r="I624" s="27" t="n"/>
    </row>
    <row r="625">
      <c r="E625" s="27" t="n"/>
      <c r="I625" s="27" t="n"/>
    </row>
    <row r="626">
      <c r="E626" s="27" t="n"/>
      <c r="I626" s="27" t="n"/>
    </row>
    <row r="627">
      <c r="E627" s="27" t="n"/>
      <c r="I627" s="27" t="n"/>
    </row>
    <row r="628">
      <c r="E628" s="27" t="n"/>
      <c r="I628" s="27" t="n"/>
    </row>
    <row r="629">
      <c r="E629" s="27" t="n"/>
      <c r="I629" s="27" t="n"/>
    </row>
    <row r="630">
      <c r="E630" s="27" t="n"/>
      <c r="I630" s="27" t="n"/>
    </row>
    <row r="631">
      <c r="E631" s="27" t="n"/>
      <c r="I631" s="27" t="n"/>
    </row>
    <row r="632">
      <c r="E632" s="27" t="n"/>
      <c r="I632" s="27" t="n"/>
    </row>
    <row r="633">
      <c r="E633" s="27" t="n"/>
      <c r="I633" s="27" t="n"/>
    </row>
    <row r="634">
      <c r="E634" s="27" t="n"/>
      <c r="I634" s="27" t="n"/>
    </row>
    <row r="635">
      <c r="E635" s="27" t="n"/>
      <c r="I635" s="27" t="n"/>
    </row>
    <row r="636">
      <c r="E636" s="27" t="n"/>
      <c r="I636" s="27" t="n"/>
    </row>
    <row r="637">
      <c r="E637" s="27" t="n"/>
      <c r="I637" s="27" t="n"/>
    </row>
    <row r="638">
      <c r="E638" s="27" t="n"/>
      <c r="I638" s="27" t="n"/>
    </row>
    <row r="639">
      <c r="E639" s="27" t="n"/>
      <c r="I639" s="27" t="n"/>
    </row>
    <row r="640">
      <c r="E640" s="27" t="n"/>
      <c r="I640" s="27" t="n"/>
    </row>
    <row r="641">
      <c r="E641" s="27" t="n"/>
      <c r="I641" s="27" t="n"/>
    </row>
    <row r="642">
      <c r="E642" s="27" t="n"/>
      <c r="I642" s="27" t="n"/>
    </row>
    <row r="643">
      <c r="E643" s="27" t="n"/>
      <c r="I643" s="27" t="n"/>
    </row>
    <row r="644">
      <c r="E644" s="27" t="n"/>
      <c r="I644" s="27" t="n"/>
    </row>
    <row r="645">
      <c r="E645" s="27" t="n"/>
      <c r="I645" s="27" t="n"/>
    </row>
    <row r="646">
      <c r="E646" s="27" t="n"/>
      <c r="I646" s="27" t="n"/>
    </row>
    <row r="647">
      <c r="E647" s="27" t="n"/>
      <c r="I647" s="27" t="n"/>
    </row>
    <row r="648">
      <c r="E648" s="27" t="n"/>
      <c r="I648" s="27" t="n"/>
    </row>
    <row r="649">
      <c r="E649" s="27" t="n"/>
      <c r="I649" s="27" t="n"/>
    </row>
    <row r="650">
      <c r="E650" s="27" t="n"/>
      <c r="I650" s="27" t="n"/>
    </row>
    <row r="651">
      <c r="E651" s="27" t="n"/>
      <c r="I651" s="27" t="n"/>
    </row>
    <row r="652">
      <c r="E652" s="27" t="n"/>
      <c r="I652" s="27" t="n"/>
    </row>
    <row r="653">
      <c r="E653" s="27" t="n"/>
      <c r="I653" s="27" t="n"/>
    </row>
    <row r="654">
      <c r="E654" s="27" t="n"/>
      <c r="I654" s="27" t="n"/>
    </row>
    <row r="655">
      <c r="E655" s="27" t="n"/>
      <c r="I655" s="27" t="n"/>
    </row>
    <row r="656">
      <c r="E656" s="27" t="n"/>
      <c r="I656" s="27" t="n"/>
    </row>
    <row r="657">
      <c r="E657" s="27" t="n"/>
      <c r="I657" s="27" t="n"/>
    </row>
    <row r="658">
      <c r="E658" s="27" t="n"/>
      <c r="I658" s="27" t="n"/>
    </row>
    <row r="659">
      <c r="E659" s="27" t="n"/>
      <c r="I659" s="27" t="n"/>
    </row>
    <row r="660">
      <c r="E660" s="27" t="n"/>
      <c r="I660" s="27" t="n"/>
    </row>
    <row r="661">
      <c r="E661" s="27" t="n"/>
      <c r="I661" s="27" t="n"/>
    </row>
    <row r="662">
      <c r="E662" s="27" t="n"/>
      <c r="I662" s="27" t="n"/>
    </row>
    <row r="663">
      <c r="E663" s="27" t="n"/>
      <c r="I663" s="27" t="n"/>
    </row>
    <row r="664">
      <c r="E664" s="27" t="n"/>
      <c r="I664" s="27" t="n"/>
    </row>
    <row r="665">
      <c r="E665" s="27" t="n"/>
      <c r="I665" s="27" t="n"/>
    </row>
    <row r="666">
      <c r="E666" s="27" t="n"/>
      <c r="I666" s="27" t="n"/>
    </row>
    <row r="667">
      <c r="E667" s="27" t="n"/>
      <c r="I667" s="27" t="n"/>
    </row>
    <row r="668">
      <c r="E668" s="27" t="n"/>
      <c r="I668" s="27" t="n"/>
    </row>
    <row r="669">
      <c r="E669" s="27" t="n"/>
      <c r="I669" s="27" t="n"/>
    </row>
    <row r="670">
      <c r="E670" s="27" t="n"/>
      <c r="I670" s="27" t="n"/>
    </row>
    <row r="671">
      <c r="E671" s="27" t="n"/>
      <c r="I671" s="27" t="n"/>
    </row>
    <row r="672">
      <c r="E672" s="27" t="n"/>
      <c r="I672" s="27" t="n"/>
    </row>
    <row r="673">
      <c r="E673" s="27" t="n"/>
      <c r="I673" s="27" t="n"/>
    </row>
    <row r="674">
      <c r="E674" s="27" t="n"/>
      <c r="I674" s="27" t="n"/>
    </row>
    <row r="675">
      <c r="E675" s="27" t="n"/>
      <c r="I675" s="27" t="n"/>
    </row>
    <row r="676">
      <c r="E676" s="27" t="n"/>
      <c r="I676" s="27" t="n"/>
    </row>
    <row r="677">
      <c r="E677" s="27" t="n"/>
      <c r="I677" s="27" t="n"/>
    </row>
    <row r="678">
      <c r="E678" s="27" t="n"/>
      <c r="I678" s="27" t="n"/>
    </row>
    <row r="679">
      <c r="E679" s="27" t="n"/>
      <c r="I679" s="27" t="n"/>
    </row>
    <row r="680">
      <c r="E680" s="27" t="n"/>
      <c r="I680" s="27" t="n"/>
    </row>
    <row r="681">
      <c r="E681" s="27" t="n"/>
      <c r="I681" s="27" t="n"/>
    </row>
    <row r="682">
      <c r="E682" s="27" t="n"/>
      <c r="I682" s="27" t="n"/>
    </row>
    <row r="683">
      <c r="E683" s="27" t="n"/>
      <c r="I683" s="27" t="n"/>
    </row>
    <row r="684">
      <c r="E684" s="27" t="n"/>
      <c r="I684" s="27" t="n"/>
    </row>
    <row r="685">
      <c r="E685" s="27" t="n"/>
      <c r="I685" s="27" t="n"/>
    </row>
    <row r="686">
      <c r="E686" s="27" t="n"/>
      <c r="I686" s="27" t="n"/>
    </row>
    <row r="687">
      <c r="E687" s="27" t="n"/>
      <c r="I687" s="27" t="n"/>
    </row>
    <row r="688">
      <c r="E688" s="27" t="n"/>
      <c r="I688" s="27" t="n"/>
    </row>
    <row r="689">
      <c r="E689" s="27" t="n"/>
      <c r="I689" s="27" t="n"/>
    </row>
    <row r="690">
      <c r="E690" s="27" t="n"/>
      <c r="I690" s="27" t="n"/>
    </row>
    <row r="691">
      <c r="E691" s="27" t="n"/>
      <c r="I691" s="27" t="n"/>
    </row>
    <row r="692">
      <c r="E692" s="27" t="n"/>
      <c r="I692" s="27" t="n"/>
    </row>
    <row r="693">
      <c r="E693" s="27" t="n"/>
      <c r="I693" s="27" t="n"/>
    </row>
    <row r="694">
      <c r="E694" s="27" t="n"/>
      <c r="I694" s="27" t="n"/>
    </row>
    <row r="695">
      <c r="E695" s="27" t="n"/>
      <c r="I695" s="27" t="n"/>
    </row>
    <row r="696">
      <c r="E696" s="27" t="n"/>
      <c r="I696" s="27" t="n"/>
    </row>
    <row r="697">
      <c r="E697" s="27" t="n"/>
      <c r="I697" s="27" t="n"/>
    </row>
    <row r="698">
      <c r="E698" s="27" t="n"/>
      <c r="I698" s="27" t="n"/>
    </row>
    <row r="699">
      <c r="E699" s="27" t="n"/>
      <c r="I699" s="27" t="n"/>
    </row>
    <row r="700">
      <c r="E700" s="27" t="n"/>
      <c r="I700" s="27" t="n"/>
    </row>
  </sheetData>
  <mergeCells count="2">
    <mergeCell ref="A1:K1"/>
    <mergeCell ref="A3:K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"All,Pending,Approved,Rejected,Deferred"</formula1>
    </dataValidation>
    <dataValidation sqref="G2" showDropDown="0" showInputMessage="0" showErrorMessage="1" allowBlank="1" errorTitle="Invalid selection" error="Select from dropdown." type="list">
      <formula1>"All,Not Started,In Progress,Blocked,Completed,Delayed,Deferred,On Hold"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1" t="inlineStr">
        <is>
          <t>UAT Testing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Module</t>
        </is>
      </c>
      <c r="E2" s="3" t="inlineStr">
        <is>
          <t>All</t>
        </is>
      </c>
      <c r="F2" s="18" t="inlineStr">
        <is>
          <t>Result</t>
        </is>
      </c>
      <c r="G2" s="3" t="inlineStr">
        <is>
          <t>All</t>
        </is>
      </c>
      <c r="H2" s="18" t="inlineStr">
        <is>
          <t>Tester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Test Case ID</t>
        </is>
      </c>
      <c r="B4" s="10" t="inlineStr">
        <is>
          <t>Project ID</t>
        </is>
      </c>
      <c r="C4" s="10" t="inlineStr">
        <is>
          <t>Module</t>
        </is>
      </c>
      <c r="D4" s="10" t="inlineStr">
        <is>
          <t>Test Scenario</t>
        </is>
      </c>
      <c r="E4" s="10" t="inlineStr">
        <is>
          <t>Tester</t>
        </is>
      </c>
      <c r="F4" s="10" t="inlineStr">
        <is>
          <t>Test Date</t>
        </is>
      </c>
      <c r="G4" s="10" t="inlineStr">
        <is>
          <t>Result</t>
        </is>
      </c>
      <c r="H4" s="10" t="inlineStr">
        <is>
          <t>Defect ID</t>
        </is>
      </c>
      <c r="I4" s="10" t="inlineStr">
        <is>
          <t>Retest Status</t>
        </is>
      </c>
      <c r="J4" s="10" t="inlineStr">
        <is>
          <t>Remarks</t>
        </is>
      </c>
    </row>
    <row r="5">
      <c r="A5" s="15">
        <f>IFERROR(FILTER('Data - UAT Testing Tracker'!A2:J350,('Data - UAT Testing Tracker'!$A$2:$A$350&lt;&gt;"")*(IF(C2="All",TRUE,'Data - UAT Testing Tracker'!$B$2:$B$350=C2))*(IF(E2="All",TRUE,'Data - UAT Testing Tracker'!$C$2:$C$350=E2))*(IF(G2="All",TRUE,'Data - UAT Testing Tracker'!$G$2:$G$350=G2))*(IF(I2="All",TRUE,'Data - UAT Testing Tracker'!$E$2:$E$350=I2))),"No matching records")</f>
        <v/>
      </c>
      <c r="B5" s="15" t="n"/>
      <c r="C5" s="15" t="n"/>
      <c r="D5" s="15" t="n"/>
      <c r="E5" s="15" t="n"/>
      <c r="F5" s="16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6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6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6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6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6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6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6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6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6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6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6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6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6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6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6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6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6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6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6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6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6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6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6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6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6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6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6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6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6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6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6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6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6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6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6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6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6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6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6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6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6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6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6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6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6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6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6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6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6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6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6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6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6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6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6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6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6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6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6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6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6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6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6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6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6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6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6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6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6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6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6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6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6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6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6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6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6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6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6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6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6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6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6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6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6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6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6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6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6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6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6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6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6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6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6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6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6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6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6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6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6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6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6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6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6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6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6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6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6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6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6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6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6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6" t="n"/>
      <c r="G119" s="15" t="n"/>
      <c r="H119" s="15" t="n"/>
      <c r="I119" s="15" t="n"/>
      <c r="J119" s="15" t="n"/>
    </row>
    <row r="120">
      <c r="F120" s="27" t="n"/>
    </row>
    <row r="121">
      <c r="F121" s="27" t="n"/>
    </row>
    <row r="122">
      <c r="F122" s="27" t="n"/>
    </row>
    <row r="123">
      <c r="F123" s="27" t="n"/>
    </row>
    <row r="124">
      <c r="F124" s="27" t="n"/>
    </row>
    <row r="125">
      <c r="F125" s="27" t="n"/>
    </row>
    <row r="126">
      <c r="F126" s="27" t="n"/>
    </row>
    <row r="127">
      <c r="F127" s="27" t="n"/>
    </row>
    <row r="128">
      <c r="F128" s="27" t="n"/>
    </row>
    <row r="129">
      <c r="F129" s="27" t="n"/>
    </row>
    <row r="130">
      <c r="F130" s="27" t="n"/>
    </row>
    <row r="131">
      <c r="F131" s="27" t="n"/>
    </row>
    <row r="132">
      <c r="F132" s="27" t="n"/>
    </row>
    <row r="133">
      <c r="F133" s="27" t="n"/>
    </row>
    <row r="134">
      <c r="F134" s="27" t="n"/>
    </row>
    <row r="135">
      <c r="F135" s="27" t="n"/>
    </row>
    <row r="136">
      <c r="F136" s="27" t="n"/>
    </row>
    <row r="137">
      <c r="F137" s="27" t="n"/>
    </row>
    <row r="138">
      <c r="F138" s="27" t="n"/>
    </row>
    <row r="139">
      <c r="F139" s="27" t="n"/>
    </row>
    <row r="140">
      <c r="F140" s="27" t="n"/>
    </row>
    <row r="141">
      <c r="F141" s="27" t="n"/>
    </row>
    <row r="142">
      <c r="F142" s="27" t="n"/>
    </row>
    <row r="143">
      <c r="F143" s="27" t="n"/>
    </row>
    <row r="144">
      <c r="F144" s="27" t="n"/>
    </row>
    <row r="145">
      <c r="F145" s="27" t="n"/>
    </row>
    <row r="146">
      <c r="F146" s="27" t="n"/>
    </row>
    <row r="147">
      <c r="F147" s="27" t="n"/>
    </row>
    <row r="148">
      <c r="F148" s="27" t="n"/>
    </row>
    <row r="149">
      <c r="F149" s="27" t="n"/>
    </row>
    <row r="150">
      <c r="F150" s="27" t="n"/>
    </row>
    <row r="151">
      <c r="F151" s="27" t="n"/>
    </row>
    <row r="152">
      <c r="F152" s="27" t="n"/>
    </row>
    <row r="153">
      <c r="F153" s="27" t="n"/>
    </row>
    <row r="154">
      <c r="F154" s="27" t="n"/>
    </row>
    <row r="155">
      <c r="F155" s="27" t="n"/>
    </row>
    <row r="156">
      <c r="F156" s="27" t="n"/>
    </row>
    <row r="157">
      <c r="F157" s="27" t="n"/>
    </row>
    <row r="158">
      <c r="F158" s="27" t="n"/>
    </row>
    <row r="159">
      <c r="F159" s="27" t="n"/>
    </row>
    <row r="160">
      <c r="F160" s="27" t="n"/>
    </row>
    <row r="161">
      <c r="F161" s="27" t="n"/>
    </row>
    <row r="162">
      <c r="F162" s="27" t="n"/>
    </row>
    <row r="163">
      <c r="F163" s="27" t="n"/>
    </row>
    <row r="164">
      <c r="F164" s="27" t="n"/>
    </row>
    <row r="165">
      <c r="F165" s="27" t="n"/>
    </row>
    <row r="166">
      <c r="F166" s="27" t="n"/>
    </row>
    <row r="167">
      <c r="F167" s="27" t="n"/>
    </row>
    <row r="168">
      <c r="F168" s="27" t="n"/>
    </row>
    <row r="169">
      <c r="F169" s="27" t="n"/>
    </row>
    <row r="170">
      <c r="F170" s="27" t="n"/>
    </row>
    <row r="171">
      <c r="F171" s="27" t="n"/>
    </row>
    <row r="172">
      <c r="F172" s="27" t="n"/>
    </row>
    <row r="173">
      <c r="F173" s="27" t="n"/>
    </row>
    <row r="174">
      <c r="F174" s="27" t="n"/>
    </row>
    <row r="175">
      <c r="F175" s="27" t="n"/>
    </row>
    <row r="176">
      <c r="F176" s="27" t="n"/>
    </row>
    <row r="177">
      <c r="F177" s="27" t="n"/>
    </row>
    <row r="178">
      <c r="F178" s="27" t="n"/>
    </row>
    <row r="179">
      <c r="F179" s="27" t="n"/>
    </row>
    <row r="180">
      <c r="F180" s="27" t="n"/>
    </row>
    <row r="181">
      <c r="F181" s="27" t="n"/>
    </row>
    <row r="182">
      <c r="F182" s="27" t="n"/>
    </row>
    <row r="183">
      <c r="F183" s="27" t="n"/>
    </row>
    <row r="184">
      <c r="F184" s="27" t="n"/>
    </row>
    <row r="185">
      <c r="F185" s="27" t="n"/>
    </row>
    <row r="186">
      <c r="F186" s="27" t="n"/>
    </row>
    <row r="187">
      <c r="F187" s="27" t="n"/>
    </row>
    <row r="188">
      <c r="F188" s="27" t="n"/>
    </row>
    <row r="189">
      <c r="F189" s="27" t="n"/>
    </row>
    <row r="190">
      <c r="F190" s="27" t="n"/>
    </row>
    <row r="191">
      <c r="F191" s="27" t="n"/>
    </row>
    <row r="192">
      <c r="F192" s="27" t="n"/>
    </row>
    <row r="193">
      <c r="F193" s="27" t="n"/>
    </row>
    <row r="194">
      <c r="F194" s="27" t="n"/>
    </row>
    <row r="195">
      <c r="F195" s="27" t="n"/>
    </row>
    <row r="196">
      <c r="F196" s="27" t="n"/>
    </row>
    <row r="197">
      <c r="F197" s="27" t="n"/>
    </row>
    <row r="198">
      <c r="F198" s="27" t="n"/>
    </row>
    <row r="199">
      <c r="F199" s="27" t="n"/>
    </row>
    <row r="200">
      <c r="F200" s="27" t="n"/>
    </row>
    <row r="201">
      <c r="F201" s="27" t="n"/>
    </row>
    <row r="202">
      <c r="F202" s="27" t="n"/>
    </row>
    <row r="203">
      <c r="F203" s="27" t="n"/>
    </row>
    <row r="204">
      <c r="F204" s="27" t="n"/>
    </row>
    <row r="205">
      <c r="F205" s="27" t="n"/>
    </row>
    <row r="206">
      <c r="F206" s="27" t="n"/>
    </row>
    <row r="207">
      <c r="F207" s="27" t="n"/>
    </row>
    <row r="208">
      <c r="F208" s="27" t="n"/>
    </row>
    <row r="209">
      <c r="F209" s="27" t="n"/>
    </row>
    <row r="210">
      <c r="F210" s="27" t="n"/>
    </row>
    <row r="211">
      <c r="F211" s="27" t="n"/>
    </row>
    <row r="212">
      <c r="F212" s="27" t="n"/>
    </row>
    <row r="213">
      <c r="F213" s="27" t="n"/>
    </row>
    <row r="214">
      <c r="F214" s="27" t="n"/>
    </row>
    <row r="215">
      <c r="F215" s="27" t="n"/>
    </row>
    <row r="216">
      <c r="F216" s="27" t="n"/>
    </row>
    <row r="217">
      <c r="F217" s="27" t="n"/>
    </row>
    <row r="218">
      <c r="F218" s="27" t="n"/>
    </row>
    <row r="219">
      <c r="F219" s="27" t="n"/>
    </row>
    <row r="220">
      <c r="F220" s="27" t="n"/>
    </row>
    <row r="221">
      <c r="F221" s="27" t="n"/>
    </row>
    <row r="222">
      <c r="F222" s="27" t="n"/>
    </row>
    <row r="223">
      <c r="F223" s="27" t="n"/>
    </row>
    <row r="224">
      <c r="F224" s="27" t="n"/>
    </row>
    <row r="225">
      <c r="F225" s="27" t="n"/>
    </row>
    <row r="226">
      <c r="F226" s="27" t="n"/>
    </row>
    <row r="227">
      <c r="F227" s="27" t="n"/>
    </row>
    <row r="228">
      <c r="F228" s="27" t="n"/>
    </row>
    <row r="229">
      <c r="F229" s="27" t="n"/>
    </row>
    <row r="230">
      <c r="F230" s="27" t="n"/>
    </row>
    <row r="231">
      <c r="F231" s="27" t="n"/>
    </row>
    <row r="232">
      <c r="F232" s="27" t="n"/>
    </row>
    <row r="233">
      <c r="F233" s="27" t="n"/>
    </row>
    <row r="234">
      <c r="F234" s="27" t="n"/>
    </row>
    <row r="235">
      <c r="F235" s="27" t="n"/>
    </row>
    <row r="236">
      <c r="F236" s="27" t="n"/>
    </row>
    <row r="237">
      <c r="F237" s="27" t="n"/>
    </row>
    <row r="238">
      <c r="F238" s="27" t="n"/>
    </row>
    <row r="239">
      <c r="F239" s="27" t="n"/>
    </row>
    <row r="240">
      <c r="F240" s="27" t="n"/>
    </row>
    <row r="241">
      <c r="F241" s="27" t="n"/>
    </row>
    <row r="242">
      <c r="F242" s="27" t="n"/>
    </row>
    <row r="243">
      <c r="F243" s="27" t="n"/>
    </row>
    <row r="244">
      <c r="F244" s="27" t="n"/>
    </row>
    <row r="245">
      <c r="F245" s="27" t="n"/>
    </row>
    <row r="246">
      <c r="F246" s="27" t="n"/>
    </row>
    <row r="247">
      <c r="F247" s="27" t="n"/>
    </row>
    <row r="248">
      <c r="F248" s="27" t="n"/>
    </row>
    <row r="249">
      <c r="F249" s="27" t="n"/>
    </row>
    <row r="250">
      <c r="F250" s="27" t="n"/>
    </row>
    <row r="251">
      <c r="F251" s="27" t="n"/>
    </row>
    <row r="252">
      <c r="F252" s="27" t="n"/>
    </row>
    <row r="253">
      <c r="F253" s="27" t="n"/>
    </row>
    <row r="254">
      <c r="F254" s="27" t="n"/>
    </row>
    <row r="255">
      <c r="F255" s="27" t="n"/>
    </row>
    <row r="256">
      <c r="F256" s="27" t="n"/>
    </row>
    <row r="257">
      <c r="F257" s="27" t="n"/>
    </row>
    <row r="258">
      <c r="F258" s="27" t="n"/>
    </row>
    <row r="259">
      <c r="F259" s="27" t="n"/>
    </row>
    <row r="260">
      <c r="F260" s="27" t="n"/>
    </row>
    <row r="261">
      <c r="F261" s="27" t="n"/>
    </row>
    <row r="262">
      <c r="F262" s="27" t="n"/>
    </row>
    <row r="263">
      <c r="F263" s="27" t="n"/>
    </row>
    <row r="264">
      <c r="F264" s="27" t="n"/>
    </row>
    <row r="265">
      <c r="F265" s="27" t="n"/>
    </row>
    <row r="266">
      <c r="F266" s="27" t="n"/>
    </row>
    <row r="267">
      <c r="F267" s="27" t="n"/>
    </row>
    <row r="268">
      <c r="F268" s="27" t="n"/>
    </row>
    <row r="269">
      <c r="F269" s="27" t="n"/>
    </row>
    <row r="270">
      <c r="F270" s="27" t="n"/>
    </row>
    <row r="271">
      <c r="F271" s="27" t="n"/>
    </row>
    <row r="272">
      <c r="F272" s="27" t="n"/>
    </row>
    <row r="273">
      <c r="F273" s="27" t="n"/>
    </row>
    <row r="274">
      <c r="F274" s="27" t="n"/>
    </row>
    <row r="275">
      <c r="F275" s="27" t="n"/>
    </row>
    <row r="276">
      <c r="F276" s="27" t="n"/>
    </row>
    <row r="277">
      <c r="F277" s="27" t="n"/>
    </row>
    <row r="278">
      <c r="F278" s="27" t="n"/>
    </row>
    <row r="279">
      <c r="F279" s="27" t="n"/>
    </row>
    <row r="280">
      <c r="F280" s="27" t="n"/>
    </row>
    <row r="281">
      <c r="F281" s="27" t="n"/>
    </row>
    <row r="282">
      <c r="F282" s="27" t="n"/>
    </row>
    <row r="283">
      <c r="F283" s="27" t="n"/>
    </row>
    <row r="284">
      <c r="F284" s="27" t="n"/>
    </row>
    <row r="285">
      <c r="F285" s="27" t="n"/>
    </row>
    <row r="286">
      <c r="F286" s="27" t="n"/>
    </row>
    <row r="287">
      <c r="F287" s="27" t="n"/>
    </row>
    <row r="288">
      <c r="F288" s="27" t="n"/>
    </row>
    <row r="289">
      <c r="F289" s="27" t="n"/>
    </row>
    <row r="290">
      <c r="F290" s="27" t="n"/>
    </row>
    <row r="291">
      <c r="F291" s="27" t="n"/>
    </row>
    <row r="292">
      <c r="F292" s="27" t="n"/>
    </row>
    <row r="293">
      <c r="F293" s="27" t="n"/>
    </row>
    <row r="294">
      <c r="F294" s="27" t="n"/>
    </row>
    <row r="295">
      <c r="F295" s="27" t="n"/>
    </row>
    <row r="296">
      <c r="F296" s="27" t="n"/>
    </row>
    <row r="297">
      <c r="F297" s="27" t="n"/>
    </row>
    <row r="298">
      <c r="F298" s="27" t="n"/>
    </row>
    <row r="299">
      <c r="F299" s="27" t="n"/>
    </row>
    <row r="300">
      <c r="F300" s="27" t="n"/>
    </row>
    <row r="301">
      <c r="F301" s="27" t="n"/>
    </row>
    <row r="302">
      <c r="F302" s="27" t="n"/>
    </row>
    <row r="303">
      <c r="F303" s="27" t="n"/>
    </row>
    <row r="304">
      <c r="F304" s="27" t="n"/>
    </row>
    <row r="305">
      <c r="F305" s="27" t="n"/>
    </row>
    <row r="306">
      <c r="F306" s="27" t="n"/>
    </row>
    <row r="307">
      <c r="F307" s="27" t="n"/>
    </row>
    <row r="308">
      <c r="F308" s="27" t="n"/>
    </row>
    <row r="309">
      <c r="F309" s="27" t="n"/>
    </row>
    <row r="310">
      <c r="F310" s="27" t="n"/>
    </row>
    <row r="311">
      <c r="F311" s="27" t="n"/>
    </row>
    <row r="312">
      <c r="F312" s="27" t="n"/>
    </row>
    <row r="313">
      <c r="F313" s="27" t="n"/>
    </row>
    <row r="314">
      <c r="F314" s="27" t="n"/>
    </row>
    <row r="315">
      <c r="F315" s="27" t="n"/>
    </row>
    <row r="316">
      <c r="F316" s="27" t="n"/>
    </row>
    <row r="317">
      <c r="F317" s="27" t="n"/>
    </row>
    <row r="318">
      <c r="F318" s="27" t="n"/>
    </row>
    <row r="319">
      <c r="F319" s="27" t="n"/>
    </row>
    <row r="320">
      <c r="F320" s="27" t="n"/>
    </row>
    <row r="321">
      <c r="F321" s="27" t="n"/>
    </row>
    <row r="322">
      <c r="F322" s="27" t="n"/>
    </row>
    <row r="323">
      <c r="F323" s="27" t="n"/>
    </row>
    <row r="324">
      <c r="F324" s="27" t="n"/>
    </row>
    <row r="325">
      <c r="F325" s="27" t="n"/>
    </row>
    <row r="326">
      <c r="F326" s="27" t="n"/>
    </row>
    <row r="327">
      <c r="F327" s="27" t="n"/>
    </row>
    <row r="328">
      <c r="F328" s="27" t="n"/>
    </row>
    <row r="329">
      <c r="F329" s="27" t="n"/>
    </row>
    <row r="330">
      <c r="F330" s="27" t="n"/>
    </row>
    <row r="331">
      <c r="F331" s="27" t="n"/>
    </row>
    <row r="332">
      <c r="F332" s="27" t="n"/>
    </row>
    <row r="333">
      <c r="F333" s="27" t="n"/>
    </row>
    <row r="334">
      <c r="F334" s="27" t="n"/>
    </row>
    <row r="335">
      <c r="F335" s="27" t="n"/>
    </row>
    <row r="336">
      <c r="F336" s="27" t="n"/>
    </row>
    <row r="337">
      <c r="F337" s="27" t="n"/>
    </row>
    <row r="338">
      <c r="F338" s="27" t="n"/>
    </row>
    <row r="339">
      <c r="F339" s="27" t="n"/>
    </row>
    <row r="340">
      <c r="F340" s="27" t="n"/>
    </row>
    <row r="341">
      <c r="F341" s="27" t="n"/>
    </row>
    <row r="342">
      <c r="F342" s="27" t="n"/>
    </row>
    <row r="343">
      <c r="F343" s="27" t="n"/>
    </row>
    <row r="344">
      <c r="F344" s="27" t="n"/>
    </row>
    <row r="345">
      <c r="F345" s="27" t="n"/>
    </row>
    <row r="346">
      <c r="F346" s="27" t="n"/>
    </row>
    <row r="347">
      <c r="F347" s="27" t="n"/>
    </row>
    <row r="348">
      <c r="F348" s="27" t="n"/>
    </row>
    <row r="349">
      <c r="F349" s="27" t="n"/>
    </row>
    <row r="350">
      <c r="F350" s="27" t="n"/>
    </row>
    <row r="351">
      <c r="F351" s="27" t="n"/>
    </row>
    <row r="352">
      <c r="F352" s="27" t="n"/>
    </row>
    <row r="353">
      <c r="F353" s="27" t="n"/>
    </row>
    <row r="354">
      <c r="F354" s="27" t="n"/>
    </row>
    <row r="355">
      <c r="F355" s="27" t="n"/>
    </row>
    <row r="356">
      <c r="F356" s="27" t="n"/>
    </row>
    <row r="357">
      <c r="F357" s="27" t="n"/>
    </row>
    <row r="358">
      <c r="F358" s="27" t="n"/>
    </row>
    <row r="359">
      <c r="F359" s="27" t="n"/>
    </row>
    <row r="360">
      <c r="F360" s="27" t="n"/>
    </row>
    <row r="361">
      <c r="F361" s="27" t="n"/>
    </row>
    <row r="362">
      <c r="F362" s="27" t="n"/>
    </row>
    <row r="363">
      <c r="F363" s="27" t="n"/>
    </row>
    <row r="364">
      <c r="F364" s="27" t="n"/>
    </row>
    <row r="365">
      <c r="F365" s="27" t="n"/>
    </row>
    <row r="366">
      <c r="F366" s="27" t="n"/>
    </row>
    <row r="367">
      <c r="F367" s="27" t="n"/>
    </row>
    <row r="368">
      <c r="F368" s="27" t="n"/>
    </row>
    <row r="369">
      <c r="F369" s="27" t="n"/>
    </row>
    <row r="370">
      <c r="F370" s="27" t="n"/>
    </row>
    <row r="371">
      <c r="F371" s="27" t="n"/>
    </row>
    <row r="372">
      <c r="F372" s="27" t="n"/>
    </row>
    <row r="373">
      <c r="F373" s="27" t="n"/>
    </row>
    <row r="374">
      <c r="F374" s="27" t="n"/>
    </row>
    <row r="375">
      <c r="F375" s="27" t="n"/>
    </row>
    <row r="376">
      <c r="F376" s="27" t="n"/>
    </row>
    <row r="377">
      <c r="F377" s="27" t="n"/>
    </row>
    <row r="378">
      <c r="F378" s="27" t="n"/>
    </row>
    <row r="379">
      <c r="F379" s="27" t="n"/>
    </row>
    <row r="380">
      <c r="F380" s="27" t="n"/>
    </row>
    <row r="381">
      <c r="F381" s="27" t="n"/>
    </row>
    <row r="382">
      <c r="F382" s="27" t="n"/>
    </row>
    <row r="383">
      <c r="F383" s="27" t="n"/>
    </row>
    <row r="384">
      <c r="F384" s="27" t="n"/>
    </row>
    <row r="385">
      <c r="F385" s="27" t="n"/>
    </row>
    <row r="386">
      <c r="F386" s="27" t="n"/>
    </row>
    <row r="387">
      <c r="F387" s="27" t="n"/>
    </row>
    <row r="388">
      <c r="F388" s="27" t="n"/>
    </row>
    <row r="389">
      <c r="F389" s="27" t="n"/>
    </row>
    <row r="390">
      <c r="F390" s="27" t="n"/>
    </row>
    <row r="391">
      <c r="F391" s="27" t="n"/>
    </row>
    <row r="392">
      <c r="F392" s="27" t="n"/>
    </row>
    <row r="393">
      <c r="F393" s="27" t="n"/>
    </row>
    <row r="394">
      <c r="F394" s="27" t="n"/>
    </row>
    <row r="395">
      <c r="F395" s="27" t="n"/>
    </row>
    <row r="396">
      <c r="F396" s="27" t="n"/>
    </row>
    <row r="397">
      <c r="F397" s="27" t="n"/>
    </row>
    <row r="398">
      <c r="F398" s="27" t="n"/>
    </row>
    <row r="399">
      <c r="F399" s="27" t="n"/>
    </row>
    <row r="400">
      <c r="F400" s="27" t="n"/>
    </row>
    <row r="401">
      <c r="F401" s="27" t="n"/>
    </row>
    <row r="402">
      <c r="F402" s="27" t="n"/>
    </row>
    <row r="403">
      <c r="F403" s="27" t="n"/>
    </row>
    <row r="404">
      <c r="F404" s="27" t="n"/>
    </row>
    <row r="405">
      <c r="F405" s="27" t="n"/>
    </row>
    <row r="406">
      <c r="F406" s="27" t="n"/>
    </row>
    <row r="407">
      <c r="F407" s="27" t="n"/>
    </row>
    <row r="408">
      <c r="F408" s="27" t="n"/>
    </row>
    <row r="409">
      <c r="F409" s="27" t="n"/>
    </row>
    <row r="410">
      <c r="F410" s="27" t="n"/>
    </row>
    <row r="411">
      <c r="F411" s="27" t="n"/>
    </row>
    <row r="412">
      <c r="F412" s="27" t="n"/>
    </row>
    <row r="413">
      <c r="F413" s="27" t="n"/>
    </row>
    <row r="414">
      <c r="F414" s="27" t="n"/>
    </row>
    <row r="415">
      <c r="F415" s="27" t="n"/>
    </row>
    <row r="416">
      <c r="F416" s="27" t="n"/>
    </row>
    <row r="417">
      <c r="F417" s="27" t="n"/>
    </row>
    <row r="418">
      <c r="F418" s="27" t="n"/>
    </row>
    <row r="419">
      <c r="F419" s="27" t="n"/>
    </row>
    <row r="420">
      <c r="F420" s="27" t="n"/>
    </row>
    <row r="421">
      <c r="F421" s="27" t="n"/>
    </row>
    <row r="422">
      <c r="F422" s="27" t="n"/>
    </row>
    <row r="423">
      <c r="F423" s="27" t="n"/>
    </row>
    <row r="424">
      <c r="F424" s="27" t="n"/>
    </row>
    <row r="425">
      <c r="F425" s="27" t="n"/>
    </row>
    <row r="426">
      <c r="F426" s="27" t="n"/>
    </row>
    <row r="427">
      <c r="F427" s="27" t="n"/>
    </row>
    <row r="428">
      <c r="F428" s="27" t="n"/>
    </row>
    <row r="429">
      <c r="F429" s="27" t="n"/>
    </row>
    <row r="430">
      <c r="F430" s="27" t="n"/>
    </row>
    <row r="431">
      <c r="F431" s="27" t="n"/>
    </row>
    <row r="432">
      <c r="F432" s="27" t="n"/>
    </row>
    <row r="433">
      <c r="F433" s="27" t="n"/>
    </row>
    <row r="434">
      <c r="F434" s="27" t="n"/>
    </row>
    <row r="435">
      <c r="F435" s="27" t="n"/>
    </row>
    <row r="436">
      <c r="F436" s="27" t="n"/>
    </row>
    <row r="437">
      <c r="F437" s="27" t="n"/>
    </row>
    <row r="438">
      <c r="F438" s="27" t="n"/>
    </row>
    <row r="439">
      <c r="F439" s="27" t="n"/>
    </row>
    <row r="440">
      <c r="F440" s="27" t="n"/>
    </row>
    <row r="441">
      <c r="F441" s="27" t="n"/>
    </row>
    <row r="442">
      <c r="F442" s="27" t="n"/>
    </row>
    <row r="443">
      <c r="F443" s="27" t="n"/>
    </row>
    <row r="444">
      <c r="F444" s="27" t="n"/>
    </row>
    <row r="445">
      <c r="F445" s="27" t="n"/>
    </row>
    <row r="446">
      <c r="F446" s="27" t="n"/>
    </row>
    <row r="447">
      <c r="F447" s="27" t="n"/>
    </row>
    <row r="448">
      <c r="F448" s="27" t="n"/>
    </row>
    <row r="449">
      <c r="F449" s="27" t="n"/>
    </row>
    <row r="450">
      <c r="F450" s="27" t="n"/>
    </row>
    <row r="451">
      <c r="F451" s="27" t="n"/>
    </row>
    <row r="452">
      <c r="F452" s="27" t="n"/>
    </row>
    <row r="453">
      <c r="F453" s="27" t="n"/>
    </row>
    <row r="454">
      <c r="F454" s="27" t="n"/>
    </row>
    <row r="455">
      <c r="F455" s="27" t="n"/>
    </row>
    <row r="456">
      <c r="F456" s="27" t="n"/>
    </row>
    <row r="457">
      <c r="F457" s="27" t="n"/>
    </row>
    <row r="458">
      <c r="F458" s="27" t="n"/>
    </row>
    <row r="459">
      <c r="F459" s="27" t="n"/>
    </row>
    <row r="460">
      <c r="F460" s="27" t="n"/>
    </row>
    <row r="461">
      <c r="F461" s="27" t="n"/>
    </row>
    <row r="462">
      <c r="F462" s="27" t="n"/>
    </row>
    <row r="463">
      <c r="F463" s="27" t="n"/>
    </row>
    <row r="464">
      <c r="F464" s="27" t="n"/>
    </row>
    <row r="465">
      <c r="F465" s="27" t="n"/>
    </row>
    <row r="466">
      <c r="F466" s="27" t="n"/>
    </row>
    <row r="467">
      <c r="F467" s="27" t="n"/>
    </row>
    <row r="468">
      <c r="F468" s="27" t="n"/>
    </row>
    <row r="469">
      <c r="F469" s="27" t="n"/>
    </row>
    <row r="470">
      <c r="F470" s="27" t="n"/>
    </row>
    <row r="471">
      <c r="F471" s="27" t="n"/>
    </row>
    <row r="472">
      <c r="F472" s="27" t="n"/>
    </row>
    <row r="473">
      <c r="F473" s="27" t="n"/>
    </row>
    <row r="474">
      <c r="F474" s="27" t="n"/>
    </row>
    <row r="475">
      <c r="F475" s="27" t="n"/>
    </row>
    <row r="476">
      <c r="F476" s="27" t="n"/>
    </row>
    <row r="477">
      <c r="F477" s="27" t="n"/>
    </row>
    <row r="478">
      <c r="F478" s="27" t="n"/>
    </row>
    <row r="479">
      <c r="F479" s="27" t="n"/>
    </row>
    <row r="480">
      <c r="F480" s="27" t="n"/>
    </row>
    <row r="481">
      <c r="F481" s="27" t="n"/>
    </row>
    <row r="482">
      <c r="F482" s="27" t="n"/>
    </row>
    <row r="483">
      <c r="F483" s="27" t="n"/>
    </row>
    <row r="484">
      <c r="F484" s="27" t="n"/>
    </row>
    <row r="485">
      <c r="F485" s="27" t="n"/>
    </row>
    <row r="486">
      <c r="F486" s="27" t="n"/>
    </row>
    <row r="487">
      <c r="F487" s="27" t="n"/>
    </row>
    <row r="488">
      <c r="F488" s="27" t="n"/>
    </row>
    <row r="489">
      <c r="F489" s="27" t="n"/>
    </row>
    <row r="490">
      <c r="F490" s="27" t="n"/>
    </row>
    <row r="491">
      <c r="F491" s="27" t="n"/>
    </row>
    <row r="492">
      <c r="F492" s="27" t="n"/>
    </row>
    <row r="493">
      <c r="F493" s="27" t="n"/>
    </row>
    <row r="494">
      <c r="F494" s="27" t="n"/>
    </row>
    <row r="495">
      <c r="F495" s="27" t="n"/>
    </row>
    <row r="496">
      <c r="F496" s="27" t="n"/>
    </row>
    <row r="497">
      <c r="F497" s="27" t="n"/>
    </row>
    <row r="498">
      <c r="F498" s="27" t="n"/>
    </row>
    <row r="499">
      <c r="F499" s="27" t="n"/>
    </row>
    <row r="500">
      <c r="F500" s="27" t="n"/>
    </row>
    <row r="501">
      <c r="F501" s="27" t="n"/>
    </row>
    <row r="502">
      <c r="F502" s="27" t="n"/>
    </row>
    <row r="503">
      <c r="F503" s="27" t="n"/>
    </row>
    <row r="504">
      <c r="F504" s="27" t="n"/>
    </row>
    <row r="505">
      <c r="F505" s="27" t="n"/>
    </row>
    <row r="506">
      <c r="F506" s="27" t="n"/>
    </row>
    <row r="507">
      <c r="F507" s="27" t="n"/>
    </row>
    <row r="508">
      <c r="F508" s="27" t="n"/>
    </row>
    <row r="509">
      <c r="F509" s="27" t="n"/>
    </row>
    <row r="510">
      <c r="F510" s="27" t="n"/>
    </row>
    <row r="511">
      <c r="F511" s="27" t="n"/>
    </row>
    <row r="512">
      <c r="F512" s="27" t="n"/>
    </row>
    <row r="513">
      <c r="F513" s="27" t="n"/>
    </row>
    <row r="514">
      <c r="F514" s="27" t="n"/>
    </row>
    <row r="515">
      <c r="F515" s="27" t="n"/>
    </row>
    <row r="516">
      <c r="F516" s="27" t="n"/>
    </row>
    <row r="517">
      <c r="F517" s="27" t="n"/>
    </row>
    <row r="518">
      <c r="F518" s="27" t="n"/>
    </row>
    <row r="519">
      <c r="F519" s="27" t="n"/>
    </row>
    <row r="520">
      <c r="F520" s="27" t="n"/>
    </row>
    <row r="521">
      <c r="F521" s="27" t="n"/>
    </row>
    <row r="522">
      <c r="F522" s="27" t="n"/>
    </row>
    <row r="523">
      <c r="F523" s="27" t="n"/>
    </row>
    <row r="524">
      <c r="F524" s="27" t="n"/>
    </row>
    <row r="525">
      <c r="F525" s="27" t="n"/>
    </row>
    <row r="526">
      <c r="F526" s="27" t="n"/>
    </row>
    <row r="527">
      <c r="F527" s="27" t="n"/>
    </row>
    <row r="528">
      <c r="F528" s="27" t="n"/>
    </row>
    <row r="529">
      <c r="F529" s="27" t="n"/>
    </row>
    <row r="530">
      <c r="F530" s="27" t="n"/>
    </row>
    <row r="531">
      <c r="F531" s="27" t="n"/>
    </row>
    <row r="532">
      <c r="F532" s="27" t="n"/>
    </row>
    <row r="533">
      <c r="F533" s="27" t="n"/>
    </row>
    <row r="534">
      <c r="F534" s="27" t="n"/>
    </row>
    <row r="535">
      <c r="F535" s="27" t="n"/>
    </row>
    <row r="536">
      <c r="F536" s="27" t="n"/>
    </row>
    <row r="537">
      <c r="F537" s="27" t="n"/>
    </row>
    <row r="538">
      <c r="F538" s="27" t="n"/>
    </row>
    <row r="539">
      <c r="F539" s="27" t="n"/>
    </row>
    <row r="540">
      <c r="F540" s="27" t="n"/>
    </row>
    <row r="541">
      <c r="F541" s="27" t="n"/>
    </row>
    <row r="542">
      <c r="F542" s="27" t="n"/>
    </row>
    <row r="543">
      <c r="F543" s="27" t="n"/>
    </row>
    <row r="544">
      <c r="F544" s="27" t="n"/>
    </row>
    <row r="545">
      <c r="F545" s="27" t="n"/>
    </row>
    <row r="546">
      <c r="F546" s="27" t="n"/>
    </row>
    <row r="547">
      <c r="F547" s="27" t="n"/>
    </row>
    <row r="548">
      <c r="F548" s="27" t="n"/>
    </row>
    <row r="549">
      <c r="F549" s="27" t="n"/>
    </row>
    <row r="550">
      <c r="F550" s="27" t="n"/>
    </row>
    <row r="551">
      <c r="F551" s="27" t="n"/>
    </row>
    <row r="552">
      <c r="F552" s="27" t="n"/>
    </row>
    <row r="553">
      <c r="F553" s="27" t="n"/>
    </row>
    <row r="554">
      <c r="F554" s="27" t="n"/>
    </row>
    <row r="555">
      <c r="F555" s="27" t="n"/>
    </row>
    <row r="556">
      <c r="F556" s="27" t="n"/>
    </row>
    <row r="557">
      <c r="F557" s="27" t="n"/>
    </row>
    <row r="558">
      <c r="F558" s="27" t="n"/>
    </row>
    <row r="559">
      <c r="F559" s="27" t="n"/>
    </row>
    <row r="560">
      <c r="F560" s="27" t="n"/>
    </row>
    <row r="561">
      <c r="F561" s="27" t="n"/>
    </row>
    <row r="562">
      <c r="F562" s="27" t="n"/>
    </row>
    <row r="563">
      <c r="F563" s="27" t="n"/>
    </row>
    <row r="564">
      <c r="F564" s="27" t="n"/>
    </row>
    <row r="565">
      <c r="F565" s="27" t="n"/>
    </row>
    <row r="566">
      <c r="F566" s="27" t="n"/>
    </row>
    <row r="567">
      <c r="F567" s="27" t="n"/>
    </row>
    <row r="568">
      <c r="F568" s="27" t="n"/>
    </row>
    <row r="569">
      <c r="F569" s="27" t="n"/>
    </row>
    <row r="570">
      <c r="F570" s="27" t="n"/>
    </row>
    <row r="571">
      <c r="F571" s="27" t="n"/>
    </row>
    <row r="572">
      <c r="F572" s="27" t="n"/>
    </row>
    <row r="573">
      <c r="F573" s="27" t="n"/>
    </row>
    <row r="574">
      <c r="F574" s="27" t="n"/>
    </row>
    <row r="575">
      <c r="F575" s="27" t="n"/>
    </row>
    <row r="576">
      <c r="F576" s="27" t="n"/>
    </row>
    <row r="577">
      <c r="F577" s="27" t="n"/>
    </row>
    <row r="578">
      <c r="F578" s="27" t="n"/>
    </row>
    <row r="579">
      <c r="F579" s="27" t="n"/>
    </row>
    <row r="580">
      <c r="F580" s="27" t="n"/>
    </row>
    <row r="581">
      <c r="F581" s="27" t="n"/>
    </row>
    <row r="582">
      <c r="F582" s="27" t="n"/>
    </row>
    <row r="583">
      <c r="F583" s="27" t="n"/>
    </row>
    <row r="584">
      <c r="F584" s="27" t="n"/>
    </row>
    <row r="585">
      <c r="F585" s="27" t="n"/>
    </row>
    <row r="586">
      <c r="F586" s="27" t="n"/>
    </row>
    <row r="587">
      <c r="F587" s="27" t="n"/>
    </row>
    <row r="588">
      <c r="F588" s="27" t="n"/>
    </row>
    <row r="589">
      <c r="F589" s="27" t="n"/>
    </row>
    <row r="590">
      <c r="F590" s="27" t="n"/>
    </row>
    <row r="591">
      <c r="F591" s="27" t="n"/>
    </row>
    <row r="592">
      <c r="F592" s="27" t="n"/>
    </row>
    <row r="593">
      <c r="F593" s="27" t="n"/>
    </row>
    <row r="594">
      <c r="F594" s="27" t="n"/>
    </row>
    <row r="595">
      <c r="F595" s="27" t="n"/>
    </row>
    <row r="596">
      <c r="F596" s="27" t="n"/>
    </row>
    <row r="597">
      <c r="F597" s="27" t="n"/>
    </row>
    <row r="598">
      <c r="F598" s="27" t="n"/>
    </row>
    <row r="599">
      <c r="F599" s="27" t="n"/>
    </row>
    <row r="600">
      <c r="F600" s="27" t="n"/>
    </row>
    <row r="601">
      <c r="F601" s="27" t="n"/>
    </row>
    <row r="602">
      <c r="F602" s="27" t="n"/>
    </row>
    <row r="603">
      <c r="F603" s="27" t="n"/>
    </row>
    <row r="604">
      <c r="F604" s="27" t="n"/>
    </row>
    <row r="605">
      <c r="F605" s="27" t="n"/>
    </row>
    <row r="606">
      <c r="F606" s="27" t="n"/>
    </row>
    <row r="607">
      <c r="F607" s="27" t="n"/>
    </row>
    <row r="608">
      <c r="F608" s="27" t="n"/>
    </row>
    <row r="609">
      <c r="F609" s="27" t="n"/>
    </row>
    <row r="610">
      <c r="F610" s="27" t="n"/>
    </row>
    <row r="611">
      <c r="F611" s="27" t="n"/>
    </row>
    <row r="612">
      <c r="F612" s="27" t="n"/>
    </row>
    <row r="613">
      <c r="F613" s="27" t="n"/>
    </row>
    <row r="614">
      <c r="F614" s="27" t="n"/>
    </row>
    <row r="615">
      <c r="F615" s="27" t="n"/>
    </row>
    <row r="616">
      <c r="F616" s="27" t="n"/>
    </row>
    <row r="617">
      <c r="F617" s="27" t="n"/>
    </row>
    <row r="618">
      <c r="F618" s="27" t="n"/>
    </row>
    <row r="619">
      <c r="F619" s="27" t="n"/>
    </row>
    <row r="620">
      <c r="F620" s="27" t="n"/>
    </row>
    <row r="621">
      <c r="F621" s="27" t="n"/>
    </row>
    <row r="622">
      <c r="F622" s="27" t="n"/>
    </row>
    <row r="623">
      <c r="F623" s="27" t="n"/>
    </row>
    <row r="624">
      <c r="F624" s="27" t="n"/>
    </row>
    <row r="625">
      <c r="F625" s="27" t="n"/>
    </row>
    <row r="626">
      <c r="F626" s="27" t="n"/>
    </row>
    <row r="627">
      <c r="F627" s="27" t="n"/>
    </row>
    <row r="628">
      <c r="F628" s="27" t="n"/>
    </row>
    <row r="629">
      <c r="F629" s="27" t="n"/>
    </row>
    <row r="630">
      <c r="F630" s="27" t="n"/>
    </row>
    <row r="631">
      <c r="F631" s="27" t="n"/>
    </row>
    <row r="632">
      <c r="F632" s="27" t="n"/>
    </row>
    <row r="633">
      <c r="F633" s="27" t="n"/>
    </row>
    <row r="634">
      <c r="F634" s="27" t="n"/>
    </row>
    <row r="635">
      <c r="F635" s="27" t="n"/>
    </row>
    <row r="636">
      <c r="F636" s="27" t="n"/>
    </row>
    <row r="637">
      <c r="F637" s="27" t="n"/>
    </row>
    <row r="638">
      <c r="F638" s="27" t="n"/>
    </row>
    <row r="639">
      <c r="F639" s="27" t="n"/>
    </row>
    <row r="640">
      <c r="F640" s="27" t="n"/>
    </row>
    <row r="641">
      <c r="F641" s="27" t="n"/>
    </row>
    <row r="642">
      <c r="F642" s="27" t="n"/>
    </row>
    <row r="643">
      <c r="F643" s="27" t="n"/>
    </row>
    <row r="644">
      <c r="F644" s="27" t="n"/>
    </row>
    <row r="645">
      <c r="F645" s="27" t="n"/>
    </row>
    <row r="646">
      <c r="F646" s="27" t="n"/>
    </row>
    <row r="647">
      <c r="F647" s="27" t="n"/>
    </row>
    <row r="648">
      <c r="F648" s="27" t="n"/>
    </row>
    <row r="649">
      <c r="F649" s="27" t="n"/>
    </row>
    <row r="650">
      <c r="F650" s="27" t="n"/>
    </row>
    <row r="651">
      <c r="F651" s="27" t="n"/>
    </row>
    <row r="652">
      <c r="F652" s="27" t="n"/>
    </row>
    <row r="653">
      <c r="F653" s="27" t="n"/>
    </row>
    <row r="654">
      <c r="F654" s="27" t="n"/>
    </row>
    <row r="655">
      <c r="F655" s="27" t="n"/>
    </row>
    <row r="656">
      <c r="F656" s="27" t="n"/>
    </row>
    <row r="657">
      <c r="F657" s="27" t="n"/>
    </row>
    <row r="658">
      <c r="F658" s="27" t="n"/>
    </row>
    <row r="659">
      <c r="F659" s="27" t="n"/>
    </row>
    <row r="660">
      <c r="F660" s="27" t="n"/>
    </row>
    <row r="661">
      <c r="F661" s="27" t="n"/>
    </row>
    <row r="662">
      <c r="F662" s="27" t="n"/>
    </row>
    <row r="663">
      <c r="F663" s="27" t="n"/>
    </row>
    <row r="664">
      <c r="F664" s="27" t="n"/>
    </row>
    <row r="665">
      <c r="F665" s="27" t="n"/>
    </row>
    <row r="666">
      <c r="F666" s="27" t="n"/>
    </row>
    <row r="667">
      <c r="F667" s="27" t="n"/>
    </row>
    <row r="668">
      <c r="F668" s="27" t="n"/>
    </row>
    <row r="669">
      <c r="F669" s="27" t="n"/>
    </row>
    <row r="670">
      <c r="F670" s="27" t="n"/>
    </row>
    <row r="671">
      <c r="F671" s="27" t="n"/>
    </row>
    <row r="672">
      <c r="F672" s="27" t="n"/>
    </row>
    <row r="673">
      <c r="F673" s="27" t="n"/>
    </row>
    <row r="674">
      <c r="F674" s="27" t="n"/>
    </row>
    <row r="675">
      <c r="F675" s="27" t="n"/>
    </row>
    <row r="676">
      <c r="F676" s="27" t="n"/>
    </row>
    <row r="677">
      <c r="F677" s="27" t="n"/>
    </row>
    <row r="678">
      <c r="F678" s="27" t="n"/>
    </row>
    <row r="679">
      <c r="F679" s="27" t="n"/>
    </row>
    <row r="680">
      <c r="F680" s="27" t="n"/>
    </row>
    <row r="681">
      <c r="F681" s="27" t="n"/>
    </row>
    <row r="682">
      <c r="F682" s="27" t="n"/>
    </row>
    <row r="683">
      <c r="F683" s="27" t="n"/>
    </row>
    <row r="684">
      <c r="F684" s="27" t="n"/>
    </row>
    <row r="685">
      <c r="F685" s="27" t="n"/>
    </row>
    <row r="686">
      <c r="F686" s="27" t="n"/>
    </row>
    <row r="687">
      <c r="F687" s="27" t="n"/>
    </row>
    <row r="688">
      <c r="F688" s="27" t="n"/>
    </row>
    <row r="689">
      <c r="F689" s="27" t="n"/>
    </row>
    <row r="690">
      <c r="F690" s="27" t="n"/>
    </row>
    <row r="691">
      <c r="F691" s="27" t="n"/>
    </row>
    <row r="692">
      <c r="F692" s="27" t="n"/>
    </row>
    <row r="693">
      <c r="F693" s="27" t="n"/>
    </row>
    <row r="694">
      <c r="F694" s="27" t="n"/>
    </row>
    <row r="695">
      <c r="F695" s="27" t="n"/>
    </row>
    <row r="696">
      <c r="F696" s="27" t="n"/>
    </row>
    <row r="697">
      <c r="F697" s="27" t="n"/>
    </row>
    <row r="698">
      <c r="F698" s="27" t="n"/>
    </row>
    <row r="699">
      <c r="F699" s="27" t="n"/>
    </row>
    <row r="700">
      <c r="F700" s="27" t="n"/>
    </row>
  </sheetData>
  <mergeCells count="2">
    <mergeCell ref="A1:J1"/>
    <mergeCell ref="A3:J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  <dataValidation sqref="G2" showDropDown="0" showInputMessage="0" showErrorMessage="1" allowBlank="1" errorTitle="Invalid selection" error="Select from dropdown." type="list">
      <formula1>"All,Not Run,Pass,Fail,Blocked"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1" t="inlineStr">
        <is>
          <t>Deployment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Environment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Deployment ID</t>
        </is>
      </c>
      <c r="B4" s="10" t="inlineStr">
        <is>
          <t>Project ID</t>
        </is>
      </c>
      <c r="C4" s="10" t="inlineStr">
        <is>
          <t>Environment</t>
        </is>
      </c>
      <c r="D4" s="10" t="inlineStr">
        <is>
          <t>Deployment Date</t>
        </is>
      </c>
      <c r="E4" s="10" t="inlineStr">
        <is>
          <t>Version</t>
        </is>
      </c>
      <c r="F4" s="10" t="inlineStr">
        <is>
          <t>Deployed By</t>
        </is>
      </c>
      <c r="G4" s="10" t="inlineStr">
        <is>
          <t>Deployment Status</t>
        </is>
      </c>
      <c r="H4" s="10" t="inlineStr">
        <is>
          <t>Rollback Required</t>
        </is>
      </c>
      <c r="I4" s="10" t="inlineStr">
        <is>
          <t>Remarks</t>
        </is>
      </c>
    </row>
    <row r="5">
      <c r="A5" s="15">
        <f>IFERROR(FILTER('Data - Deployment Tracker'!A2:I250,('Data - Deployment Tracker'!$A$2:$A$250&lt;&gt;"")*(IF(C2="All",TRUE,'Data - Deployment Tracker'!$B$2:$B$250=C2))*(IF(E2="All",TRUE,'Data - Deployment Tracker'!$C$2:$C$250=E2))*(IF(G2="All",TRUE,'Data - Deployment Tracker'!$G$2:$G$250=G2))),"No matching records")</f>
        <v/>
      </c>
      <c r="B5" s="15" t="n"/>
      <c r="C5" s="15" t="n"/>
      <c r="D5" s="16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6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6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6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6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6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6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6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6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6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6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6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6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6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6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6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6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6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6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6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6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6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6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6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6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6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6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6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6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6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6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6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6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6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6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6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6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6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6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6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6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6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6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6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6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6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6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6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6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6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6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6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6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6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6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6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6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6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6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6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6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6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6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6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6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6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6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6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6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6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6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6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6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6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6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6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6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6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6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6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6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6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6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6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6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6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6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6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6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6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6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6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6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6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6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6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6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6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6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6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6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6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6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6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6" t="n"/>
      <c r="E119" s="15" t="n"/>
      <c r="F119" s="15" t="n"/>
      <c r="G119" s="15" t="n"/>
      <c r="H119" s="15" t="n"/>
      <c r="I119" s="15" t="n"/>
    </row>
    <row r="120">
      <c r="D120" s="27" t="n"/>
    </row>
    <row r="121">
      <c r="D121" s="27" t="n"/>
    </row>
    <row r="122">
      <c r="D122" s="27" t="n"/>
    </row>
    <row r="123">
      <c r="D123" s="27" t="n"/>
    </row>
    <row r="124">
      <c r="D124" s="27" t="n"/>
    </row>
    <row r="125">
      <c r="D125" s="27" t="n"/>
    </row>
    <row r="126">
      <c r="D126" s="27" t="n"/>
    </row>
    <row r="127">
      <c r="D127" s="27" t="n"/>
    </row>
    <row r="128">
      <c r="D128" s="27" t="n"/>
    </row>
    <row r="129">
      <c r="D129" s="27" t="n"/>
    </row>
    <row r="130">
      <c r="D130" s="27" t="n"/>
    </row>
    <row r="131">
      <c r="D131" s="27" t="n"/>
    </row>
    <row r="132">
      <c r="D132" s="27" t="n"/>
    </row>
    <row r="133">
      <c r="D133" s="27" t="n"/>
    </row>
    <row r="134">
      <c r="D134" s="27" t="n"/>
    </row>
    <row r="135">
      <c r="D135" s="27" t="n"/>
    </row>
    <row r="136">
      <c r="D136" s="27" t="n"/>
    </row>
    <row r="137">
      <c r="D137" s="27" t="n"/>
    </row>
    <row r="138">
      <c r="D138" s="27" t="n"/>
    </row>
    <row r="139">
      <c r="D139" s="27" t="n"/>
    </row>
    <row r="140">
      <c r="D140" s="27" t="n"/>
    </row>
    <row r="141">
      <c r="D141" s="27" t="n"/>
    </row>
    <row r="142">
      <c r="D142" s="27" t="n"/>
    </row>
    <row r="143">
      <c r="D143" s="27" t="n"/>
    </row>
    <row r="144">
      <c r="D144" s="27" t="n"/>
    </row>
    <row r="145">
      <c r="D145" s="27" t="n"/>
    </row>
    <row r="146">
      <c r="D146" s="27" t="n"/>
    </row>
    <row r="147">
      <c r="D147" s="27" t="n"/>
    </row>
    <row r="148">
      <c r="D148" s="27" t="n"/>
    </row>
    <row r="149">
      <c r="D149" s="27" t="n"/>
    </row>
    <row r="150">
      <c r="D150" s="27" t="n"/>
    </row>
    <row r="151">
      <c r="D151" s="27" t="n"/>
    </row>
    <row r="152">
      <c r="D152" s="27" t="n"/>
    </row>
    <row r="153">
      <c r="D153" s="27" t="n"/>
    </row>
    <row r="154">
      <c r="D154" s="27" t="n"/>
    </row>
    <row r="155">
      <c r="D155" s="27" t="n"/>
    </row>
    <row r="156">
      <c r="D156" s="27" t="n"/>
    </row>
    <row r="157">
      <c r="D157" s="27" t="n"/>
    </row>
    <row r="158">
      <c r="D158" s="27" t="n"/>
    </row>
    <row r="159">
      <c r="D159" s="27" t="n"/>
    </row>
    <row r="160">
      <c r="D160" s="27" t="n"/>
    </row>
    <row r="161">
      <c r="D161" s="27" t="n"/>
    </row>
    <row r="162">
      <c r="D162" s="27" t="n"/>
    </row>
    <row r="163">
      <c r="D163" s="27" t="n"/>
    </row>
    <row r="164">
      <c r="D164" s="27" t="n"/>
    </row>
    <row r="165">
      <c r="D165" s="27" t="n"/>
    </row>
    <row r="166">
      <c r="D166" s="27" t="n"/>
    </row>
    <row r="167">
      <c r="D167" s="27" t="n"/>
    </row>
    <row r="168">
      <c r="D168" s="27" t="n"/>
    </row>
    <row r="169">
      <c r="D169" s="27" t="n"/>
    </row>
    <row r="170">
      <c r="D170" s="27" t="n"/>
    </row>
    <row r="171">
      <c r="D171" s="27" t="n"/>
    </row>
    <row r="172">
      <c r="D172" s="27" t="n"/>
    </row>
    <row r="173">
      <c r="D173" s="27" t="n"/>
    </row>
    <row r="174">
      <c r="D174" s="27" t="n"/>
    </row>
    <row r="175">
      <c r="D175" s="27" t="n"/>
    </row>
    <row r="176">
      <c r="D176" s="27" t="n"/>
    </row>
    <row r="177">
      <c r="D177" s="27" t="n"/>
    </row>
    <row r="178">
      <c r="D178" s="27" t="n"/>
    </row>
    <row r="179">
      <c r="D179" s="27" t="n"/>
    </row>
    <row r="180">
      <c r="D180" s="27" t="n"/>
    </row>
    <row r="181">
      <c r="D181" s="27" t="n"/>
    </row>
    <row r="182">
      <c r="D182" s="27" t="n"/>
    </row>
    <row r="183">
      <c r="D183" s="27" t="n"/>
    </row>
    <row r="184">
      <c r="D184" s="27" t="n"/>
    </row>
    <row r="185">
      <c r="D185" s="27" t="n"/>
    </row>
    <row r="186">
      <c r="D186" s="27" t="n"/>
    </row>
    <row r="187">
      <c r="D187" s="27" t="n"/>
    </row>
    <row r="188">
      <c r="D188" s="27" t="n"/>
    </row>
    <row r="189">
      <c r="D189" s="27" t="n"/>
    </row>
    <row r="190">
      <c r="D190" s="27" t="n"/>
    </row>
    <row r="191">
      <c r="D191" s="27" t="n"/>
    </row>
    <row r="192">
      <c r="D192" s="27" t="n"/>
    </row>
    <row r="193">
      <c r="D193" s="27" t="n"/>
    </row>
    <row r="194">
      <c r="D194" s="27" t="n"/>
    </row>
    <row r="195">
      <c r="D195" s="27" t="n"/>
    </row>
    <row r="196">
      <c r="D196" s="27" t="n"/>
    </row>
    <row r="197">
      <c r="D197" s="27" t="n"/>
    </row>
    <row r="198">
      <c r="D198" s="27" t="n"/>
    </row>
    <row r="199">
      <c r="D199" s="27" t="n"/>
    </row>
    <row r="200">
      <c r="D200" s="27" t="n"/>
    </row>
    <row r="201">
      <c r="D201" s="27" t="n"/>
    </row>
    <row r="202">
      <c r="D202" s="27" t="n"/>
    </row>
    <row r="203">
      <c r="D203" s="27" t="n"/>
    </row>
    <row r="204">
      <c r="D204" s="27" t="n"/>
    </row>
    <row r="205">
      <c r="D205" s="27" t="n"/>
    </row>
    <row r="206">
      <c r="D206" s="27" t="n"/>
    </row>
    <row r="207">
      <c r="D207" s="27" t="n"/>
    </row>
    <row r="208">
      <c r="D208" s="27" t="n"/>
    </row>
    <row r="209">
      <c r="D209" s="27" t="n"/>
    </row>
    <row r="210">
      <c r="D210" s="27" t="n"/>
    </row>
    <row r="211">
      <c r="D211" s="27" t="n"/>
    </row>
    <row r="212">
      <c r="D212" s="27" t="n"/>
    </row>
    <row r="213">
      <c r="D213" s="27" t="n"/>
    </row>
    <row r="214">
      <c r="D214" s="27" t="n"/>
    </row>
    <row r="215">
      <c r="D215" s="27" t="n"/>
    </row>
    <row r="216">
      <c r="D216" s="27" t="n"/>
    </row>
    <row r="217">
      <c r="D217" s="27" t="n"/>
    </row>
    <row r="218">
      <c r="D218" s="27" t="n"/>
    </row>
    <row r="219">
      <c r="D219" s="27" t="n"/>
    </row>
    <row r="220">
      <c r="D220" s="27" t="n"/>
    </row>
    <row r="221">
      <c r="D221" s="27" t="n"/>
    </row>
    <row r="222">
      <c r="D222" s="27" t="n"/>
    </row>
    <row r="223">
      <c r="D223" s="27" t="n"/>
    </row>
    <row r="224">
      <c r="D224" s="27" t="n"/>
    </row>
    <row r="225">
      <c r="D225" s="27" t="n"/>
    </row>
    <row r="226">
      <c r="D226" s="27" t="n"/>
    </row>
    <row r="227">
      <c r="D227" s="27" t="n"/>
    </row>
    <row r="228">
      <c r="D228" s="27" t="n"/>
    </row>
    <row r="229">
      <c r="D229" s="27" t="n"/>
    </row>
    <row r="230">
      <c r="D230" s="27" t="n"/>
    </row>
    <row r="231">
      <c r="D231" s="27" t="n"/>
    </row>
    <row r="232">
      <c r="D232" s="27" t="n"/>
    </row>
    <row r="233">
      <c r="D233" s="27" t="n"/>
    </row>
    <row r="234">
      <c r="D234" s="27" t="n"/>
    </row>
    <row r="235">
      <c r="D235" s="27" t="n"/>
    </row>
    <row r="236">
      <c r="D236" s="27" t="n"/>
    </row>
    <row r="237">
      <c r="D237" s="27" t="n"/>
    </row>
    <row r="238">
      <c r="D238" s="27" t="n"/>
    </row>
    <row r="239">
      <c r="D239" s="27" t="n"/>
    </row>
    <row r="240">
      <c r="D240" s="27" t="n"/>
    </row>
    <row r="241">
      <c r="D241" s="27" t="n"/>
    </row>
    <row r="242">
      <c r="D242" s="27" t="n"/>
    </row>
    <row r="243">
      <c r="D243" s="27" t="n"/>
    </row>
    <row r="244">
      <c r="D244" s="27" t="n"/>
    </row>
    <row r="245">
      <c r="D245" s="27" t="n"/>
    </row>
    <row r="246">
      <c r="D246" s="27" t="n"/>
    </row>
    <row r="247">
      <c r="D247" s="27" t="n"/>
    </row>
    <row r="248">
      <c r="D248" s="27" t="n"/>
    </row>
    <row r="249">
      <c r="D249" s="27" t="n"/>
    </row>
    <row r="250">
      <c r="D250" s="27" t="n"/>
    </row>
    <row r="251">
      <c r="D251" s="27" t="n"/>
    </row>
    <row r="252">
      <c r="D252" s="27" t="n"/>
    </row>
    <row r="253">
      <c r="D253" s="27" t="n"/>
    </row>
    <row r="254">
      <c r="D254" s="27" t="n"/>
    </row>
    <row r="255">
      <c r="D255" s="27" t="n"/>
    </row>
    <row r="256">
      <c r="D256" s="27" t="n"/>
    </row>
    <row r="257">
      <c r="D257" s="27" t="n"/>
    </row>
    <row r="258">
      <c r="D258" s="27" t="n"/>
    </row>
    <row r="259">
      <c r="D259" s="27" t="n"/>
    </row>
    <row r="260">
      <c r="D260" s="27" t="n"/>
    </row>
    <row r="261">
      <c r="D261" s="27" t="n"/>
    </row>
    <row r="262">
      <c r="D262" s="27" t="n"/>
    </row>
    <row r="263">
      <c r="D263" s="27" t="n"/>
    </row>
    <row r="264">
      <c r="D264" s="27" t="n"/>
    </row>
    <row r="265">
      <c r="D265" s="27" t="n"/>
    </row>
    <row r="266">
      <c r="D266" s="27" t="n"/>
    </row>
    <row r="267">
      <c r="D267" s="27" t="n"/>
    </row>
    <row r="268">
      <c r="D268" s="27" t="n"/>
    </row>
    <row r="269">
      <c r="D269" s="27" t="n"/>
    </row>
    <row r="270">
      <c r="D270" s="27" t="n"/>
    </row>
    <row r="271">
      <c r="D271" s="27" t="n"/>
    </row>
    <row r="272">
      <c r="D272" s="27" t="n"/>
    </row>
    <row r="273">
      <c r="D273" s="27" t="n"/>
    </row>
    <row r="274">
      <c r="D274" s="27" t="n"/>
    </row>
    <row r="275">
      <c r="D275" s="27" t="n"/>
    </row>
    <row r="276">
      <c r="D276" s="27" t="n"/>
    </row>
    <row r="277">
      <c r="D277" s="27" t="n"/>
    </row>
    <row r="278">
      <c r="D278" s="27" t="n"/>
    </row>
    <row r="279">
      <c r="D279" s="27" t="n"/>
    </row>
    <row r="280">
      <c r="D280" s="27" t="n"/>
    </row>
    <row r="281">
      <c r="D281" s="27" t="n"/>
    </row>
    <row r="282">
      <c r="D282" s="27" t="n"/>
    </row>
    <row r="283">
      <c r="D283" s="27" t="n"/>
    </row>
    <row r="284">
      <c r="D284" s="27" t="n"/>
    </row>
    <row r="285">
      <c r="D285" s="27" t="n"/>
    </row>
    <row r="286">
      <c r="D286" s="27" t="n"/>
    </row>
    <row r="287">
      <c r="D287" s="27" t="n"/>
    </row>
    <row r="288">
      <c r="D288" s="27" t="n"/>
    </row>
    <row r="289">
      <c r="D289" s="27" t="n"/>
    </row>
    <row r="290">
      <c r="D290" s="27" t="n"/>
    </row>
    <row r="291">
      <c r="D291" s="27" t="n"/>
    </row>
    <row r="292">
      <c r="D292" s="27" t="n"/>
    </row>
    <row r="293">
      <c r="D293" s="27" t="n"/>
    </row>
    <row r="294">
      <c r="D294" s="27" t="n"/>
    </row>
    <row r="295">
      <c r="D295" s="27" t="n"/>
    </row>
    <row r="296">
      <c r="D296" s="27" t="n"/>
    </row>
    <row r="297">
      <c r="D297" s="27" t="n"/>
    </row>
    <row r="298">
      <c r="D298" s="27" t="n"/>
    </row>
    <row r="299">
      <c r="D299" s="27" t="n"/>
    </row>
    <row r="300">
      <c r="D300" s="27" t="n"/>
    </row>
    <row r="301">
      <c r="D301" s="27" t="n"/>
    </row>
    <row r="302">
      <c r="D302" s="27" t="n"/>
    </row>
    <row r="303">
      <c r="D303" s="27" t="n"/>
    </row>
    <row r="304">
      <c r="D304" s="27" t="n"/>
    </row>
    <row r="305">
      <c r="D305" s="27" t="n"/>
    </row>
    <row r="306">
      <c r="D306" s="27" t="n"/>
    </row>
    <row r="307">
      <c r="D307" s="27" t="n"/>
    </row>
    <row r="308">
      <c r="D308" s="27" t="n"/>
    </row>
    <row r="309">
      <c r="D309" s="27" t="n"/>
    </row>
    <row r="310">
      <c r="D310" s="27" t="n"/>
    </row>
    <row r="311">
      <c r="D311" s="27" t="n"/>
    </row>
    <row r="312">
      <c r="D312" s="27" t="n"/>
    </row>
    <row r="313">
      <c r="D313" s="27" t="n"/>
    </row>
    <row r="314">
      <c r="D314" s="27" t="n"/>
    </row>
    <row r="315">
      <c r="D315" s="27" t="n"/>
    </row>
    <row r="316">
      <c r="D316" s="27" t="n"/>
    </row>
    <row r="317">
      <c r="D317" s="27" t="n"/>
    </row>
    <row r="318">
      <c r="D318" s="27" t="n"/>
    </row>
    <row r="319">
      <c r="D319" s="27" t="n"/>
    </row>
    <row r="320">
      <c r="D320" s="27" t="n"/>
    </row>
    <row r="321">
      <c r="D321" s="27" t="n"/>
    </row>
    <row r="322">
      <c r="D322" s="27" t="n"/>
    </row>
    <row r="323">
      <c r="D323" s="27" t="n"/>
    </row>
    <row r="324">
      <c r="D324" s="27" t="n"/>
    </row>
    <row r="325">
      <c r="D325" s="27" t="n"/>
    </row>
    <row r="326">
      <c r="D326" s="27" t="n"/>
    </row>
    <row r="327">
      <c r="D327" s="27" t="n"/>
    </row>
    <row r="328">
      <c r="D328" s="27" t="n"/>
    </row>
    <row r="329">
      <c r="D329" s="27" t="n"/>
    </row>
    <row r="330">
      <c r="D330" s="27" t="n"/>
    </row>
    <row r="331">
      <c r="D331" s="27" t="n"/>
    </row>
    <row r="332">
      <c r="D332" s="27" t="n"/>
    </row>
    <row r="333">
      <c r="D333" s="27" t="n"/>
    </row>
    <row r="334">
      <c r="D334" s="27" t="n"/>
    </row>
    <row r="335">
      <c r="D335" s="27" t="n"/>
    </row>
    <row r="336">
      <c r="D336" s="27" t="n"/>
    </row>
    <row r="337">
      <c r="D337" s="27" t="n"/>
    </row>
    <row r="338">
      <c r="D338" s="27" t="n"/>
    </row>
    <row r="339">
      <c r="D339" s="27" t="n"/>
    </row>
    <row r="340">
      <c r="D340" s="27" t="n"/>
    </row>
    <row r="341">
      <c r="D341" s="27" t="n"/>
    </row>
    <row r="342">
      <c r="D342" s="27" t="n"/>
    </row>
    <row r="343">
      <c r="D343" s="27" t="n"/>
    </row>
    <row r="344">
      <c r="D344" s="27" t="n"/>
    </row>
    <row r="345">
      <c r="D345" s="27" t="n"/>
    </row>
    <row r="346">
      <c r="D346" s="27" t="n"/>
    </row>
    <row r="347">
      <c r="D347" s="27" t="n"/>
    </row>
    <row r="348">
      <c r="D348" s="27" t="n"/>
    </row>
    <row r="349">
      <c r="D349" s="27" t="n"/>
    </row>
    <row r="350">
      <c r="D350" s="27" t="n"/>
    </row>
    <row r="351">
      <c r="D351" s="27" t="n"/>
    </row>
    <row r="352">
      <c r="D352" s="27" t="n"/>
    </row>
    <row r="353">
      <c r="D353" s="27" t="n"/>
    </row>
    <row r="354">
      <c r="D354" s="27" t="n"/>
    </row>
    <row r="355">
      <c r="D355" s="27" t="n"/>
    </row>
    <row r="356">
      <c r="D356" s="27" t="n"/>
    </row>
    <row r="357">
      <c r="D357" s="27" t="n"/>
    </row>
    <row r="358">
      <c r="D358" s="27" t="n"/>
    </row>
    <row r="359">
      <c r="D359" s="27" t="n"/>
    </row>
    <row r="360">
      <c r="D360" s="27" t="n"/>
    </row>
    <row r="361">
      <c r="D361" s="27" t="n"/>
    </row>
    <row r="362">
      <c r="D362" s="27" t="n"/>
    </row>
    <row r="363">
      <c r="D363" s="27" t="n"/>
    </row>
    <row r="364">
      <c r="D364" s="27" t="n"/>
    </row>
    <row r="365">
      <c r="D365" s="27" t="n"/>
    </row>
    <row r="366">
      <c r="D366" s="27" t="n"/>
    </row>
    <row r="367">
      <c r="D367" s="27" t="n"/>
    </row>
    <row r="368">
      <c r="D368" s="27" t="n"/>
    </row>
    <row r="369">
      <c r="D369" s="27" t="n"/>
    </row>
    <row r="370">
      <c r="D370" s="27" t="n"/>
    </row>
    <row r="371">
      <c r="D371" s="27" t="n"/>
    </row>
    <row r="372">
      <c r="D372" s="27" t="n"/>
    </row>
    <row r="373">
      <c r="D373" s="27" t="n"/>
    </row>
    <row r="374">
      <c r="D374" s="27" t="n"/>
    </row>
    <row r="375">
      <c r="D375" s="27" t="n"/>
    </row>
    <row r="376">
      <c r="D376" s="27" t="n"/>
    </row>
    <row r="377">
      <c r="D377" s="27" t="n"/>
    </row>
    <row r="378">
      <c r="D378" s="27" t="n"/>
    </row>
    <row r="379">
      <c r="D379" s="27" t="n"/>
    </row>
    <row r="380">
      <c r="D380" s="27" t="n"/>
    </row>
    <row r="381">
      <c r="D381" s="27" t="n"/>
    </row>
    <row r="382">
      <c r="D382" s="27" t="n"/>
    </row>
    <row r="383">
      <c r="D383" s="27" t="n"/>
    </row>
    <row r="384">
      <c r="D384" s="27" t="n"/>
    </row>
    <row r="385">
      <c r="D385" s="27" t="n"/>
    </row>
    <row r="386">
      <c r="D386" s="27" t="n"/>
    </row>
    <row r="387">
      <c r="D387" s="27" t="n"/>
    </row>
    <row r="388">
      <c r="D388" s="27" t="n"/>
    </row>
    <row r="389">
      <c r="D389" s="27" t="n"/>
    </row>
    <row r="390">
      <c r="D390" s="27" t="n"/>
    </row>
    <row r="391">
      <c r="D391" s="27" t="n"/>
    </row>
    <row r="392">
      <c r="D392" s="27" t="n"/>
    </row>
    <row r="393">
      <c r="D393" s="27" t="n"/>
    </row>
    <row r="394">
      <c r="D394" s="27" t="n"/>
    </row>
    <row r="395">
      <c r="D395" s="27" t="n"/>
    </row>
    <row r="396">
      <c r="D396" s="27" t="n"/>
    </row>
    <row r="397">
      <c r="D397" s="27" t="n"/>
    </row>
    <row r="398">
      <c r="D398" s="27" t="n"/>
    </row>
    <row r="399">
      <c r="D399" s="27" t="n"/>
    </row>
    <row r="400">
      <c r="D400" s="27" t="n"/>
    </row>
    <row r="401">
      <c r="D401" s="27" t="n"/>
    </row>
    <row r="402">
      <c r="D402" s="27" t="n"/>
    </row>
    <row r="403">
      <c r="D403" s="27" t="n"/>
    </row>
    <row r="404">
      <c r="D404" s="27" t="n"/>
    </row>
    <row r="405">
      <c r="D405" s="27" t="n"/>
    </row>
    <row r="406">
      <c r="D406" s="27" t="n"/>
    </row>
    <row r="407">
      <c r="D407" s="27" t="n"/>
    </row>
    <row r="408">
      <c r="D408" s="27" t="n"/>
    </row>
    <row r="409">
      <c r="D409" s="27" t="n"/>
    </row>
    <row r="410">
      <c r="D410" s="27" t="n"/>
    </row>
    <row r="411">
      <c r="D411" s="27" t="n"/>
    </row>
    <row r="412">
      <c r="D412" s="27" t="n"/>
    </row>
    <row r="413">
      <c r="D413" s="27" t="n"/>
    </row>
    <row r="414">
      <c r="D414" s="27" t="n"/>
    </row>
    <row r="415">
      <c r="D415" s="27" t="n"/>
    </row>
    <row r="416">
      <c r="D416" s="27" t="n"/>
    </row>
    <row r="417">
      <c r="D417" s="27" t="n"/>
    </row>
    <row r="418">
      <c r="D418" s="27" t="n"/>
    </row>
    <row r="419">
      <c r="D419" s="27" t="n"/>
    </row>
    <row r="420">
      <c r="D420" s="27" t="n"/>
    </row>
    <row r="421">
      <c r="D421" s="27" t="n"/>
    </row>
    <row r="422">
      <c r="D422" s="27" t="n"/>
    </row>
    <row r="423">
      <c r="D423" s="27" t="n"/>
    </row>
    <row r="424">
      <c r="D424" s="27" t="n"/>
    </row>
    <row r="425">
      <c r="D425" s="27" t="n"/>
    </row>
    <row r="426">
      <c r="D426" s="27" t="n"/>
    </row>
    <row r="427">
      <c r="D427" s="27" t="n"/>
    </row>
    <row r="428">
      <c r="D428" s="27" t="n"/>
    </row>
    <row r="429">
      <c r="D429" s="27" t="n"/>
    </row>
    <row r="430">
      <c r="D430" s="27" t="n"/>
    </row>
    <row r="431">
      <c r="D431" s="27" t="n"/>
    </row>
    <row r="432">
      <c r="D432" s="27" t="n"/>
    </row>
    <row r="433">
      <c r="D433" s="27" t="n"/>
    </row>
    <row r="434">
      <c r="D434" s="27" t="n"/>
    </row>
    <row r="435">
      <c r="D435" s="27" t="n"/>
    </row>
    <row r="436">
      <c r="D436" s="27" t="n"/>
    </row>
    <row r="437">
      <c r="D437" s="27" t="n"/>
    </row>
    <row r="438">
      <c r="D438" s="27" t="n"/>
    </row>
    <row r="439">
      <c r="D439" s="27" t="n"/>
    </row>
    <row r="440">
      <c r="D440" s="27" t="n"/>
    </row>
    <row r="441">
      <c r="D441" s="27" t="n"/>
    </row>
    <row r="442">
      <c r="D442" s="27" t="n"/>
    </row>
    <row r="443">
      <c r="D443" s="27" t="n"/>
    </row>
    <row r="444">
      <c r="D444" s="27" t="n"/>
    </row>
    <row r="445">
      <c r="D445" s="27" t="n"/>
    </row>
    <row r="446">
      <c r="D446" s="27" t="n"/>
    </row>
    <row r="447">
      <c r="D447" s="27" t="n"/>
    </row>
    <row r="448">
      <c r="D448" s="27" t="n"/>
    </row>
    <row r="449">
      <c r="D449" s="27" t="n"/>
    </row>
    <row r="450">
      <c r="D450" s="27" t="n"/>
    </row>
    <row r="451">
      <c r="D451" s="27" t="n"/>
    </row>
    <row r="452">
      <c r="D452" s="27" t="n"/>
    </row>
    <row r="453">
      <c r="D453" s="27" t="n"/>
    </row>
    <row r="454">
      <c r="D454" s="27" t="n"/>
    </row>
    <row r="455">
      <c r="D455" s="27" t="n"/>
    </row>
    <row r="456">
      <c r="D456" s="27" t="n"/>
    </row>
    <row r="457">
      <c r="D457" s="27" t="n"/>
    </row>
    <row r="458">
      <c r="D458" s="27" t="n"/>
    </row>
    <row r="459">
      <c r="D459" s="27" t="n"/>
    </row>
    <row r="460">
      <c r="D460" s="27" t="n"/>
    </row>
    <row r="461">
      <c r="D461" s="27" t="n"/>
    </row>
    <row r="462">
      <c r="D462" s="27" t="n"/>
    </row>
    <row r="463">
      <c r="D463" s="27" t="n"/>
    </row>
    <row r="464">
      <c r="D464" s="27" t="n"/>
    </row>
    <row r="465">
      <c r="D465" s="27" t="n"/>
    </row>
    <row r="466">
      <c r="D466" s="27" t="n"/>
    </row>
    <row r="467">
      <c r="D467" s="27" t="n"/>
    </row>
    <row r="468">
      <c r="D468" s="27" t="n"/>
    </row>
    <row r="469">
      <c r="D469" s="27" t="n"/>
    </row>
    <row r="470">
      <c r="D470" s="27" t="n"/>
    </row>
    <row r="471">
      <c r="D471" s="27" t="n"/>
    </row>
    <row r="472">
      <c r="D472" s="27" t="n"/>
    </row>
    <row r="473">
      <c r="D473" s="27" t="n"/>
    </row>
    <row r="474">
      <c r="D474" s="27" t="n"/>
    </row>
    <row r="475">
      <c r="D475" s="27" t="n"/>
    </row>
    <row r="476">
      <c r="D476" s="27" t="n"/>
    </row>
    <row r="477">
      <c r="D477" s="27" t="n"/>
    </row>
    <row r="478">
      <c r="D478" s="27" t="n"/>
    </row>
    <row r="479">
      <c r="D479" s="27" t="n"/>
    </row>
    <row r="480">
      <c r="D480" s="27" t="n"/>
    </row>
    <row r="481">
      <c r="D481" s="27" t="n"/>
    </row>
    <row r="482">
      <c r="D482" s="27" t="n"/>
    </row>
    <row r="483">
      <c r="D483" s="27" t="n"/>
    </row>
    <row r="484">
      <c r="D484" s="27" t="n"/>
    </row>
    <row r="485">
      <c r="D485" s="27" t="n"/>
    </row>
    <row r="486">
      <c r="D486" s="27" t="n"/>
    </row>
    <row r="487">
      <c r="D487" s="27" t="n"/>
    </row>
    <row r="488">
      <c r="D488" s="27" t="n"/>
    </row>
    <row r="489">
      <c r="D489" s="27" t="n"/>
    </row>
    <row r="490">
      <c r="D490" s="27" t="n"/>
    </row>
    <row r="491">
      <c r="D491" s="27" t="n"/>
    </row>
    <row r="492">
      <c r="D492" s="27" t="n"/>
    </row>
    <row r="493">
      <c r="D493" s="27" t="n"/>
    </row>
    <row r="494">
      <c r="D494" s="27" t="n"/>
    </row>
    <row r="495">
      <c r="D495" s="27" t="n"/>
    </row>
    <row r="496">
      <c r="D496" s="27" t="n"/>
    </row>
    <row r="497">
      <c r="D497" s="27" t="n"/>
    </row>
    <row r="498">
      <c r="D498" s="27" t="n"/>
    </row>
    <row r="499">
      <c r="D499" s="27" t="n"/>
    </row>
    <row r="500">
      <c r="D500" s="27" t="n"/>
    </row>
    <row r="501">
      <c r="D501" s="27" t="n"/>
    </row>
    <row r="502">
      <c r="D502" s="27" t="n"/>
    </row>
    <row r="503">
      <c r="D503" s="27" t="n"/>
    </row>
    <row r="504">
      <c r="D504" s="27" t="n"/>
    </row>
    <row r="505">
      <c r="D505" s="27" t="n"/>
    </row>
    <row r="506">
      <c r="D506" s="27" t="n"/>
    </row>
    <row r="507">
      <c r="D507" s="27" t="n"/>
    </row>
    <row r="508">
      <c r="D508" s="27" t="n"/>
    </row>
    <row r="509">
      <c r="D509" s="27" t="n"/>
    </row>
    <row r="510">
      <c r="D510" s="27" t="n"/>
    </row>
    <row r="511">
      <c r="D511" s="27" t="n"/>
    </row>
    <row r="512">
      <c r="D512" s="27" t="n"/>
    </row>
    <row r="513">
      <c r="D513" s="27" t="n"/>
    </row>
    <row r="514">
      <c r="D514" s="27" t="n"/>
    </row>
    <row r="515">
      <c r="D515" s="27" t="n"/>
    </row>
    <row r="516">
      <c r="D516" s="27" t="n"/>
    </row>
    <row r="517">
      <c r="D517" s="27" t="n"/>
    </row>
    <row r="518">
      <c r="D518" s="27" t="n"/>
    </row>
    <row r="519">
      <c r="D519" s="27" t="n"/>
    </row>
    <row r="520">
      <c r="D520" s="27" t="n"/>
    </row>
    <row r="521">
      <c r="D521" s="27" t="n"/>
    </row>
    <row r="522">
      <c r="D522" s="27" t="n"/>
    </row>
    <row r="523">
      <c r="D523" s="27" t="n"/>
    </row>
    <row r="524">
      <c r="D524" s="27" t="n"/>
    </row>
    <row r="525">
      <c r="D525" s="27" t="n"/>
    </row>
    <row r="526">
      <c r="D526" s="27" t="n"/>
    </row>
    <row r="527">
      <c r="D527" s="27" t="n"/>
    </row>
    <row r="528">
      <c r="D528" s="27" t="n"/>
    </row>
    <row r="529">
      <c r="D529" s="27" t="n"/>
    </row>
    <row r="530">
      <c r="D530" s="27" t="n"/>
    </row>
    <row r="531">
      <c r="D531" s="27" t="n"/>
    </row>
    <row r="532">
      <c r="D532" s="27" t="n"/>
    </row>
    <row r="533">
      <c r="D533" s="27" t="n"/>
    </row>
    <row r="534">
      <c r="D534" s="27" t="n"/>
    </row>
    <row r="535">
      <c r="D535" s="27" t="n"/>
    </row>
    <row r="536">
      <c r="D536" s="27" t="n"/>
    </row>
    <row r="537">
      <c r="D537" s="27" t="n"/>
    </row>
    <row r="538">
      <c r="D538" s="27" t="n"/>
    </row>
    <row r="539">
      <c r="D539" s="27" t="n"/>
    </row>
    <row r="540">
      <c r="D540" s="27" t="n"/>
    </row>
    <row r="541">
      <c r="D541" s="27" t="n"/>
    </row>
    <row r="542">
      <c r="D542" s="27" t="n"/>
    </row>
    <row r="543">
      <c r="D543" s="27" t="n"/>
    </row>
    <row r="544">
      <c r="D544" s="27" t="n"/>
    </row>
    <row r="545">
      <c r="D545" s="27" t="n"/>
    </row>
    <row r="546">
      <c r="D546" s="27" t="n"/>
    </row>
    <row r="547">
      <c r="D547" s="27" t="n"/>
    </row>
    <row r="548">
      <c r="D548" s="27" t="n"/>
    </row>
    <row r="549">
      <c r="D549" s="27" t="n"/>
    </row>
    <row r="550">
      <c r="D550" s="27" t="n"/>
    </row>
    <row r="551">
      <c r="D551" s="27" t="n"/>
    </row>
    <row r="552">
      <c r="D552" s="27" t="n"/>
    </row>
    <row r="553">
      <c r="D553" s="27" t="n"/>
    </row>
    <row r="554">
      <c r="D554" s="27" t="n"/>
    </row>
    <row r="555">
      <c r="D555" s="27" t="n"/>
    </row>
    <row r="556">
      <c r="D556" s="27" t="n"/>
    </row>
    <row r="557">
      <c r="D557" s="27" t="n"/>
    </row>
    <row r="558">
      <c r="D558" s="27" t="n"/>
    </row>
    <row r="559">
      <c r="D559" s="27" t="n"/>
    </row>
    <row r="560">
      <c r="D560" s="27" t="n"/>
    </row>
    <row r="561">
      <c r="D561" s="27" t="n"/>
    </row>
    <row r="562">
      <c r="D562" s="27" t="n"/>
    </row>
    <row r="563">
      <c r="D563" s="27" t="n"/>
    </row>
    <row r="564">
      <c r="D564" s="27" t="n"/>
    </row>
    <row r="565">
      <c r="D565" s="27" t="n"/>
    </row>
    <row r="566">
      <c r="D566" s="27" t="n"/>
    </row>
    <row r="567">
      <c r="D567" s="27" t="n"/>
    </row>
    <row r="568">
      <c r="D568" s="27" t="n"/>
    </row>
    <row r="569">
      <c r="D569" s="27" t="n"/>
    </row>
    <row r="570">
      <c r="D570" s="27" t="n"/>
    </row>
    <row r="571">
      <c r="D571" s="27" t="n"/>
    </row>
    <row r="572">
      <c r="D572" s="27" t="n"/>
    </row>
    <row r="573">
      <c r="D573" s="27" t="n"/>
    </row>
    <row r="574">
      <c r="D574" s="27" t="n"/>
    </row>
    <row r="575">
      <c r="D575" s="27" t="n"/>
    </row>
    <row r="576">
      <c r="D576" s="27" t="n"/>
    </row>
    <row r="577">
      <c r="D577" s="27" t="n"/>
    </row>
    <row r="578">
      <c r="D578" s="27" t="n"/>
    </row>
    <row r="579">
      <c r="D579" s="27" t="n"/>
    </row>
    <row r="580">
      <c r="D580" s="27" t="n"/>
    </row>
    <row r="581">
      <c r="D581" s="27" t="n"/>
    </row>
    <row r="582">
      <c r="D582" s="27" t="n"/>
    </row>
    <row r="583">
      <c r="D583" s="27" t="n"/>
    </row>
    <row r="584">
      <c r="D584" s="27" t="n"/>
    </row>
    <row r="585">
      <c r="D585" s="27" t="n"/>
    </row>
    <row r="586">
      <c r="D586" s="27" t="n"/>
    </row>
    <row r="587">
      <c r="D587" s="27" t="n"/>
    </row>
    <row r="588">
      <c r="D588" s="27" t="n"/>
    </row>
    <row r="589">
      <c r="D589" s="27" t="n"/>
    </row>
    <row r="590">
      <c r="D590" s="27" t="n"/>
    </row>
    <row r="591">
      <c r="D591" s="27" t="n"/>
    </row>
    <row r="592">
      <c r="D592" s="27" t="n"/>
    </row>
    <row r="593">
      <c r="D593" s="27" t="n"/>
    </row>
    <row r="594">
      <c r="D594" s="27" t="n"/>
    </row>
    <row r="595">
      <c r="D595" s="27" t="n"/>
    </row>
    <row r="596">
      <c r="D596" s="27" t="n"/>
    </row>
    <row r="597">
      <c r="D597" s="27" t="n"/>
    </row>
    <row r="598">
      <c r="D598" s="27" t="n"/>
    </row>
    <row r="599">
      <c r="D599" s="27" t="n"/>
    </row>
    <row r="600">
      <c r="D600" s="27" t="n"/>
    </row>
    <row r="601">
      <c r="D601" s="27" t="n"/>
    </row>
    <row r="602">
      <c r="D602" s="27" t="n"/>
    </row>
    <row r="603">
      <c r="D603" s="27" t="n"/>
    </row>
    <row r="604">
      <c r="D604" s="27" t="n"/>
    </row>
    <row r="605">
      <c r="D605" s="27" t="n"/>
    </row>
    <row r="606">
      <c r="D606" s="27" t="n"/>
    </row>
    <row r="607">
      <c r="D607" s="27" t="n"/>
    </row>
    <row r="608">
      <c r="D608" s="27" t="n"/>
    </row>
    <row r="609">
      <c r="D609" s="27" t="n"/>
    </row>
    <row r="610">
      <c r="D610" s="27" t="n"/>
    </row>
    <row r="611">
      <c r="D611" s="27" t="n"/>
    </row>
    <row r="612">
      <c r="D612" s="27" t="n"/>
    </row>
    <row r="613">
      <c r="D613" s="27" t="n"/>
    </row>
    <row r="614">
      <c r="D614" s="27" t="n"/>
    </row>
    <row r="615">
      <c r="D615" s="27" t="n"/>
    </row>
    <row r="616">
      <c r="D616" s="27" t="n"/>
    </row>
    <row r="617">
      <c r="D617" s="27" t="n"/>
    </row>
    <row r="618">
      <c r="D618" s="27" t="n"/>
    </row>
    <row r="619">
      <c r="D619" s="27" t="n"/>
    </row>
    <row r="620">
      <c r="D620" s="27" t="n"/>
    </row>
    <row r="621">
      <c r="D621" s="27" t="n"/>
    </row>
    <row r="622">
      <c r="D622" s="27" t="n"/>
    </row>
    <row r="623">
      <c r="D623" s="27" t="n"/>
    </row>
    <row r="624">
      <c r="D624" s="27" t="n"/>
    </row>
    <row r="625">
      <c r="D625" s="27" t="n"/>
    </row>
    <row r="626">
      <c r="D626" s="27" t="n"/>
    </row>
    <row r="627">
      <c r="D627" s="27" t="n"/>
    </row>
    <row r="628">
      <c r="D628" s="27" t="n"/>
    </row>
    <row r="629">
      <c r="D629" s="27" t="n"/>
    </row>
    <row r="630">
      <c r="D630" s="27" t="n"/>
    </row>
    <row r="631">
      <c r="D631" s="27" t="n"/>
    </row>
    <row r="632">
      <c r="D632" s="27" t="n"/>
    </row>
    <row r="633">
      <c r="D633" s="27" t="n"/>
    </row>
    <row r="634">
      <c r="D634" s="27" t="n"/>
    </row>
    <row r="635">
      <c r="D635" s="27" t="n"/>
    </row>
    <row r="636">
      <c r="D636" s="27" t="n"/>
    </row>
    <row r="637">
      <c r="D637" s="27" t="n"/>
    </row>
    <row r="638">
      <c r="D638" s="27" t="n"/>
    </row>
    <row r="639">
      <c r="D639" s="27" t="n"/>
    </row>
    <row r="640">
      <c r="D640" s="27" t="n"/>
    </row>
    <row r="641">
      <c r="D641" s="27" t="n"/>
    </row>
    <row r="642">
      <c r="D642" s="27" t="n"/>
    </row>
    <row r="643">
      <c r="D643" s="27" t="n"/>
    </row>
    <row r="644">
      <c r="D644" s="27" t="n"/>
    </row>
    <row r="645">
      <c r="D645" s="27" t="n"/>
    </row>
    <row r="646">
      <c r="D646" s="27" t="n"/>
    </row>
    <row r="647">
      <c r="D647" s="27" t="n"/>
    </row>
    <row r="648">
      <c r="D648" s="27" t="n"/>
    </row>
    <row r="649">
      <c r="D649" s="27" t="n"/>
    </row>
    <row r="650">
      <c r="D650" s="27" t="n"/>
    </row>
    <row r="651">
      <c r="D651" s="27" t="n"/>
    </row>
    <row r="652">
      <c r="D652" s="27" t="n"/>
    </row>
    <row r="653">
      <c r="D653" s="27" t="n"/>
    </row>
    <row r="654">
      <c r="D654" s="27" t="n"/>
    </row>
    <row r="655">
      <c r="D655" s="27" t="n"/>
    </row>
    <row r="656">
      <c r="D656" s="27" t="n"/>
    </row>
    <row r="657">
      <c r="D657" s="27" t="n"/>
    </row>
    <row r="658">
      <c r="D658" s="27" t="n"/>
    </row>
    <row r="659">
      <c r="D659" s="27" t="n"/>
    </row>
    <row r="660">
      <c r="D660" s="27" t="n"/>
    </row>
    <row r="661">
      <c r="D661" s="27" t="n"/>
    </row>
    <row r="662">
      <c r="D662" s="27" t="n"/>
    </row>
    <row r="663">
      <c r="D663" s="27" t="n"/>
    </row>
    <row r="664">
      <c r="D664" s="27" t="n"/>
    </row>
    <row r="665">
      <c r="D665" s="27" t="n"/>
    </row>
    <row r="666">
      <c r="D666" s="27" t="n"/>
    </row>
    <row r="667">
      <c r="D667" s="27" t="n"/>
    </row>
    <row r="668">
      <c r="D668" s="27" t="n"/>
    </row>
    <row r="669">
      <c r="D669" s="27" t="n"/>
    </row>
    <row r="670">
      <c r="D670" s="27" t="n"/>
    </row>
    <row r="671">
      <c r="D671" s="27" t="n"/>
    </row>
    <row r="672">
      <c r="D672" s="27" t="n"/>
    </row>
    <row r="673">
      <c r="D673" s="27" t="n"/>
    </row>
    <row r="674">
      <c r="D674" s="27" t="n"/>
    </row>
    <row r="675">
      <c r="D675" s="27" t="n"/>
    </row>
    <row r="676">
      <c r="D676" s="27" t="n"/>
    </row>
    <row r="677">
      <c r="D677" s="27" t="n"/>
    </row>
    <row r="678">
      <c r="D678" s="27" t="n"/>
    </row>
    <row r="679">
      <c r="D679" s="27" t="n"/>
    </row>
    <row r="680">
      <c r="D680" s="27" t="n"/>
    </row>
    <row r="681">
      <c r="D681" s="27" t="n"/>
    </row>
    <row r="682">
      <c r="D682" s="27" t="n"/>
    </row>
    <row r="683">
      <c r="D683" s="27" t="n"/>
    </row>
    <row r="684">
      <c r="D684" s="27" t="n"/>
    </row>
    <row r="685">
      <c r="D685" s="27" t="n"/>
    </row>
    <row r="686">
      <c r="D686" s="27" t="n"/>
    </row>
    <row r="687">
      <c r="D687" s="27" t="n"/>
    </row>
    <row r="688">
      <c r="D688" s="27" t="n"/>
    </row>
    <row r="689">
      <c r="D689" s="27" t="n"/>
    </row>
    <row r="690">
      <c r="D690" s="27" t="n"/>
    </row>
    <row r="691">
      <c r="D691" s="27" t="n"/>
    </row>
    <row r="692">
      <c r="D692" s="27" t="n"/>
    </row>
    <row r="693">
      <c r="D693" s="27" t="n"/>
    </row>
    <row r="694">
      <c r="D694" s="27" t="n"/>
    </row>
    <row r="695">
      <c r="D695" s="27" t="n"/>
    </row>
    <row r="696">
      <c r="D696" s="27" t="n"/>
    </row>
    <row r="697">
      <c r="D697" s="27" t="n"/>
    </row>
    <row r="698">
      <c r="D698" s="27" t="n"/>
    </row>
    <row r="699">
      <c r="D699" s="27" t="n"/>
    </row>
    <row r="700">
      <c r="D700" s="27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"All,Development,SIT,UAT,Pre-Production,Production,DR"</formula1>
    </dataValidation>
    <dataValidation sqref="G2" showDropDown="0" showInputMessage="0" showErrorMessage="1" allowBlank="1" errorTitle="Invalid selection" error="Select from dropdown." type="list">
      <formula1>"All,Planned,Successful,Failed,Rolled Back,Completed"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0" t="inlineStr">
        <is>
          <t>Project ID</t>
        </is>
      </c>
      <c r="B1" s="10" t="inlineStr">
        <is>
          <t>Project Name</t>
        </is>
      </c>
      <c r="C1" s="10" t="inlineStr">
        <is>
          <t>Client / Bank Name</t>
        </is>
      </c>
      <c r="D1" s="10" t="inlineStr">
        <is>
          <t>Project Manager</t>
        </is>
      </c>
      <c r="E1" s="10" t="inlineStr">
        <is>
          <t>Start Date</t>
        </is>
      </c>
      <c r="F1" s="10" t="inlineStr">
        <is>
          <t>Planned End Date</t>
        </is>
      </c>
      <c r="G1" s="10" t="inlineStr">
        <is>
          <t>Revised End Date</t>
        </is>
      </c>
      <c r="H1" s="10" t="inlineStr">
        <is>
          <t>Actual End Date</t>
        </is>
      </c>
      <c r="I1" s="10" t="inlineStr">
        <is>
          <t>Project Status</t>
        </is>
      </c>
      <c r="J1" s="10" t="inlineStr">
        <is>
          <t>Priority</t>
        </is>
      </c>
      <c r="K1" s="10" t="inlineStr">
        <is>
          <t>Completion %</t>
        </is>
      </c>
      <c r="L1" s="10" t="inlineStr">
        <is>
          <t>Current Phase</t>
        </is>
      </c>
      <c r="M1" s="10" t="inlineStr">
        <is>
          <t>Risk Level</t>
        </is>
      </c>
      <c r="N1" s="10" t="inlineStr">
        <is>
          <t>Remarks</t>
        </is>
      </c>
    </row>
    <row r="2">
      <c r="A2" s="15" t="inlineStr">
        <is>
          <t>PRJ-001</t>
        </is>
      </c>
      <c r="B2" s="15" t="inlineStr">
        <is>
          <t>Mobile Banking Revamp</t>
        </is>
      </c>
      <c r="C2" s="15" t="inlineStr">
        <is>
          <t>Apex Bank</t>
        </is>
      </c>
      <c r="D2" s="15" t="inlineStr">
        <is>
          <t>Ananya Rao</t>
        </is>
      </c>
      <c r="E2" s="16" t="n">
        <v>46028</v>
      </c>
      <c r="F2" s="16" t="n">
        <v>46201</v>
      </c>
      <c r="G2" s="16" t="n">
        <v>46215</v>
      </c>
      <c r="H2" s="16" t="inlineStr"/>
      <c r="I2" s="15" t="inlineStr">
        <is>
          <t>Active</t>
        </is>
      </c>
      <c r="J2" s="15" t="inlineStr">
        <is>
          <t>High</t>
        </is>
      </c>
      <c r="K2" s="17">
        <f>IF(A2="","",IFERROR(AVERAGEIF('Data - Task Tracker'!B:B,A2,'Data - Task Tracker'!L:L),0))</f>
        <v/>
      </c>
      <c r="L2" s="15" t="inlineStr">
        <is>
          <t>UAT</t>
        </is>
      </c>
      <c r="M2" s="15" t="inlineStr">
        <is>
          <t>High</t>
        </is>
      </c>
      <c r="N2" s="15" t="inlineStr">
        <is>
          <t>UAT defects under triage</t>
        </is>
      </c>
    </row>
    <row r="3">
      <c r="A3" s="15" t="inlineStr">
        <is>
          <t>PRJ-002</t>
        </is>
      </c>
      <c r="B3" s="15" t="inlineStr">
        <is>
          <t>Loan Origination Workflow</t>
        </is>
      </c>
      <c r="C3" s="15" t="inlineStr">
        <is>
          <t>Crescent Finance</t>
        </is>
      </c>
      <c r="D3" s="15" t="inlineStr">
        <is>
          <t>Rohit Menon</t>
        </is>
      </c>
      <c r="E3" s="16" t="n">
        <v>46056</v>
      </c>
      <c r="F3" s="16" t="n">
        <v>46249</v>
      </c>
      <c r="G3" s="16" t="inlineStr"/>
      <c r="H3" s="16" t="inlineStr"/>
      <c r="I3" s="15" t="inlineStr">
        <is>
          <t>Active</t>
        </is>
      </c>
      <c r="J3" s="15" t="inlineStr">
        <is>
          <t>Critical</t>
        </is>
      </c>
      <c r="K3" s="17">
        <f>IF(A3="","",IFERROR(AVERAGEIF('Data - Task Tracker'!B:B,A3,'Data - Task Tracker'!L:L),0))</f>
        <v/>
      </c>
      <c r="L3" s="15" t="inlineStr">
        <is>
          <t>Development</t>
        </is>
      </c>
      <c r="M3" s="15" t="inlineStr">
        <is>
          <t>Critical</t>
        </is>
      </c>
      <c r="N3" s="15" t="inlineStr">
        <is>
          <t>CBS dependency</t>
        </is>
      </c>
    </row>
    <row r="4">
      <c r="A4" s="15" t="inlineStr">
        <is>
          <t>PRJ-003</t>
        </is>
      </c>
      <c r="B4" s="15" t="inlineStr">
        <is>
          <t>Regulatory Reporting Portal</t>
        </is>
      </c>
      <c r="C4" s="15" t="inlineStr">
        <is>
          <t>Northstar Bank</t>
        </is>
      </c>
      <c r="D4" s="15" t="inlineStr">
        <is>
          <t>Meera Iyer</t>
        </is>
      </c>
      <c r="E4" s="16" t="n">
        <v>45971</v>
      </c>
      <c r="F4" s="16" t="n">
        <v>46142</v>
      </c>
      <c r="G4" s="16" t="n">
        <v>46150</v>
      </c>
      <c r="H4" s="16" t="n">
        <v>46148</v>
      </c>
      <c r="I4" s="15" t="inlineStr">
        <is>
          <t>Completed</t>
        </is>
      </c>
      <c r="J4" s="15" t="inlineStr">
        <is>
          <t>High</t>
        </is>
      </c>
      <c r="K4" s="17">
        <f>IF(A4="","",IFERROR(AVERAGEIF('Data - Task Tracker'!B:B,A4,'Data - Task Tracker'!L:L),0))</f>
        <v/>
      </c>
      <c r="L4" s="15" t="inlineStr">
        <is>
          <t>Closed</t>
        </is>
      </c>
      <c r="M4" s="15" t="inlineStr">
        <is>
          <t>Medium</t>
        </is>
      </c>
      <c r="N4" s="15" t="inlineStr">
        <is>
          <t>Delivered</t>
        </is>
      </c>
    </row>
    <row r="5">
      <c r="A5" s="15" t="inlineStr">
        <is>
          <t>PRJ-004</t>
        </is>
      </c>
      <c r="B5" s="15" t="inlineStr">
        <is>
          <t>Customer Onboarding App</t>
        </is>
      </c>
      <c r="C5" s="15" t="inlineStr">
        <is>
          <t>Horizon Credit Union</t>
        </is>
      </c>
      <c r="D5" s="15" t="inlineStr">
        <is>
          <t>Vikram Shah</t>
        </is>
      </c>
      <c r="E5" s="16" t="n">
        <v>46098</v>
      </c>
      <c r="F5" s="16" t="n">
        <v>46234</v>
      </c>
      <c r="G5" s="16" t="n">
        <v>46255</v>
      </c>
      <c r="H5" s="16" t="inlineStr"/>
      <c r="I5" s="15" t="inlineStr">
        <is>
          <t>Delayed</t>
        </is>
      </c>
      <c r="J5" s="15" t="inlineStr">
        <is>
          <t>High</t>
        </is>
      </c>
      <c r="K5" s="17">
        <f>IF(A5="","",IFERROR(AVERAGEIF('Data - Task Tracker'!B:B,A5,'Data - Task Tracker'!L:L),0))</f>
        <v/>
      </c>
      <c r="L5" s="15" t="inlineStr">
        <is>
          <t>Testing</t>
        </is>
      </c>
      <c r="M5" s="15" t="inlineStr">
        <is>
          <t>High</t>
        </is>
      </c>
      <c r="N5" s="15" t="inlineStr">
        <is>
          <t>Performance issue</t>
        </is>
      </c>
    </row>
    <row r="6">
      <c r="A6" s="15" t="inlineStr">
        <is>
          <t>PRJ-005</t>
        </is>
      </c>
      <c r="B6" s="15" t="inlineStr">
        <is>
          <t>Treasury Dashboard</t>
        </is>
      </c>
      <c r="C6" s="15" t="inlineStr">
        <is>
          <t>Meridian Bank</t>
        </is>
      </c>
      <c r="D6" s="15" t="inlineStr">
        <is>
          <t>Fatima Khan</t>
        </is>
      </c>
      <c r="E6" s="16" t="n">
        <v>46113</v>
      </c>
      <c r="F6" s="16" t="n">
        <v>46285</v>
      </c>
      <c r="G6" s="16" t="inlineStr"/>
      <c r="H6" s="16" t="inlineStr"/>
      <c r="I6" s="15" t="inlineStr">
        <is>
          <t>Active</t>
        </is>
      </c>
      <c r="J6" s="15" t="inlineStr">
        <is>
          <t>Medium</t>
        </is>
      </c>
      <c r="K6" s="17">
        <f>IF(A6="","",IFERROR(AVERAGEIF('Data - Task Tracker'!B:B,A6,'Data - Task Tracker'!L:L),0))</f>
        <v/>
      </c>
      <c r="L6" s="15" t="inlineStr">
        <is>
          <t>Design</t>
        </is>
      </c>
      <c r="M6" s="15" t="inlineStr">
        <is>
          <t>Medium</t>
        </is>
      </c>
      <c r="N6" s="15" t="inlineStr">
        <is>
          <t>Signoff pending</t>
        </is>
      </c>
    </row>
    <row r="7">
      <c r="A7" s="15" t="inlineStr">
        <is>
          <t>PRJ-006</t>
        </is>
      </c>
      <c r="B7" s="15" t="inlineStr">
        <is>
          <t>Branch Service Desk Upgrade</t>
        </is>
      </c>
      <c r="C7" s="15" t="inlineStr">
        <is>
          <t>Union Trust</t>
        </is>
      </c>
      <c r="D7" s="15" t="inlineStr">
        <is>
          <t>Karan Desai</t>
        </is>
      </c>
      <c r="E7" s="16" t="n">
        <v>45992</v>
      </c>
      <c r="F7" s="16" t="n">
        <v>46096</v>
      </c>
      <c r="G7" s="16" t="inlineStr"/>
      <c r="H7" s="16" t="n">
        <v>46095</v>
      </c>
      <c r="I7" s="15" t="inlineStr">
        <is>
          <t>Completed</t>
        </is>
      </c>
      <c r="J7" s="15" t="inlineStr">
        <is>
          <t>Medium</t>
        </is>
      </c>
      <c r="K7" s="17">
        <f>IF(A7="","",IFERROR(AVERAGEIF('Data - Task Tracker'!B:B,A7,'Data - Task Tracker'!L:L),0))</f>
        <v/>
      </c>
      <c r="L7" s="15" t="inlineStr">
        <is>
          <t>Closed</t>
        </is>
      </c>
      <c r="M7" s="15" t="inlineStr">
        <is>
          <t>Low</t>
        </is>
      </c>
      <c r="N7" s="15" t="inlineStr">
        <is>
          <t>Completed</t>
        </is>
      </c>
    </row>
    <row r="8">
      <c r="A8" s="15" t="inlineStr">
        <is>
          <t>PRJ-007</t>
        </is>
      </c>
      <c r="B8" s="15" t="inlineStr">
        <is>
          <t>Fraud Monitoring Rules</t>
        </is>
      </c>
      <c r="C8" s="15" t="inlineStr">
        <is>
          <t>Apex Bank</t>
        </is>
      </c>
      <c r="D8" s="15" t="inlineStr">
        <is>
          <t>Ananya Rao</t>
        </is>
      </c>
      <c r="E8" s="16" t="n">
        <v>46152</v>
      </c>
      <c r="F8" s="16" t="n">
        <v>46310</v>
      </c>
      <c r="G8" s="16" t="inlineStr"/>
      <c r="H8" s="16" t="inlineStr"/>
      <c r="I8" s="15" t="inlineStr">
        <is>
          <t>Not Started</t>
        </is>
      </c>
      <c r="J8" s="15" t="inlineStr">
        <is>
          <t>Critical</t>
        </is>
      </c>
      <c r="K8" s="17">
        <f>IF(A8="","",IFERROR(AVERAGEIF('Data - Task Tracker'!B:B,A8,'Data - Task Tracker'!L:L),0))</f>
        <v/>
      </c>
      <c r="L8" s="15" t="inlineStr">
        <is>
          <t>Initiation</t>
        </is>
      </c>
      <c r="M8" s="15" t="inlineStr">
        <is>
          <t>High</t>
        </is>
      </c>
      <c r="N8" s="15" t="inlineStr">
        <is>
          <t>Vendor selection</t>
        </is>
      </c>
    </row>
    <row r="9">
      <c r="A9" s="15" t="inlineStr">
        <is>
          <t>PRJ-008</t>
        </is>
      </c>
      <c r="B9" s="15" t="inlineStr">
        <is>
          <t>Corporate NetBanking Refresh</t>
        </is>
      </c>
      <c r="C9" s="15" t="inlineStr">
        <is>
          <t>Crescent Finance</t>
        </is>
      </c>
      <c r="D9" s="15" t="inlineStr">
        <is>
          <t>Rohit Menon</t>
        </is>
      </c>
      <c r="E9" s="16" t="n">
        <v>46073</v>
      </c>
      <c r="F9" s="16" t="n">
        <v>46295</v>
      </c>
      <c r="G9" s="16" t="n">
        <v>46305</v>
      </c>
      <c r="H9" s="16" t="inlineStr"/>
      <c r="I9" s="15" t="inlineStr">
        <is>
          <t>On Hold</t>
        </is>
      </c>
      <c r="J9" s="15" t="inlineStr">
        <is>
          <t>Medium</t>
        </is>
      </c>
      <c r="K9" s="17">
        <f>IF(A9="","",IFERROR(AVERAGEIF('Data - Task Tracker'!B:B,A9,'Data - Task Tracker'!L:L),0))</f>
        <v/>
      </c>
      <c r="L9" s="15" t="inlineStr">
        <is>
          <t>Requirements</t>
        </is>
      </c>
      <c r="M9" s="15" t="inlineStr">
        <is>
          <t>Medium</t>
        </is>
      </c>
      <c r="N9" s="15" t="inlineStr">
        <is>
          <t>Budget hold</t>
        </is>
      </c>
    </row>
    <row r="10">
      <c r="A10" s="15" t="n"/>
      <c r="B10" s="15" t="n"/>
      <c r="C10" s="15" t="n"/>
      <c r="D10" s="15" t="n"/>
      <c r="E10" s="16" t="n"/>
      <c r="F10" s="16" t="n"/>
      <c r="G10" s="16" t="n"/>
      <c r="H10" s="16" t="n"/>
      <c r="I10" s="15" t="n"/>
      <c r="J10" s="15" t="n"/>
      <c r="K10" s="15">
        <f>IF(A10="","",IFERROR(AVERAGEIF('Data - Task Tracker'!B:B,A10,'Data - Task Tracker'!L:L),0))</f>
        <v/>
      </c>
      <c r="L10" s="15" t="n"/>
      <c r="M10" s="15" t="n"/>
      <c r="N10" s="15" t="n"/>
    </row>
    <row r="11">
      <c r="A11" s="15" t="n"/>
      <c r="B11" s="15" t="n"/>
      <c r="C11" s="15" t="n"/>
      <c r="D11" s="15" t="n"/>
      <c r="E11" s="16" t="n"/>
      <c r="F11" s="16" t="n"/>
      <c r="G11" s="16" t="n"/>
      <c r="H11" s="16" t="n"/>
      <c r="I11" s="15" t="n"/>
      <c r="J11" s="15" t="n"/>
      <c r="K11" s="15">
        <f>IF(A11="","",IFERROR(AVERAGEIF('Data - Task Tracker'!B:B,A11,'Data - Task Tracker'!L:L),0))</f>
        <v/>
      </c>
      <c r="L11" s="15" t="n"/>
      <c r="M11" s="15" t="n"/>
      <c r="N11" s="15" t="n"/>
    </row>
    <row r="12">
      <c r="A12" s="15" t="n"/>
      <c r="B12" s="15" t="n"/>
      <c r="C12" s="15" t="n"/>
      <c r="D12" s="15" t="n"/>
      <c r="E12" s="16" t="n"/>
      <c r="F12" s="16" t="n"/>
      <c r="G12" s="16" t="n"/>
      <c r="H12" s="16" t="n"/>
      <c r="I12" s="15" t="n"/>
      <c r="J12" s="15" t="n"/>
      <c r="K12" s="15">
        <f>IF(A12="","",IFERROR(AVERAGEIF('Data - Task Tracker'!B:B,A12,'Data - Task Tracker'!L:L),0))</f>
        <v/>
      </c>
      <c r="L12" s="15" t="n"/>
      <c r="M12" s="15" t="n"/>
      <c r="N12" s="15" t="n"/>
    </row>
    <row r="13">
      <c r="A13" s="15" t="n"/>
      <c r="B13" s="15" t="n"/>
      <c r="C13" s="15" t="n"/>
      <c r="D13" s="15" t="n"/>
      <c r="E13" s="16" t="n"/>
      <c r="F13" s="16" t="n"/>
      <c r="G13" s="16" t="n"/>
      <c r="H13" s="16" t="n"/>
      <c r="I13" s="15" t="n"/>
      <c r="J13" s="15" t="n"/>
      <c r="K13" s="15">
        <f>IF(A13="","",IFERROR(AVERAGEIF('Data - Task Tracker'!B:B,A13,'Data - Task Tracker'!L:L),0))</f>
        <v/>
      </c>
      <c r="L13" s="15" t="n"/>
      <c r="M13" s="15" t="n"/>
      <c r="N13" s="15" t="n"/>
    </row>
    <row r="14">
      <c r="A14" s="15" t="n"/>
      <c r="B14" s="15" t="n"/>
      <c r="C14" s="15" t="n"/>
      <c r="D14" s="15" t="n"/>
      <c r="E14" s="16" t="n"/>
      <c r="F14" s="16" t="n"/>
      <c r="G14" s="16" t="n"/>
      <c r="H14" s="16" t="n"/>
      <c r="I14" s="15" t="n"/>
      <c r="J14" s="15" t="n"/>
      <c r="K14" s="15">
        <f>IF(A14="","",IFERROR(AVERAGEIF('Data - Task Tracker'!B:B,A14,'Data - Task Tracker'!L:L),0))</f>
        <v/>
      </c>
      <c r="L14" s="15" t="n"/>
      <c r="M14" s="15" t="n"/>
      <c r="N14" s="15" t="n"/>
    </row>
    <row r="15">
      <c r="A15" s="15" t="n"/>
      <c r="B15" s="15" t="n"/>
      <c r="C15" s="15" t="n"/>
      <c r="D15" s="15" t="n"/>
      <c r="E15" s="16" t="n"/>
      <c r="F15" s="16" t="n"/>
      <c r="G15" s="16" t="n"/>
      <c r="H15" s="16" t="n"/>
      <c r="I15" s="15" t="n"/>
      <c r="J15" s="15" t="n"/>
      <c r="K15" s="15">
        <f>IF(A15="","",IFERROR(AVERAGEIF('Data - Task Tracker'!B:B,A15,'Data - Task Tracker'!L:L),0))</f>
        <v/>
      </c>
      <c r="L15" s="15" t="n"/>
      <c r="M15" s="15" t="n"/>
      <c r="N15" s="15" t="n"/>
    </row>
    <row r="16">
      <c r="A16" s="15" t="n"/>
      <c r="B16" s="15" t="n"/>
      <c r="C16" s="15" t="n"/>
      <c r="D16" s="15" t="n"/>
      <c r="E16" s="16" t="n"/>
      <c r="F16" s="16" t="n"/>
      <c r="G16" s="16" t="n"/>
      <c r="H16" s="16" t="n"/>
      <c r="I16" s="15" t="n"/>
      <c r="J16" s="15" t="n"/>
      <c r="K16" s="15">
        <f>IF(A16="","",IFERROR(AVERAGEIF('Data - Task Tracker'!B:B,A16,'Data - Task Tracker'!L:L),0))</f>
        <v/>
      </c>
      <c r="L16" s="15" t="n"/>
      <c r="M16" s="15" t="n"/>
      <c r="N16" s="15" t="n"/>
    </row>
    <row r="17">
      <c r="A17" s="15" t="n"/>
      <c r="B17" s="15" t="n"/>
      <c r="C17" s="15" t="n"/>
      <c r="D17" s="15" t="n"/>
      <c r="E17" s="16" t="n"/>
      <c r="F17" s="16" t="n"/>
      <c r="G17" s="16" t="n"/>
      <c r="H17" s="16" t="n"/>
      <c r="I17" s="15" t="n"/>
      <c r="J17" s="15" t="n"/>
      <c r="K17" s="15">
        <f>IF(A17="","",IFERROR(AVERAGEIF('Data - Task Tracker'!B:B,A17,'Data - Task Tracker'!L:L),0))</f>
        <v/>
      </c>
      <c r="L17" s="15" t="n"/>
      <c r="M17" s="15" t="n"/>
      <c r="N17" s="15" t="n"/>
    </row>
    <row r="18">
      <c r="A18" s="15" t="n"/>
      <c r="B18" s="15" t="n"/>
      <c r="C18" s="15" t="n"/>
      <c r="D18" s="15" t="n"/>
      <c r="E18" s="16" t="n"/>
      <c r="F18" s="16" t="n"/>
      <c r="G18" s="16" t="n"/>
      <c r="H18" s="16" t="n"/>
      <c r="I18" s="15" t="n"/>
      <c r="J18" s="15" t="n"/>
      <c r="K18" s="15">
        <f>IF(A18="","",IFERROR(AVERAGEIF('Data - Task Tracker'!B:B,A18,'Data - Task Tracker'!L:L),0))</f>
        <v/>
      </c>
      <c r="L18" s="15" t="n"/>
      <c r="M18" s="15" t="n"/>
      <c r="N18" s="15" t="n"/>
    </row>
    <row r="19">
      <c r="A19" s="15" t="n"/>
      <c r="B19" s="15" t="n"/>
      <c r="C19" s="15" t="n"/>
      <c r="D19" s="15" t="n"/>
      <c r="E19" s="16" t="n"/>
      <c r="F19" s="16" t="n"/>
      <c r="G19" s="16" t="n"/>
      <c r="H19" s="16" t="n"/>
      <c r="I19" s="15" t="n"/>
      <c r="J19" s="15" t="n"/>
      <c r="K19" s="15">
        <f>IF(A19="","",IFERROR(AVERAGEIF('Data - Task Tracker'!B:B,A19,'Data - Task Tracker'!L:L),0))</f>
        <v/>
      </c>
      <c r="L19" s="15" t="n"/>
      <c r="M19" s="15" t="n"/>
      <c r="N19" s="15" t="n"/>
    </row>
    <row r="20">
      <c r="A20" s="15" t="n"/>
      <c r="B20" s="15" t="n"/>
      <c r="C20" s="15" t="n"/>
      <c r="D20" s="15" t="n"/>
      <c r="E20" s="16" t="n"/>
      <c r="F20" s="16" t="n"/>
      <c r="G20" s="16" t="n"/>
      <c r="H20" s="16" t="n"/>
      <c r="I20" s="15" t="n"/>
      <c r="J20" s="15" t="n"/>
      <c r="K20" s="15">
        <f>IF(A20="","",IFERROR(AVERAGEIF('Data - Task Tracker'!B:B,A20,'Data - Task Tracker'!L:L),0))</f>
        <v/>
      </c>
      <c r="L20" s="15" t="n"/>
      <c r="M20" s="15" t="n"/>
      <c r="N20" s="15" t="n"/>
    </row>
    <row r="21">
      <c r="A21" s="15" t="n"/>
      <c r="B21" s="15" t="n"/>
      <c r="C21" s="15" t="n"/>
      <c r="D21" s="15" t="n"/>
      <c r="E21" s="16" t="n"/>
      <c r="F21" s="16" t="n"/>
      <c r="G21" s="16" t="n"/>
      <c r="H21" s="16" t="n"/>
      <c r="I21" s="15" t="n"/>
      <c r="J21" s="15" t="n"/>
      <c r="K21" s="15">
        <f>IF(A21="","",IFERROR(AVERAGEIF('Data - Task Tracker'!B:B,A21,'Data - Task Tracker'!L:L),0))</f>
        <v/>
      </c>
      <c r="L21" s="15" t="n"/>
      <c r="M21" s="15" t="n"/>
      <c r="N21" s="15" t="n"/>
    </row>
    <row r="22">
      <c r="A22" s="15" t="n"/>
      <c r="B22" s="15" t="n"/>
      <c r="C22" s="15" t="n"/>
      <c r="D22" s="15" t="n"/>
      <c r="E22" s="16" t="n"/>
      <c r="F22" s="16" t="n"/>
      <c r="G22" s="16" t="n"/>
      <c r="H22" s="16" t="n"/>
      <c r="I22" s="15" t="n"/>
      <c r="J22" s="15" t="n"/>
      <c r="K22" s="15">
        <f>IF(A22="","",IFERROR(AVERAGEIF('Data - Task Tracker'!B:B,A22,'Data - Task Tracker'!L:L),0))</f>
        <v/>
      </c>
      <c r="L22" s="15" t="n"/>
      <c r="M22" s="15" t="n"/>
      <c r="N22" s="15" t="n"/>
    </row>
    <row r="23">
      <c r="A23" s="15" t="n"/>
      <c r="B23" s="15" t="n"/>
      <c r="C23" s="15" t="n"/>
      <c r="D23" s="15" t="n"/>
      <c r="E23" s="16" t="n"/>
      <c r="F23" s="16" t="n"/>
      <c r="G23" s="16" t="n"/>
      <c r="H23" s="16" t="n"/>
      <c r="I23" s="15" t="n"/>
      <c r="J23" s="15" t="n"/>
      <c r="K23" s="15">
        <f>IF(A23="","",IFERROR(AVERAGEIF('Data - Task Tracker'!B:B,A23,'Data - Task Tracker'!L:L),0))</f>
        <v/>
      </c>
      <c r="L23" s="15" t="n"/>
      <c r="M23" s="15" t="n"/>
      <c r="N23" s="15" t="n"/>
    </row>
    <row r="24">
      <c r="A24" s="15" t="n"/>
      <c r="B24" s="15" t="n"/>
      <c r="C24" s="15" t="n"/>
      <c r="D24" s="15" t="n"/>
      <c r="E24" s="16" t="n"/>
      <c r="F24" s="16" t="n"/>
      <c r="G24" s="16" t="n"/>
      <c r="H24" s="16" t="n"/>
      <c r="I24" s="15" t="n"/>
      <c r="J24" s="15" t="n"/>
      <c r="K24" s="15">
        <f>IF(A24="","",IFERROR(AVERAGEIF('Data - Task Tracker'!B:B,A24,'Data - Task Tracker'!L:L),0))</f>
        <v/>
      </c>
      <c r="L24" s="15" t="n"/>
      <c r="M24" s="15" t="n"/>
      <c r="N24" s="15" t="n"/>
    </row>
    <row r="25">
      <c r="A25" s="15" t="n"/>
      <c r="B25" s="15" t="n"/>
      <c r="C25" s="15" t="n"/>
      <c r="D25" s="15" t="n"/>
      <c r="E25" s="16" t="n"/>
      <c r="F25" s="16" t="n"/>
      <c r="G25" s="16" t="n"/>
      <c r="H25" s="16" t="n"/>
      <c r="I25" s="15" t="n"/>
      <c r="J25" s="15" t="n"/>
      <c r="K25" s="15">
        <f>IF(A25="","",IFERROR(AVERAGEIF('Data - Task Tracker'!B:B,A25,'Data - Task Tracker'!L:L),0))</f>
        <v/>
      </c>
      <c r="L25" s="15" t="n"/>
      <c r="M25" s="15" t="n"/>
      <c r="N25" s="15" t="n"/>
    </row>
    <row r="26">
      <c r="A26" s="15" t="n"/>
      <c r="B26" s="15" t="n"/>
      <c r="C26" s="15" t="n"/>
      <c r="D26" s="15" t="n"/>
      <c r="E26" s="16" t="n"/>
      <c r="F26" s="16" t="n"/>
      <c r="G26" s="16" t="n"/>
      <c r="H26" s="16" t="n"/>
      <c r="I26" s="15" t="n"/>
      <c r="J26" s="15" t="n"/>
      <c r="K26" s="15">
        <f>IF(A26="","",IFERROR(AVERAGEIF('Data - Task Tracker'!B:B,A26,'Data - Task Tracker'!L:L),0))</f>
        <v/>
      </c>
      <c r="L26" s="15" t="n"/>
      <c r="M26" s="15" t="n"/>
      <c r="N26" s="15" t="n"/>
    </row>
    <row r="27">
      <c r="A27" s="15" t="n"/>
      <c r="B27" s="15" t="n"/>
      <c r="C27" s="15" t="n"/>
      <c r="D27" s="15" t="n"/>
      <c r="E27" s="16" t="n"/>
      <c r="F27" s="16" t="n"/>
      <c r="G27" s="16" t="n"/>
      <c r="H27" s="16" t="n"/>
      <c r="I27" s="15" t="n"/>
      <c r="J27" s="15" t="n"/>
      <c r="K27" s="15">
        <f>IF(A27="","",IFERROR(AVERAGEIF('Data - Task Tracker'!B:B,A27,'Data - Task Tracker'!L:L),0))</f>
        <v/>
      </c>
      <c r="L27" s="15" t="n"/>
      <c r="M27" s="15" t="n"/>
      <c r="N27" s="15" t="n"/>
    </row>
    <row r="28">
      <c r="A28" s="15" t="n"/>
      <c r="B28" s="15" t="n"/>
      <c r="C28" s="15" t="n"/>
      <c r="D28" s="15" t="n"/>
      <c r="E28" s="16" t="n"/>
      <c r="F28" s="16" t="n"/>
      <c r="G28" s="16" t="n"/>
      <c r="H28" s="16" t="n"/>
      <c r="I28" s="15" t="n"/>
      <c r="J28" s="15" t="n"/>
      <c r="K28" s="15">
        <f>IF(A28="","",IFERROR(AVERAGEIF('Data - Task Tracker'!B:B,A28,'Data - Task Tracker'!L:L),0))</f>
        <v/>
      </c>
      <c r="L28" s="15" t="n"/>
      <c r="M28" s="15" t="n"/>
      <c r="N28" s="15" t="n"/>
    </row>
    <row r="29">
      <c r="A29" s="15" t="n"/>
      <c r="B29" s="15" t="n"/>
      <c r="C29" s="15" t="n"/>
      <c r="D29" s="15" t="n"/>
      <c r="E29" s="16" t="n"/>
      <c r="F29" s="16" t="n"/>
      <c r="G29" s="16" t="n"/>
      <c r="H29" s="16" t="n"/>
      <c r="I29" s="15" t="n"/>
      <c r="J29" s="15" t="n"/>
      <c r="K29" s="15">
        <f>IF(A29="","",IFERROR(AVERAGEIF('Data - Task Tracker'!B:B,A29,'Data - Task Tracker'!L:L),0))</f>
        <v/>
      </c>
      <c r="L29" s="15" t="n"/>
      <c r="M29" s="15" t="n"/>
      <c r="N29" s="15" t="n"/>
    </row>
    <row r="30">
      <c r="A30" s="15" t="n"/>
      <c r="B30" s="15" t="n"/>
      <c r="C30" s="15" t="n"/>
      <c r="D30" s="15" t="n"/>
      <c r="E30" s="16" t="n"/>
      <c r="F30" s="16" t="n"/>
      <c r="G30" s="16" t="n"/>
      <c r="H30" s="16" t="n"/>
      <c r="I30" s="15" t="n"/>
      <c r="J30" s="15" t="n"/>
      <c r="K30" s="15">
        <f>IF(A30="","",IFERROR(AVERAGEIF('Data - Task Tracker'!B:B,A30,'Data - Task Tracker'!L:L),0))</f>
        <v/>
      </c>
      <c r="L30" s="15" t="n"/>
      <c r="M30" s="15" t="n"/>
      <c r="N30" s="15" t="n"/>
    </row>
    <row r="31">
      <c r="A31" s="15" t="n"/>
      <c r="B31" s="15" t="n"/>
      <c r="C31" s="15" t="n"/>
      <c r="D31" s="15" t="n"/>
      <c r="E31" s="16" t="n"/>
      <c r="F31" s="16" t="n"/>
      <c r="G31" s="16" t="n"/>
      <c r="H31" s="16" t="n"/>
      <c r="I31" s="15" t="n"/>
      <c r="J31" s="15" t="n"/>
      <c r="K31" s="15">
        <f>IF(A31="","",IFERROR(AVERAGEIF('Data - Task Tracker'!B:B,A31,'Data - Task Tracker'!L:L),0))</f>
        <v/>
      </c>
      <c r="L31" s="15" t="n"/>
      <c r="M31" s="15" t="n"/>
      <c r="N31" s="15" t="n"/>
    </row>
    <row r="32">
      <c r="A32" s="15" t="n"/>
      <c r="B32" s="15" t="n"/>
      <c r="C32" s="15" t="n"/>
      <c r="D32" s="15" t="n"/>
      <c r="E32" s="16" t="n"/>
      <c r="F32" s="16" t="n"/>
      <c r="G32" s="16" t="n"/>
      <c r="H32" s="16" t="n"/>
      <c r="I32" s="15" t="n"/>
      <c r="J32" s="15" t="n"/>
      <c r="K32" s="15">
        <f>IF(A32="","",IFERROR(AVERAGEIF('Data - Task Tracker'!B:B,A32,'Data - Task Tracker'!L:L),0))</f>
        <v/>
      </c>
      <c r="L32" s="15" t="n"/>
      <c r="M32" s="15" t="n"/>
      <c r="N32" s="15" t="n"/>
    </row>
    <row r="33">
      <c r="A33" s="15" t="n"/>
      <c r="B33" s="15" t="n"/>
      <c r="C33" s="15" t="n"/>
      <c r="D33" s="15" t="n"/>
      <c r="E33" s="16" t="n"/>
      <c r="F33" s="16" t="n"/>
      <c r="G33" s="16" t="n"/>
      <c r="H33" s="16" t="n"/>
      <c r="I33" s="15" t="n"/>
      <c r="J33" s="15" t="n"/>
      <c r="K33" s="15">
        <f>IF(A33="","",IFERROR(AVERAGEIF('Data - Task Tracker'!B:B,A33,'Data - Task Tracker'!L:L),0))</f>
        <v/>
      </c>
      <c r="L33" s="15" t="n"/>
      <c r="M33" s="15" t="n"/>
      <c r="N33" s="15" t="n"/>
    </row>
    <row r="34">
      <c r="A34" s="15" t="n"/>
      <c r="B34" s="15" t="n"/>
      <c r="C34" s="15" t="n"/>
      <c r="D34" s="15" t="n"/>
      <c r="E34" s="16" t="n"/>
      <c r="F34" s="16" t="n"/>
      <c r="G34" s="16" t="n"/>
      <c r="H34" s="16" t="n"/>
      <c r="I34" s="15" t="n"/>
      <c r="J34" s="15" t="n"/>
      <c r="K34" s="15">
        <f>IF(A34="","",IFERROR(AVERAGEIF('Data - Task Tracker'!B:B,A34,'Data - Task Tracker'!L:L),0))</f>
        <v/>
      </c>
      <c r="L34" s="15" t="n"/>
      <c r="M34" s="15" t="n"/>
      <c r="N34" s="15" t="n"/>
    </row>
    <row r="35">
      <c r="A35" s="15" t="n"/>
      <c r="B35" s="15" t="n"/>
      <c r="C35" s="15" t="n"/>
      <c r="D35" s="15" t="n"/>
      <c r="E35" s="16" t="n"/>
      <c r="F35" s="16" t="n"/>
      <c r="G35" s="16" t="n"/>
      <c r="H35" s="16" t="n"/>
      <c r="I35" s="15" t="n"/>
      <c r="J35" s="15" t="n"/>
      <c r="K35" s="15">
        <f>IF(A35="","",IFERROR(AVERAGEIF('Data - Task Tracker'!B:B,A35,'Data - Task Tracker'!L:L),0))</f>
        <v/>
      </c>
      <c r="L35" s="15" t="n"/>
      <c r="M35" s="15" t="n"/>
      <c r="N35" s="15" t="n"/>
    </row>
    <row r="36">
      <c r="A36" s="15" t="n"/>
      <c r="B36" s="15" t="n"/>
      <c r="C36" s="15" t="n"/>
      <c r="D36" s="15" t="n"/>
      <c r="E36" s="16" t="n"/>
      <c r="F36" s="16" t="n"/>
      <c r="G36" s="16" t="n"/>
      <c r="H36" s="16" t="n"/>
      <c r="I36" s="15" t="n"/>
      <c r="J36" s="15" t="n"/>
      <c r="K36" s="15">
        <f>IF(A36="","",IFERROR(AVERAGEIF('Data - Task Tracker'!B:B,A36,'Data - Task Tracker'!L:L),0))</f>
        <v/>
      </c>
      <c r="L36" s="15" t="n"/>
      <c r="M36" s="15" t="n"/>
      <c r="N36" s="15" t="n"/>
    </row>
    <row r="37">
      <c r="A37" s="15" t="n"/>
      <c r="B37" s="15" t="n"/>
      <c r="C37" s="15" t="n"/>
      <c r="D37" s="15" t="n"/>
      <c r="E37" s="16" t="n"/>
      <c r="F37" s="16" t="n"/>
      <c r="G37" s="16" t="n"/>
      <c r="H37" s="16" t="n"/>
      <c r="I37" s="15" t="n"/>
      <c r="J37" s="15" t="n"/>
      <c r="K37" s="15">
        <f>IF(A37="","",IFERROR(AVERAGEIF('Data - Task Tracker'!B:B,A37,'Data - Task Tracker'!L:L),0))</f>
        <v/>
      </c>
      <c r="L37" s="15" t="n"/>
      <c r="M37" s="15" t="n"/>
      <c r="N37" s="15" t="n"/>
    </row>
    <row r="38">
      <c r="A38" s="15" t="n"/>
      <c r="B38" s="15" t="n"/>
      <c r="C38" s="15" t="n"/>
      <c r="D38" s="15" t="n"/>
      <c r="E38" s="16" t="n"/>
      <c r="F38" s="16" t="n"/>
      <c r="G38" s="16" t="n"/>
      <c r="H38" s="16" t="n"/>
      <c r="I38" s="15" t="n"/>
      <c r="J38" s="15" t="n"/>
      <c r="K38" s="15">
        <f>IF(A38="","",IFERROR(AVERAGEIF('Data - Task Tracker'!B:B,A38,'Data - Task Tracker'!L:L),0))</f>
        <v/>
      </c>
      <c r="L38" s="15" t="n"/>
      <c r="M38" s="15" t="n"/>
      <c r="N38" s="15" t="n"/>
    </row>
    <row r="39">
      <c r="A39" s="15" t="n"/>
      <c r="B39" s="15" t="n"/>
      <c r="C39" s="15" t="n"/>
      <c r="D39" s="15" t="n"/>
      <c r="E39" s="16" t="n"/>
      <c r="F39" s="16" t="n"/>
      <c r="G39" s="16" t="n"/>
      <c r="H39" s="16" t="n"/>
      <c r="I39" s="15" t="n"/>
      <c r="J39" s="15" t="n"/>
      <c r="K39" s="15">
        <f>IF(A39="","",IFERROR(AVERAGEIF('Data - Task Tracker'!B:B,A39,'Data - Task Tracker'!L:L),0))</f>
        <v/>
      </c>
      <c r="L39" s="15" t="n"/>
      <c r="M39" s="15" t="n"/>
      <c r="N39" s="15" t="n"/>
    </row>
    <row r="40">
      <c r="A40" s="15" t="n"/>
      <c r="B40" s="15" t="n"/>
      <c r="C40" s="15" t="n"/>
      <c r="D40" s="15" t="n"/>
      <c r="E40" s="16" t="n"/>
      <c r="F40" s="16" t="n"/>
      <c r="G40" s="16" t="n"/>
      <c r="H40" s="16" t="n"/>
      <c r="I40" s="15" t="n"/>
      <c r="J40" s="15" t="n"/>
      <c r="K40" s="15">
        <f>IF(A40="","",IFERROR(AVERAGEIF('Data - Task Tracker'!B:B,A40,'Data - Task Tracker'!L:L),0))</f>
        <v/>
      </c>
      <c r="L40" s="15" t="n"/>
      <c r="M40" s="15" t="n"/>
      <c r="N40" s="15" t="n"/>
    </row>
    <row r="41">
      <c r="A41" s="15" t="n"/>
      <c r="B41" s="15" t="n"/>
      <c r="C41" s="15" t="n"/>
      <c r="D41" s="15" t="n"/>
      <c r="E41" s="16" t="n"/>
      <c r="F41" s="16" t="n"/>
      <c r="G41" s="16" t="n"/>
      <c r="H41" s="16" t="n"/>
      <c r="I41" s="15" t="n"/>
      <c r="J41" s="15" t="n"/>
      <c r="K41" s="15">
        <f>IF(A41="","",IFERROR(AVERAGEIF('Data - Task Tracker'!B:B,A41,'Data - Task Tracker'!L:L),0))</f>
        <v/>
      </c>
      <c r="L41" s="15" t="n"/>
      <c r="M41" s="15" t="n"/>
      <c r="N41" s="15" t="n"/>
    </row>
    <row r="42">
      <c r="A42" s="15" t="n"/>
      <c r="B42" s="15" t="n"/>
      <c r="C42" s="15" t="n"/>
      <c r="D42" s="15" t="n"/>
      <c r="E42" s="16" t="n"/>
      <c r="F42" s="16" t="n"/>
      <c r="G42" s="16" t="n"/>
      <c r="H42" s="16" t="n"/>
      <c r="I42" s="15" t="n"/>
      <c r="J42" s="15" t="n"/>
      <c r="K42" s="15">
        <f>IF(A42="","",IFERROR(AVERAGEIF('Data - Task Tracker'!B:B,A42,'Data - Task Tracker'!L:L),0))</f>
        <v/>
      </c>
      <c r="L42" s="15" t="n"/>
      <c r="M42" s="15" t="n"/>
      <c r="N42" s="15" t="n"/>
    </row>
    <row r="43">
      <c r="A43" s="15" t="n"/>
      <c r="B43" s="15" t="n"/>
      <c r="C43" s="15" t="n"/>
      <c r="D43" s="15" t="n"/>
      <c r="E43" s="16" t="n"/>
      <c r="F43" s="16" t="n"/>
      <c r="G43" s="16" t="n"/>
      <c r="H43" s="16" t="n"/>
      <c r="I43" s="15" t="n"/>
      <c r="J43" s="15" t="n"/>
      <c r="K43" s="15">
        <f>IF(A43="","",IFERROR(AVERAGEIF('Data - Task Tracker'!B:B,A43,'Data - Task Tracker'!L:L),0))</f>
        <v/>
      </c>
      <c r="L43" s="15" t="n"/>
      <c r="M43" s="15" t="n"/>
      <c r="N43" s="15" t="n"/>
    </row>
    <row r="44">
      <c r="A44" s="15" t="n"/>
      <c r="B44" s="15" t="n"/>
      <c r="C44" s="15" t="n"/>
      <c r="D44" s="15" t="n"/>
      <c r="E44" s="16" t="n"/>
      <c r="F44" s="16" t="n"/>
      <c r="G44" s="16" t="n"/>
      <c r="H44" s="16" t="n"/>
      <c r="I44" s="15" t="n"/>
      <c r="J44" s="15" t="n"/>
      <c r="K44" s="15">
        <f>IF(A44="","",IFERROR(AVERAGEIF('Data - Task Tracker'!B:B,A44,'Data - Task Tracker'!L:L),0))</f>
        <v/>
      </c>
      <c r="L44" s="15" t="n"/>
      <c r="M44" s="15" t="n"/>
      <c r="N44" s="15" t="n"/>
    </row>
    <row r="45">
      <c r="A45" s="15" t="n"/>
      <c r="B45" s="15" t="n"/>
      <c r="C45" s="15" t="n"/>
      <c r="D45" s="15" t="n"/>
      <c r="E45" s="16" t="n"/>
      <c r="F45" s="16" t="n"/>
      <c r="G45" s="16" t="n"/>
      <c r="H45" s="16" t="n"/>
      <c r="I45" s="15" t="n"/>
      <c r="J45" s="15" t="n"/>
      <c r="K45" s="15">
        <f>IF(A45="","",IFERROR(AVERAGEIF('Data - Task Tracker'!B:B,A45,'Data - Task Tracker'!L:L),0))</f>
        <v/>
      </c>
      <c r="L45" s="15" t="n"/>
      <c r="M45" s="15" t="n"/>
      <c r="N45" s="15" t="n"/>
    </row>
    <row r="46">
      <c r="A46" s="15" t="n"/>
      <c r="B46" s="15" t="n"/>
      <c r="C46" s="15" t="n"/>
      <c r="D46" s="15" t="n"/>
      <c r="E46" s="16" t="n"/>
      <c r="F46" s="16" t="n"/>
      <c r="G46" s="16" t="n"/>
      <c r="H46" s="16" t="n"/>
      <c r="I46" s="15" t="n"/>
      <c r="J46" s="15" t="n"/>
      <c r="K46" s="15">
        <f>IF(A46="","",IFERROR(AVERAGEIF('Data - Task Tracker'!B:B,A46,'Data - Task Tracker'!L:L),0))</f>
        <v/>
      </c>
      <c r="L46" s="15" t="n"/>
      <c r="M46" s="15" t="n"/>
      <c r="N46" s="15" t="n"/>
    </row>
    <row r="47">
      <c r="A47" s="15" t="n"/>
      <c r="B47" s="15" t="n"/>
      <c r="C47" s="15" t="n"/>
      <c r="D47" s="15" t="n"/>
      <c r="E47" s="16" t="n"/>
      <c r="F47" s="16" t="n"/>
      <c r="G47" s="16" t="n"/>
      <c r="H47" s="16" t="n"/>
      <c r="I47" s="15" t="n"/>
      <c r="J47" s="15" t="n"/>
      <c r="K47" s="15">
        <f>IF(A47="","",IFERROR(AVERAGEIF('Data - Task Tracker'!B:B,A47,'Data - Task Tracker'!L:L),0))</f>
        <v/>
      </c>
      <c r="L47" s="15" t="n"/>
      <c r="M47" s="15" t="n"/>
      <c r="N47" s="15" t="n"/>
    </row>
    <row r="48">
      <c r="A48" s="15" t="n"/>
      <c r="B48" s="15" t="n"/>
      <c r="C48" s="15" t="n"/>
      <c r="D48" s="15" t="n"/>
      <c r="E48" s="16" t="n"/>
      <c r="F48" s="16" t="n"/>
      <c r="G48" s="16" t="n"/>
      <c r="H48" s="16" t="n"/>
      <c r="I48" s="15" t="n"/>
      <c r="J48" s="15" t="n"/>
      <c r="K48" s="15">
        <f>IF(A48="","",IFERROR(AVERAGEIF('Data - Task Tracker'!B:B,A48,'Data - Task Tracker'!L:L),0))</f>
        <v/>
      </c>
      <c r="L48" s="15" t="n"/>
      <c r="M48" s="15" t="n"/>
      <c r="N48" s="15" t="n"/>
    </row>
    <row r="49">
      <c r="A49" s="15" t="n"/>
      <c r="B49" s="15" t="n"/>
      <c r="C49" s="15" t="n"/>
      <c r="D49" s="15" t="n"/>
      <c r="E49" s="16" t="n"/>
      <c r="F49" s="16" t="n"/>
      <c r="G49" s="16" t="n"/>
      <c r="H49" s="16" t="n"/>
      <c r="I49" s="15" t="n"/>
      <c r="J49" s="15" t="n"/>
      <c r="K49" s="15">
        <f>IF(A49="","",IFERROR(AVERAGEIF('Data - Task Tracker'!B:B,A49,'Data - Task Tracker'!L:L),0))</f>
        <v/>
      </c>
      <c r="L49" s="15" t="n"/>
      <c r="M49" s="15" t="n"/>
      <c r="N49" s="15" t="n"/>
    </row>
    <row r="50">
      <c r="A50" s="15" t="n"/>
      <c r="B50" s="15" t="n"/>
      <c r="C50" s="15" t="n"/>
      <c r="D50" s="15" t="n"/>
      <c r="E50" s="16" t="n"/>
      <c r="F50" s="16" t="n"/>
      <c r="G50" s="16" t="n"/>
      <c r="H50" s="16" t="n"/>
      <c r="I50" s="15" t="n"/>
      <c r="J50" s="15" t="n"/>
      <c r="K50" s="15">
        <f>IF(A50="","",IFERROR(AVERAGEIF('Data - Task Tracker'!B:B,A50,'Data - Task Tracker'!L:L),0))</f>
        <v/>
      </c>
      <c r="L50" s="15" t="n"/>
      <c r="M50" s="15" t="n"/>
      <c r="N50" s="15" t="n"/>
    </row>
    <row r="51">
      <c r="A51" s="15" t="n"/>
      <c r="B51" s="15" t="n"/>
      <c r="C51" s="15" t="n"/>
      <c r="D51" s="15" t="n"/>
      <c r="E51" s="16" t="n"/>
      <c r="F51" s="16" t="n"/>
      <c r="G51" s="16" t="n"/>
      <c r="H51" s="16" t="n"/>
      <c r="I51" s="15" t="n"/>
      <c r="J51" s="15" t="n"/>
      <c r="K51" s="15">
        <f>IF(A51="","",IFERROR(AVERAGEIF('Data - Task Tracker'!B:B,A51,'Data - Task Tracker'!L:L),0))</f>
        <v/>
      </c>
      <c r="L51" s="15" t="n"/>
      <c r="M51" s="15" t="n"/>
      <c r="N51" s="15" t="n"/>
    </row>
    <row r="52">
      <c r="A52" s="15" t="n"/>
      <c r="B52" s="15" t="n"/>
      <c r="C52" s="15" t="n"/>
      <c r="D52" s="15" t="n"/>
      <c r="E52" s="16" t="n"/>
      <c r="F52" s="16" t="n"/>
      <c r="G52" s="16" t="n"/>
      <c r="H52" s="16" t="n"/>
      <c r="I52" s="15" t="n"/>
      <c r="J52" s="15" t="n"/>
      <c r="K52" s="15">
        <f>IF(A52="","",IFERROR(AVERAGEIF('Data - Task Tracker'!B:B,A52,'Data - Task Tracker'!L:L),0))</f>
        <v/>
      </c>
      <c r="L52" s="15" t="n"/>
      <c r="M52" s="15" t="n"/>
      <c r="N52" s="15" t="n"/>
    </row>
    <row r="53">
      <c r="A53" s="15" t="n"/>
      <c r="B53" s="15" t="n"/>
      <c r="C53" s="15" t="n"/>
      <c r="D53" s="15" t="n"/>
      <c r="E53" s="16" t="n"/>
      <c r="F53" s="16" t="n"/>
      <c r="G53" s="16" t="n"/>
      <c r="H53" s="16" t="n"/>
      <c r="I53" s="15" t="n"/>
      <c r="J53" s="15" t="n"/>
      <c r="K53" s="15">
        <f>IF(A53="","",IFERROR(AVERAGEIF('Data - Task Tracker'!B:B,A53,'Data - Task Tracker'!L:L),0))</f>
        <v/>
      </c>
      <c r="L53" s="15" t="n"/>
      <c r="M53" s="15" t="n"/>
      <c r="N53" s="15" t="n"/>
    </row>
    <row r="54">
      <c r="A54" s="15" t="n"/>
      <c r="B54" s="15" t="n"/>
      <c r="C54" s="15" t="n"/>
      <c r="D54" s="15" t="n"/>
      <c r="E54" s="16" t="n"/>
      <c r="F54" s="16" t="n"/>
      <c r="G54" s="16" t="n"/>
      <c r="H54" s="16" t="n"/>
      <c r="I54" s="15" t="n"/>
      <c r="J54" s="15" t="n"/>
      <c r="K54" s="15">
        <f>IF(A54="","",IFERROR(AVERAGEIF('Data - Task Tracker'!B:B,A54,'Data - Task Tracker'!L:L),0))</f>
        <v/>
      </c>
      <c r="L54" s="15" t="n"/>
      <c r="M54" s="15" t="n"/>
      <c r="N54" s="15" t="n"/>
    </row>
    <row r="55">
      <c r="A55" s="15" t="n"/>
      <c r="B55" s="15" t="n"/>
      <c r="C55" s="15" t="n"/>
      <c r="D55" s="15" t="n"/>
      <c r="E55" s="16" t="n"/>
      <c r="F55" s="16" t="n"/>
      <c r="G55" s="16" t="n"/>
      <c r="H55" s="16" t="n"/>
      <c r="I55" s="15" t="n"/>
      <c r="J55" s="15" t="n"/>
      <c r="K55" s="15">
        <f>IF(A55="","",IFERROR(AVERAGEIF('Data - Task Tracker'!B:B,A55,'Data - Task Tracker'!L:L),0))</f>
        <v/>
      </c>
      <c r="L55" s="15" t="n"/>
      <c r="M55" s="15" t="n"/>
      <c r="N55" s="15" t="n"/>
    </row>
    <row r="56">
      <c r="A56" s="15" t="n"/>
      <c r="B56" s="15" t="n"/>
      <c r="C56" s="15" t="n"/>
      <c r="D56" s="15" t="n"/>
      <c r="E56" s="16" t="n"/>
      <c r="F56" s="16" t="n"/>
      <c r="G56" s="16" t="n"/>
      <c r="H56" s="16" t="n"/>
      <c r="I56" s="15" t="n"/>
      <c r="J56" s="15" t="n"/>
      <c r="K56" s="15">
        <f>IF(A56="","",IFERROR(AVERAGEIF('Data - Task Tracker'!B:B,A56,'Data - Task Tracker'!L:L),0))</f>
        <v/>
      </c>
      <c r="L56" s="15" t="n"/>
      <c r="M56" s="15" t="n"/>
      <c r="N56" s="15" t="n"/>
    </row>
    <row r="57">
      <c r="A57" s="15" t="n"/>
      <c r="B57" s="15" t="n"/>
      <c r="C57" s="15" t="n"/>
      <c r="D57" s="15" t="n"/>
      <c r="E57" s="16" t="n"/>
      <c r="F57" s="16" t="n"/>
      <c r="G57" s="16" t="n"/>
      <c r="H57" s="16" t="n"/>
      <c r="I57" s="15" t="n"/>
      <c r="J57" s="15" t="n"/>
      <c r="K57" s="15">
        <f>IF(A57="","",IFERROR(AVERAGEIF('Data - Task Tracker'!B:B,A57,'Data - Task Tracker'!L:L),0))</f>
        <v/>
      </c>
      <c r="L57" s="15" t="n"/>
      <c r="M57" s="15" t="n"/>
      <c r="N57" s="15" t="n"/>
    </row>
    <row r="58">
      <c r="A58" s="15" t="n"/>
      <c r="B58" s="15" t="n"/>
      <c r="C58" s="15" t="n"/>
      <c r="D58" s="15" t="n"/>
      <c r="E58" s="16" t="n"/>
      <c r="F58" s="16" t="n"/>
      <c r="G58" s="16" t="n"/>
      <c r="H58" s="16" t="n"/>
      <c r="I58" s="15" t="n"/>
      <c r="J58" s="15" t="n"/>
      <c r="K58" s="15">
        <f>IF(A58="","",IFERROR(AVERAGEIF('Data - Task Tracker'!B:B,A58,'Data - Task Tracker'!L:L),0))</f>
        <v/>
      </c>
      <c r="L58" s="15" t="n"/>
      <c r="M58" s="15" t="n"/>
      <c r="N58" s="15" t="n"/>
    </row>
    <row r="59">
      <c r="A59" s="15" t="n"/>
      <c r="B59" s="15" t="n"/>
      <c r="C59" s="15" t="n"/>
      <c r="D59" s="15" t="n"/>
      <c r="E59" s="16" t="n"/>
      <c r="F59" s="16" t="n"/>
      <c r="G59" s="16" t="n"/>
      <c r="H59" s="16" t="n"/>
      <c r="I59" s="15" t="n"/>
      <c r="J59" s="15" t="n"/>
      <c r="K59" s="15">
        <f>IF(A59="","",IFERROR(AVERAGEIF('Data - Task Tracker'!B:B,A59,'Data - Task Tracker'!L:L),0))</f>
        <v/>
      </c>
      <c r="L59" s="15" t="n"/>
      <c r="M59" s="15" t="n"/>
      <c r="N59" s="15" t="n"/>
    </row>
    <row r="60">
      <c r="A60" s="15" t="n"/>
      <c r="B60" s="15" t="n"/>
      <c r="C60" s="15" t="n"/>
      <c r="D60" s="15" t="n"/>
      <c r="E60" s="16" t="n"/>
      <c r="F60" s="16" t="n"/>
      <c r="G60" s="16" t="n"/>
      <c r="H60" s="16" t="n"/>
      <c r="I60" s="15" t="n"/>
      <c r="J60" s="15" t="n"/>
      <c r="K60" s="15">
        <f>IF(A60="","",IFERROR(AVERAGEIF('Data - Task Tracker'!B:B,A60,'Data - Task Tracker'!L:L),0))</f>
        <v/>
      </c>
      <c r="L60" s="15" t="n"/>
      <c r="M60" s="15" t="n"/>
      <c r="N60" s="15" t="n"/>
    </row>
    <row r="61">
      <c r="A61" s="15" t="n"/>
      <c r="B61" s="15" t="n"/>
      <c r="C61" s="15" t="n"/>
      <c r="D61" s="15" t="n"/>
      <c r="E61" s="16" t="n"/>
      <c r="F61" s="16" t="n"/>
      <c r="G61" s="16" t="n"/>
      <c r="H61" s="16" t="n"/>
      <c r="I61" s="15" t="n"/>
      <c r="J61" s="15" t="n"/>
      <c r="K61" s="15">
        <f>IF(A61="","",IFERROR(AVERAGEIF('Data - Task Tracker'!B:B,A61,'Data - Task Tracker'!L:L),0))</f>
        <v/>
      </c>
      <c r="L61" s="15" t="n"/>
      <c r="M61" s="15" t="n"/>
      <c r="N61" s="15" t="n"/>
    </row>
    <row r="62">
      <c r="A62" s="15" t="n"/>
      <c r="B62" s="15" t="n"/>
      <c r="C62" s="15" t="n"/>
      <c r="D62" s="15" t="n"/>
      <c r="E62" s="16" t="n"/>
      <c r="F62" s="16" t="n"/>
      <c r="G62" s="16" t="n"/>
      <c r="H62" s="16" t="n"/>
      <c r="I62" s="15" t="n"/>
      <c r="J62" s="15" t="n"/>
      <c r="K62" s="15">
        <f>IF(A62="","",IFERROR(AVERAGEIF('Data - Task Tracker'!B:B,A62,'Data - Task Tracker'!L:L),0))</f>
        <v/>
      </c>
      <c r="L62" s="15" t="n"/>
      <c r="M62" s="15" t="n"/>
      <c r="N62" s="15" t="n"/>
    </row>
    <row r="63">
      <c r="A63" s="15" t="n"/>
      <c r="B63" s="15" t="n"/>
      <c r="C63" s="15" t="n"/>
      <c r="D63" s="15" t="n"/>
      <c r="E63" s="16" t="n"/>
      <c r="F63" s="16" t="n"/>
      <c r="G63" s="16" t="n"/>
      <c r="H63" s="16" t="n"/>
      <c r="I63" s="15" t="n"/>
      <c r="J63" s="15" t="n"/>
      <c r="K63" s="15">
        <f>IF(A63="","",IFERROR(AVERAGEIF('Data - Task Tracker'!B:B,A63,'Data - Task Tracker'!L:L),0))</f>
        <v/>
      </c>
      <c r="L63" s="15" t="n"/>
      <c r="M63" s="15" t="n"/>
      <c r="N63" s="15" t="n"/>
    </row>
    <row r="64">
      <c r="A64" s="15" t="n"/>
      <c r="B64" s="15" t="n"/>
      <c r="C64" s="15" t="n"/>
      <c r="D64" s="15" t="n"/>
      <c r="E64" s="16" t="n"/>
      <c r="F64" s="16" t="n"/>
      <c r="G64" s="16" t="n"/>
      <c r="H64" s="16" t="n"/>
      <c r="I64" s="15" t="n"/>
      <c r="J64" s="15" t="n"/>
      <c r="K64" s="15">
        <f>IF(A64="","",IFERROR(AVERAGEIF('Data - Task Tracker'!B:B,A64,'Data - Task Tracker'!L:L),0))</f>
        <v/>
      </c>
      <c r="L64" s="15" t="n"/>
      <c r="M64" s="15" t="n"/>
      <c r="N64" s="15" t="n"/>
    </row>
    <row r="65">
      <c r="A65" s="15" t="n"/>
      <c r="B65" s="15" t="n"/>
      <c r="C65" s="15" t="n"/>
      <c r="D65" s="15" t="n"/>
      <c r="E65" s="16" t="n"/>
      <c r="F65" s="16" t="n"/>
      <c r="G65" s="16" t="n"/>
      <c r="H65" s="16" t="n"/>
      <c r="I65" s="15" t="n"/>
      <c r="J65" s="15" t="n"/>
      <c r="K65" s="15">
        <f>IF(A65="","",IFERROR(AVERAGEIF('Data - Task Tracker'!B:B,A65,'Data - Task Tracker'!L:L),0))</f>
        <v/>
      </c>
      <c r="L65" s="15" t="n"/>
      <c r="M65" s="15" t="n"/>
      <c r="N65" s="15" t="n"/>
    </row>
    <row r="66">
      <c r="A66" s="15" t="n"/>
      <c r="B66" s="15" t="n"/>
      <c r="C66" s="15" t="n"/>
      <c r="D66" s="15" t="n"/>
      <c r="E66" s="16" t="n"/>
      <c r="F66" s="16" t="n"/>
      <c r="G66" s="16" t="n"/>
      <c r="H66" s="16" t="n"/>
      <c r="I66" s="15" t="n"/>
      <c r="J66" s="15" t="n"/>
      <c r="K66" s="15">
        <f>IF(A66="","",IFERROR(AVERAGEIF('Data - Task Tracker'!B:B,A66,'Data - Task Tracker'!L:L),0))</f>
        <v/>
      </c>
      <c r="L66" s="15" t="n"/>
      <c r="M66" s="15" t="n"/>
      <c r="N66" s="15" t="n"/>
    </row>
    <row r="67">
      <c r="A67" s="15" t="n"/>
      <c r="B67" s="15" t="n"/>
      <c r="C67" s="15" t="n"/>
      <c r="D67" s="15" t="n"/>
      <c r="E67" s="16" t="n"/>
      <c r="F67" s="16" t="n"/>
      <c r="G67" s="16" t="n"/>
      <c r="H67" s="16" t="n"/>
      <c r="I67" s="15" t="n"/>
      <c r="J67" s="15" t="n"/>
      <c r="K67" s="15">
        <f>IF(A67="","",IFERROR(AVERAGEIF('Data - Task Tracker'!B:B,A67,'Data - Task Tracker'!L:L),0))</f>
        <v/>
      </c>
      <c r="L67" s="15" t="n"/>
      <c r="M67" s="15" t="n"/>
      <c r="N67" s="15" t="n"/>
    </row>
    <row r="68">
      <c r="A68" s="15" t="n"/>
      <c r="B68" s="15" t="n"/>
      <c r="C68" s="15" t="n"/>
      <c r="D68" s="15" t="n"/>
      <c r="E68" s="16" t="n"/>
      <c r="F68" s="16" t="n"/>
      <c r="G68" s="16" t="n"/>
      <c r="H68" s="16" t="n"/>
      <c r="I68" s="15" t="n"/>
      <c r="J68" s="15" t="n"/>
      <c r="K68" s="15">
        <f>IF(A68="","",IFERROR(AVERAGEIF('Data - Task Tracker'!B:B,A68,'Data - Task Tracker'!L:L),0))</f>
        <v/>
      </c>
      <c r="L68" s="15" t="n"/>
      <c r="M68" s="15" t="n"/>
      <c r="N68" s="15" t="n"/>
    </row>
    <row r="69">
      <c r="A69" s="15" t="n"/>
      <c r="B69" s="15" t="n"/>
      <c r="C69" s="15" t="n"/>
      <c r="D69" s="15" t="n"/>
      <c r="E69" s="16" t="n"/>
      <c r="F69" s="16" t="n"/>
      <c r="G69" s="16" t="n"/>
      <c r="H69" s="16" t="n"/>
      <c r="I69" s="15" t="n"/>
      <c r="J69" s="15" t="n"/>
      <c r="K69" s="15">
        <f>IF(A69="","",IFERROR(AVERAGEIF('Data - Task Tracker'!B:B,A69,'Data - Task Tracker'!L:L),0))</f>
        <v/>
      </c>
      <c r="L69" s="15" t="n"/>
      <c r="M69" s="15" t="n"/>
      <c r="N69" s="15" t="n"/>
    </row>
    <row r="70">
      <c r="A70" s="15" t="n"/>
      <c r="B70" s="15" t="n"/>
      <c r="C70" s="15" t="n"/>
      <c r="D70" s="15" t="n"/>
      <c r="E70" s="16" t="n"/>
      <c r="F70" s="16" t="n"/>
      <c r="G70" s="16" t="n"/>
      <c r="H70" s="16" t="n"/>
      <c r="I70" s="15" t="n"/>
      <c r="J70" s="15" t="n"/>
      <c r="K70" s="15">
        <f>IF(A70="","",IFERROR(AVERAGEIF('Data - Task Tracker'!B:B,A70,'Data - Task Tracker'!L:L),0))</f>
        <v/>
      </c>
      <c r="L70" s="15" t="n"/>
      <c r="M70" s="15" t="n"/>
      <c r="N70" s="15" t="n"/>
    </row>
    <row r="71">
      <c r="A71" s="15" t="n"/>
      <c r="B71" s="15" t="n"/>
      <c r="C71" s="15" t="n"/>
      <c r="D71" s="15" t="n"/>
      <c r="E71" s="16" t="n"/>
      <c r="F71" s="16" t="n"/>
      <c r="G71" s="16" t="n"/>
      <c r="H71" s="16" t="n"/>
      <c r="I71" s="15" t="n"/>
      <c r="J71" s="15" t="n"/>
      <c r="K71" s="15">
        <f>IF(A71="","",IFERROR(AVERAGEIF('Data - Task Tracker'!B:B,A71,'Data - Task Tracker'!L:L),0))</f>
        <v/>
      </c>
      <c r="L71" s="15" t="n"/>
      <c r="M71" s="15" t="n"/>
      <c r="N71" s="15" t="n"/>
    </row>
    <row r="72">
      <c r="A72" s="15" t="n"/>
      <c r="B72" s="15" t="n"/>
      <c r="C72" s="15" t="n"/>
      <c r="D72" s="15" t="n"/>
      <c r="E72" s="16" t="n"/>
      <c r="F72" s="16" t="n"/>
      <c r="G72" s="16" t="n"/>
      <c r="H72" s="16" t="n"/>
      <c r="I72" s="15" t="n"/>
      <c r="J72" s="15" t="n"/>
      <c r="K72" s="15">
        <f>IF(A72="","",IFERROR(AVERAGEIF('Data - Task Tracker'!B:B,A72,'Data - Task Tracker'!L:L),0))</f>
        <v/>
      </c>
      <c r="L72" s="15" t="n"/>
      <c r="M72" s="15" t="n"/>
      <c r="N72" s="15" t="n"/>
    </row>
    <row r="73">
      <c r="A73" s="15" t="n"/>
      <c r="B73" s="15" t="n"/>
      <c r="C73" s="15" t="n"/>
      <c r="D73" s="15" t="n"/>
      <c r="E73" s="16" t="n"/>
      <c r="F73" s="16" t="n"/>
      <c r="G73" s="16" t="n"/>
      <c r="H73" s="16" t="n"/>
      <c r="I73" s="15" t="n"/>
      <c r="J73" s="15" t="n"/>
      <c r="K73" s="15">
        <f>IF(A73="","",IFERROR(AVERAGEIF('Data - Task Tracker'!B:B,A73,'Data - Task Tracker'!L:L),0))</f>
        <v/>
      </c>
      <c r="L73" s="15" t="n"/>
      <c r="M73" s="15" t="n"/>
      <c r="N73" s="15" t="n"/>
    </row>
    <row r="74">
      <c r="A74" s="15" t="n"/>
      <c r="B74" s="15" t="n"/>
      <c r="C74" s="15" t="n"/>
      <c r="D74" s="15" t="n"/>
      <c r="E74" s="16" t="n"/>
      <c r="F74" s="16" t="n"/>
      <c r="G74" s="16" t="n"/>
      <c r="H74" s="16" t="n"/>
      <c r="I74" s="15" t="n"/>
      <c r="J74" s="15" t="n"/>
      <c r="K74" s="15">
        <f>IF(A74="","",IFERROR(AVERAGEIF('Data - Task Tracker'!B:B,A74,'Data - Task Tracker'!L:L),0))</f>
        <v/>
      </c>
      <c r="L74" s="15" t="n"/>
      <c r="M74" s="15" t="n"/>
      <c r="N74" s="15" t="n"/>
    </row>
    <row r="75">
      <c r="A75" s="15" t="n"/>
      <c r="B75" s="15" t="n"/>
      <c r="C75" s="15" t="n"/>
      <c r="D75" s="15" t="n"/>
      <c r="E75" s="16" t="n"/>
      <c r="F75" s="16" t="n"/>
      <c r="G75" s="16" t="n"/>
      <c r="H75" s="16" t="n"/>
      <c r="I75" s="15" t="n"/>
      <c r="J75" s="15" t="n"/>
      <c r="K75" s="15">
        <f>IF(A75="","",IFERROR(AVERAGEIF('Data - Task Tracker'!B:B,A75,'Data - Task Tracker'!L:L),0))</f>
        <v/>
      </c>
      <c r="L75" s="15" t="n"/>
      <c r="M75" s="15" t="n"/>
      <c r="N75" s="15" t="n"/>
    </row>
    <row r="76">
      <c r="A76" s="15" t="n"/>
      <c r="B76" s="15" t="n"/>
      <c r="C76" s="15" t="n"/>
      <c r="D76" s="15" t="n"/>
      <c r="E76" s="16" t="n"/>
      <c r="F76" s="16" t="n"/>
      <c r="G76" s="16" t="n"/>
      <c r="H76" s="16" t="n"/>
      <c r="I76" s="15" t="n"/>
      <c r="J76" s="15" t="n"/>
      <c r="K76" s="15">
        <f>IF(A76="","",IFERROR(AVERAGEIF('Data - Task Tracker'!B:B,A76,'Data - Task Tracker'!L:L),0))</f>
        <v/>
      </c>
      <c r="L76" s="15" t="n"/>
      <c r="M76" s="15" t="n"/>
      <c r="N76" s="15" t="n"/>
    </row>
    <row r="77">
      <c r="A77" s="15" t="n"/>
      <c r="B77" s="15" t="n"/>
      <c r="C77" s="15" t="n"/>
      <c r="D77" s="15" t="n"/>
      <c r="E77" s="16" t="n"/>
      <c r="F77" s="16" t="n"/>
      <c r="G77" s="16" t="n"/>
      <c r="H77" s="16" t="n"/>
      <c r="I77" s="15" t="n"/>
      <c r="J77" s="15" t="n"/>
      <c r="K77" s="15">
        <f>IF(A77="","",IFERROR(AVERAGEIF('Data - Task Tracker'!B:B,A77,'Data - Task Tracker'!L:L),0))</f>
        <v/>
      </c>
      <c r="L77" s="15" t="n"/>
      <c r="M77" s="15" t="n"/>
      <c r="N77" s="15" t="n"/>
    </row>
    <row r="78">
      <c r="A78" s="15" t="n"/>
      <c r="B78" s="15" t="n"/>
      <c r="C78" s="15" t="n"/>
      <c r="D78" s="15" t="n"/>
      <c r="E78" s="16" t="n"/>
      <c r="F78" s="16" t="n"/>
      <c r="G78" s="16" t="n"/>
      <c r="H78" s="16" t="n"/>
      <c r="I78" s="15" t="n"/>
      <c r="J78" s="15" t="n"/>
      <c r="K78" s="15">
        <f>IF(A78="","",IFERROR(AVERAGEIF('Data - Task Tracker'!B:B,A78,'Data - Task Tracker'!L:L),0))</f>
        <v/>
      </c>
      <c r="L78" s="15" t="n"/>
      <c r="M78" s="15" t="n"/>
      <c r="N78" s="15" t="n"/>
    </row>
    <row r="79">
      <c r="A79" s="15" t="n"/>
      <c r="B79" s="15" t="n"/>
      <c r="C79" s="15" t="n"/>
      <c r="D79" s="15" t="n"/>
      <c r="E79" s="16" t="n"/>
      <c r="F79" s="16" t="n"/>
      <c r="G79" s="16" t="n"/>
      <c r="H79" s="16" t="n"/>
      <c r="I79" s="15" t="n"/>
      <c r="J79" s="15" t="n"/>
      <c r="K79" s="15">
        <f>IF(A79="","",IFERROR(AVERAGEIF('Data - Task Tracker'!B:B,A79,'Data - Task Tracker'!L:L),0))</f>
        <v/>
      </c>
      <c r="L79" s="15" t="n"/>
      <c r="M79" s="15" t="n"/>
      <c r="N79" s="15" t="n"/>
    </row>
    <row r="80">
      <c r="A80" s="15" t="n"/>
      <c r="B80" s="15" t="n"/>
      <c r="C80" s="15" t="n"/>
      <c r="D80" s="15" t="n"/>
      <c r="E80" s="16" t="n"/>
      <c r="F80" s="16" t="n"/>
      <c r="G80" s="16" t="n"/>
      <c r="H80" s="16" t="n"/>
      <c r="I80" s="15" t="n"/>
      <c r="J80" s="15" t="n"/>
      <c r="K80" s="15">
        <f>IF(A80="","",IFERROR(AVERAGEIF('Data - Task Tracker'!B:B,A80,'Data - Task Tracker'!L:L),0))</f>
        <v/>
      </c>
      <c r="L80" s="15" t="n"/>
      <c r="M80" s="15" t="n"/>
      <c r="N80" s="15" t="n"/>
    </row>
    <row r="81">
      <c r="A81" s="15" t="n"/>
      <c r="B81" s="15" t="n"/>
      <c r="C81" s="15" t="n"/>
      <c r="D81" s="15" t="n"/>
      <c r="E81" s="16" t="n"/>
      <c r="F81" s="16" t="n"/>
      <c r="G81" s="16" t="n"/>
      <c r="H81" s="16" t="n"/>
      <c r="I81" s="15" t="n"/>
      <c r="J81" s="15" t="n"/>
      <c r="K81" s="15">
        <f>IF(A81="","",IFERROR(AVERAGEIF('Data - Task Tracker'!B:B,A81,'Data - Task Tracker'!L:L),0))</f>
        <v/>
      </c>
      <c r="L81" s="15" t="n"/>
      <c r="M81" s="15" t="n"/>
      <c r="N81" s="15" t="n"/>
    </row>
    <row r="82">
      <c r="A82" s="15" t="n"/>
      <c r="B82" s="15" t="n"/>
      <c r="C82" s="15" t="n"/>
      <c r="D82" s="15" t="n"/>
      <c r="E82" s="16" t="n"/>
      <c r="F82" s="16" t="n"/>
      <c r="G82" s="16" t="n"/>
      <c r="H82" s="16" t="n"/>
      <c r="I82" s="15" t="n"/>
      <c r="J82" s="15" t="n"/>
      <c r="K82" s="15">
        <f>IF(A82="","",IFERROR(AVERAGEIF('Data - Task Tracker'!B:B,A82,'Data - Task Tracker'!L:L),0))</f>
        <v/>
      </c>
      <c r="L82" s="15" t="n"/>
      <c r="M82" s="15" t="n"/>
      <c r="N82" s="15" t="n"/>
    </row>
    <row r="83">
      <c r="A83" s="15" t="n"/>
      <c r="B83" s="15" t="n"/>
      <c r="C83" s="15" t="n"/>
      <c r="D83" s="15" t="n"/>
      <c r="E83" s="16" t="n"/>
      <c r="F83" s="16" t="n"/>
      <c r="G83" s="16" t="n"/>
      <c r="H83" s="16" t="n"/>
      <c r="I83" s="15" t="n"/>
      <c r="J83" s="15" t="n"/>
      <c r="K83" s="15">
        <f>IF(A83="","",IFERROR(AVERAGEIF('Data - Task Tracker'!B:B,A83,'Data - Task Tracker'!L:L),0))</f>
        <v/>
      </c>
      <c r="L83" s="15" t="n"/>
      <c r="M83" s="15" t="n"/>
      <c r="N83" s="15" t="n"/>
    </row>
    <row r="84">
      <c r="A84" s="15" t="n"/>
      <c r="B84" s="15" t="n"/>
      <c r="C84" s="15" t="n"/>
      <c r="D84" s="15" t="n"/>
      <c r="E84" s="16" t="n"/>
      <c r="F84" s="16" t="n"/>
      <c r="G84" s="16" t="n"/>
      <c r="H84" s="16" t="n"/>
      <c r="I84" s="15" t="n"/>
      <c r="J84" s="15" t="n"/>
      <c r="K84" s="15">
        <f>IF(A84="","",IFERROR(AVERAGEIF('Data - Task Tracker'!B:B,A84,'Data - Task Tracker'!L:L),0))</f>
        <v/>
      </c>
      <c r="L84" s="15" t="n"/>
      <c r="M84" s="15" t="n"/>
      <c r="N84" s="15" t="n"/>
    </row>
    <row r="85">
      <c r="A85" s="15" t="n"/>
      <c r="B85" s="15" t="n"/>
      <c r="C85" s="15" t="n"/>
      <c r="D85" s="15" t="n"/>
      <c r="E85" s="16" t="n"/>
      <c r="F85" s="16" t="n"/>
      <c r="G85" s="16" t="n"/>
      <c r="H85" s="16" t="n"/>
      <c r="I85" s="15" t="n"/>
      <c r="J85" s="15" t="n"/>
      <c r="K85" s="15">
        <f>IF(A85="","",IFERROR(AVERAGEIF('Data - Task Tracker'!B:B,A85,'Data - Task Tracker'!L:L),0))</f>
        <v/>
      </c>
      <c r="L85" s="15" t="n"/>
      <c r="M85" s="15" t="n"/>
      <c r="N85" s="15" t="n"/>
    </row>
    <row r="86">
      <c r="A86" s="15" t="n"/>
      <c r="B86" s="15" t="n"/>
      <c r="C86" s="15" t="n"/>
      <c r="D86" s="15" t="n"/>
      <c r="E86" s="16" t="n"/>
      <c r="F86" s="16" t="n"/>
      <c r="G86" s="16" t="n"/>
      <c r="H86" s="16" t="n"/>
      <c r="I86" s="15" t="n"/>
      <c r="J86" s="15" t="n"/>
      <c r="K86" s="15">
        <f>IF(A86="","",IFERROR(AVERAGEIF('Data - Task Tracker'!B:B,A86,'Data - Task Tracker'!L:L),0))</f>
        <v/>
      </c>
      <c r="L86" s="15" t="n"/>
      <c r="M86" s="15" t="n"/>
      <c r="N86" s="15" t="n"/>
    </row>
    <row r="87">
      <c r="A87" s="15" t="n"/>
      <c r="B87" s="15" t="n"/>
      <c r="C87" s="15" t="n"/>
      <c r="D87" s="15" t="n"/>
      <c r="E87" s="16" t="n"/>
      <c r="F87" s="16" t="n"/>
      <c r="G87" s="16" t="n"/>
      <c r="H87" s="16" t="n"/>
      <c r="I87" s="15" t="n"/>
      <c r="J87" s="15" t="n"/>
      <c r="K87" s="15">
        <f>IF(A87="","",IFERROR(AVERAGEIF('Data - Task Tracker'!B:B,A87,'Data - Task Tracker'!L:L),0))</f>
        <v/>
      </c>
      <c r="L87" s="15" t="n"/>
      <c r="M87" s="15" t="n"/>
      <c r="N87" s="15" t="n"/>
    </row>
    <row r="88">
      <c r="A88" s="15" t="n"/>
      <c r="B88" s="15" t="n"/>
      <c r="C88" s="15" t="n"/>
      <c r="D88" s="15" t="n"/>
      <c r="E88" s="16" t="n"/>
      <c r="F88" s="16" t="n"/>
      <c r="G88" s="16" t="n"/>
      <c r="H88" s="16" t="n"/>
      <c r="I88" s="15" t="n"/>
      <c r="J88" s="15" t="n"/>
      <c r="K88" s="15">
        <f>IF(A88="","",IFERROR(AVERAGEIF('Data - Task Tracker'!B:B,A88,'Data - Task Tracker'!L:L),0))</f>
        <v/>
      </c>
      <c r="L88" s="15" t="n"/>
      <c r="M88" s="15" t="n"/>
      <c r="N88" s="15" t="n"/>
    </row>
    <row r="89">
      <c r="A89" s="15" t="n"/>
      <c r="B89" s="15" t="n"/>
      <c r="C89" s="15" t="n"/>
      <c r="D89" s="15" t="n"/>
      <c r="E89" s="16" t="n"/>
      <c r="F89" s="16" t="n"/>
      <c r="G89" s="16" t="n"/>
      <c r="H89" s="16" t="n"/>
      <c r="I89" s="15" t="n"/>
      <c r="J89" s="15" t="n"/>
      <c r="K89" s="15">
        <f>IF(A89="","",IFERROR(AVERAGEIF('Data - Task Tracker'!B:B,A89,'Data - Task Tracker'!L:L),0))</f>
        <v/>
      </c>
      <c r="L89" s="15" t="n"/>
      <c r="M89" s="15" t="n"/>
      <c r="N89" s="15" t="n"/>
    </row>
    <row r="90">
      <c r="A90" s="15" t="n"/>
      <c r="B90" s="15" t="n"/>
      <c r="C90" s="15" t="n"/>
      <c r="D90" s="15" t="n"/>
      <c r="E90" s="16" t="n"/>
      <c r="F90" s="16" t="n"/>
      <c r="G90" s="16" t="n"/>
      <c r="H90" s="16" t="n"/>
      <c r="I90" s="15" t="n"/>
      <c r="J90" s="15" t="n"/>
      <c r="K90" s="15">
        <f>IF(A90="","",IFERROR(AVERAGEIF('Data - Task Tracker'!B:B,A90,'Data - Task Tracker'!L:L),0))</f>
        <v/>
      </c>
      <c r="L90" s="15" t="n"/>
      <c r="M90" s="15" t="n"/>
      <c r="N90" s="15" t="n"/>
    </row>
    <row r="91">
      <c r="A91" s="15" t="n"/>
      <c r="B91" s="15" t="n"/>
      <c r="C91" s="15" t="n"/>
      <c r="D91" s="15" t="n"/>
      <c r="E91" s="16" t="n"/>
      <c r="F91" s="16" t="n"/>
      <c r="G91" s="16" t="n"/>
      <c r="H91" s="16" t="n"/>
      <c r="I91" s="15" t="n"/>
      <c r="J91" s="15" t="n"/>
      <c r="K91" s="15">
        <f>IF(A91="","",IFERROR(AVERAGEIF('Data - Task Tracker'!B:B,A91,'Data - Task Tracker'!L:L),0))</f>
        <v/>
      </c>
      <c r="L91" s="15" t="n"/>
      <c r="M91" s="15" t="n"/>
      <c r="N91" s="15" t="n"/>
    </row>
    <row r="92">
      <c r="A92" s="15" t="n"/>
      <c r="B92" s="15" t="n"/>
      <c r="C92" s="15" t="n"/>
      <c r="D92" s="15" t="n"/>
      <c r="E92" s="16" t="n"/>
      <c r="F92" s="16" t="n"/>
      <c r="G92" s="16" t="n"/>
      <c r="H92" s="16" t="n"/>
      <c r="I92" s="15" t="n"/>
      <c r="J92" s="15" t="n"/>
      <c r="K92" s="15">
        <f>IF(A92="","",IFERROR(AVERAGEIF('Data - Task Tracker'!B:B,A92,'Data - Task Tracker'!L:L),0))</f>
        <v/>
      </c>
      <c r="L92" s="15" t="n"/>
      <c r="M92" s="15" t="n"/>
      <c r="N92" s="15" t="n"/>
    </row>
    <row r="93">
      <c r="A93" s="15" t="n"/>
      <c r="B93" s="15" t="n"/>
      <c r="C93" s="15" t="n"/>
      <c r="D93" s="15" t="n"/>
      <c r="E93" s="16" t="n"/>
      <c r="F93" s="16" t="n"/>
      <c r="G93" s="16" t="n"/>
      <c r="H93" s="16" t="n"/>
      <c r="I93" s="15" t="n"/>
      <c r="J93" s="15" t="n"/>
      <c r="K93" s="15">
        <f>IF(A93="","",IFERROR(AVERAGEIF('Data - Task Tracker'!B:B,A93,'Data - Task Tracker'!L:L),0))</f>
        <v/>
      </c>
      <c r="L93" s="15" t="n"/>
      <c r="M93" s="15" t="n"/>
      <c r="N93" s="15" t="n"/>
    </row>
    <row r="94">
      <c r="A94" s="15" t="n"/>
      <c r="B94" s="15" t="n"/>
      <c r="C94" s="15" t="n"/>
      <c r="D94" s="15" t="n"/>
      <c r="E94" s="16" t="n"/>
      <c r="F94" s="16" t="n"/>
      <c r="G94" s="16" t="n"/>
      <c r="H94" s="16" t="n"/>
      <c r="I94" s="15" t="n"/>
      <c r="J94" s="15" t="n"/>
      <c r="K94" s="15">
        <f>IF(A94="","",IFERROR(AVERAGEIF('Data - Task Tracker'!B:B,A94,'Data - Task Tracker'!L:L),0))</f>
        <v/>
      </c>
      <c r="L94" s="15" t="n"/>
      <c r="M94" s="15" t="n"/>
      <c r="N94" s="15" t="n"/>
    </row>
    <row r="95">
      <c r="A95" s="15" t="n"/>
      <c r="B95" s="15" t="n"/>
      <c r="C95" s="15" t="n"/>
      <c r="D95" s="15" t="n"/>
      <c r="E95" s="16" t="n"/>
      <c r="F95" s="16" t="n"/>
      <c r="G95" s="16" t="n"/>
      <c r="H95" s="16" t="n"/>
      <c r="I95" s="15" t="n"/>
      <c r="J95" s="15" t="n"/>
      <c r="K95" s="15">
        <f>IF(A95="","",IFERROR(AVERAGEIF('Data - Task Tracker'!B:B,A95,'Data - Task Tracker'!L:L),0))</f>
        <v/>
      </c>
      <c r="L95" s="15" t="n"/>
      <c r="M95" s="15" t="n"/>
      <c r="N95" s="15" t="n"/>
    </row>
    <row r="96">
      <c r="A96" s="15" t="n"/>
      <c r="B96" s="15" t="n"/>
      <c r="C96" s="15" t="n"/>
      <c r="D96" s="15" t="n"/>
      <c r="E96" s="16" t="n"/>
      <c r="F96" s="16" t="n"/>
      <c r="G96" s="16" t="n"/>
      <c r="H96" s="16" t="n"/>
      <c r="I96" s="15" t="n"/>
      <c r="J96" s="15" t="n"/>
      <c r="K96" s="15">
        <f>IF(A96="","",IFERROR(AVERAGEIF('Data - Task Tracker'!B:B,A96,'Data - Task Tracker'!L:L),0))</f>
        <v/>
      </c>
      <c r="L96" s="15" t="n"/>
      <c r="M96" s="15" t="n"/>
      <c r="N96" s="15" t="n"/>
    </row>
    <row r="97">
      <c r="A97" s="15" t="n"/>
      <c r="B97" s="15" t="n"/>
      <c r="C97" s="15" t="n"/>
      <c r="D97" s="15" t="n"/>
      <c r="E97" s="16" t="n"/>
      <c r="F97" s="16" t="n"/>
      <c r="G97" s="16" t="n"/>
      <c r="H97" s="16" t="n"/>
      <c r="I97" s="15" t="n"/>
      <c r="J97" s="15" t="n"/>
      <c r="K97" s="15">
        <f>IF(A97="","",IFERROR(AVERAGEIF('Data - Task Tracker'!B:B,A97,'Data - Task Tracker'!L:L),0))</f>
        <v/>
      </c>
      <c r="L97" s="15" t="n"/>
      <c r="M97" s="15" t="n"/>
      <c r="N97" s="15" t="n"/>
    </row>
    <row r="98">
      <c r="A98" s="15" t="n"/>
      <c r="B98" s="15" t="n"/>
      <c r="C98" s="15" t="n"/>
      <c r="D98" s="15" t="n"/>
      <c r="E98" s="16" t="n"/>
      <c r="F98" s="16" t="n"/>
      <c r="G98" s="16" t="n"/>
      <c r="H98" s="16" t="n"/>
      <c r="I98" s="15" t="n"/>
      <c r="J98" s="15" t="n"/>
      <c r="K98" s="15">
        <f>IF(A98="","",IFERROR(AVERAGEIF('Data - Task Tracker'!B:B,A98,'Data - Task Tracker'!L:L),0))</f>
        <v/>
      </c>
      <c r="L98" s="15" t="n"/>
      <c r="M98" s="15" t="n"/>
      <c r="N98" s="15" t="n"/>
    </row>
    <row r="99">
      <c r="A99" s="15" t="n"/>
      <c r="B99" s="15" t="n"/>
      <c r="C99" s="15" t="n"/>
      <c r="D99" s="15" t="n"/>
      <c r="E99" s="16" t="n"/>
      <c r="F99" s="16" t="n"/>
      <c r="G99" s="16" t="n"/>
      <c r="H99" s="16" t="n"/>
      <c r="I99" s="15" t="n"/>
      <c r="J99" s="15" t="n"/>
      <c r="K99" s="15">
        <f>IF(A99="","",IFERROR(AVERAGEIF('Data - Task Tracker'!B:B,A99,'Data - Task Tracker'!L:L),0))</f>
        <v/>
      </c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6" t="n"/>
      <c r="F100" s="16" t="n"/>
      <c r="G100" s="16" t="n"/>
      <c r="H100" s="16" t="n"/>
      <c r="I100" s="15" t="n"/>
      <c r="J100" s="15" t="n"/>
      <c r="K100" s="15">
        <f>IF(A100="","",IFERROR(AVERAGEIF('Data - Task Tracker'!B:B,A100,'Data - Task Tracker'!L:L),0))</f>
        <v/>
      </c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6" t="n"/>
      <c r="F101" s="16" t="n"/>
      <c r="G101" s="16" t="n"/>
      <c r="H101" s="16" t="n"/>
      <c r="I101" s="15" t="n"/>
      <c r="J101" s="15" t="n"/>
      <c r="K101" s="15">
        <f>IF(A101="","",IFERROR(AVERAGEIF('Data - Task Tracker'!B:B,A101,'Data - Task Tracker'!L:L),0))</f>
        <v/>
      </c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6" t="n"/>
      <c r="F102" s="16" t="n"/>
      <c r="G102" s="16" t="n"/>
      <c r="H102" s="16" t="n"/>
      <c r="I102" s="15" t="n"/>
      <c r="J102" s="15" t="n"/>
      <c r="K102" s="15">
        <f>IF(A102="","",IFERROR(AVERAGEIF('Data - Task Tracker'!B:B,A102,'Data - Task Tracker'!L:L),0))</f>
        <v/>
      </c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6" t="n"/>
      <c r="F103" s="16" t="n"/>
      <c r="G103" s="16" t="n"/>
      <c r="H103" s="16" t="n"/>
      <c r="I103" s="15" t="n"/>
      <c r="J103" s="15" t="n"/>
      <c r="K103" s="15">
        <f>IF(A103="","",IFERROR(AVERAGEIF('Data - Task Tracker'!B:B,A103,'Data - Task Tracker'!L:L),0))</f>
        <v/>
      </c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6" t="n"/>
      <c r="F104" s="16" t="n"/>
      <c r="G104" s="16" t="n"/>
      <c r="H104" s="16" t="n"/>
      <c r="I104" s="15" t="n"/>
      <c r="J104" s="15" t="n"/>
      <c r="K104" s="15">
        <f>IF(A104="","",IFERROR(AVERAGEIF('Data - Task Tracker'!B:B,A104,'Data - Task Tracker'!L:L),0))</f>
        <v/>
      </c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6" t="n"/>
      <c r="F105" s="16" t="n"/>
      <c r="G105" s="16" t="n"/>
      <c r="H105" s="16" t="n"/>
      <c r="I105" s="15" t="n"/>
      <c r="J105" s="15" t="n"/>
      <c r="K105" s="15">
        <f>IF(A105="","",IFERROR(AVERAGEIF('Data - Task Tracker'!B:B,A105,'Data - Task Tracker'!L:L),0))</f>
        <v/>
      </c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6" t="n"/>
      <c r="F106" s="16" t="n"/>
      <c r="G106" s="16" t="n"/>
      <c r="H106" s="16" t="n"/>
      <c r="I106" s="15" t="n"/>
      <c r="J106" s="15" t="n"/>
      <c r="K106" s="15">
        <f>IF(A106="","",IFERROR(AVERAGEIF('Data - Task Tracker'!B:B,A106,'Data - Task Tracker'!L:L),0))</f>
        <v/>
      </c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6" t="n"/>
      <c r="F107" s="16" t="n"/>
      <c r="G107" s="16" t="n"/>
      <c r="H107" s="16" t="n"/>
      <c r="I107" s="15" t="n"/>
      <c r="J107" s="15" t="n"/>
      <c r="K107" s="15">
        <f>IF(A107="","",IFERROR(AVERAGEIF('Data - Task Tracker'!B:B,A107,'Data - Task Tracker'!L:L),0))</f>
        <v/>
      </c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6" t="n"/>
      <c r="F108" s="16" t="n"/>
      <c r="G108" s="16" t="n"/>
      <c r="H108" s="16" t="n"/>
      <c r="I108" s="15" t="n"/>
      <c r="J108" s="15" t="n"/>
      <c r="K108" s="15">
        <f>IF(A108="","",IFERROR(AVERAGEIF('Data - Task Tracker'!B:B,A108,'Data - Task Tracker'!L:L),0))</f>
        <v/>
      </c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6" t="n"/>
      <c r="F109" s="16" t="n"/>
      <c r="G109" s="16" t="n"/>
      <c r="H109" s="16" t="n"/>
      <c r="I109" s="15" t="n"/>
      <c r="J109" s="15" t="n"/>
      <c r="K109" s="15">
        <f>IF(A109="","",IFERROR(AVERAGEIF('Data - Task Tracker'!B:B,A109,'Data - Task Tracker'!L:L),0))</f>
        <v/>
      </c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6" t="n"/>
      <c r="F110" s="16" t="n"/>
      <c r="G110" s="16" t="n"/>
      <c r="H110" s="16" t="n"/>
      <c r="I110" s="15" t="n"/>
      <c r="J110" s="15" t="n"/>
      <c r="K110" s="15">
        <f>IF(A110="","",IFERROR(AVERAGEIF('Data - Task Tracker'!B:B,A110,'Data - Task Tracker'!L:L),0))</f>
        <v/>
      </c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6" t="n"/>
      <c r="F111" s="16" t="n"/>
      <c r="G111" s="16" t="n"/>
      <c r="H111" s="16" t="n"/>
      <c r="I111" s="15" t="n"/>
      <c r="J111" s="15" t="n"/>
      <c r="K111" s="15">
        <f>IF(A111="","",IFERROR(AVERAGEIF('Data - Task Tracker'!B:B,A111,'Data - Task Tracker'!L:L),0))</f>
        <v/>
      </c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6" t="n"/>
      <c r="F112" s="16" t="n"/>
      <c r="G112" s="16" t="n"/>
      <c r="H112" s="16" t="n"/>
      <c r="I112" s="15" t="n"/>
      <c r="J112" s="15" t="n"/>
      <c r="K112" s="15">
        <f>IF(A112="","",IFERROR(AVERAGEIF('Data - Task Tracker'!B:B,A112,'Data - Task Tracker'!L:L),0))</f>
        <v/>
      </c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6" t="n"/>
      <c r="F113" s="16" t="n"/>
      <c r="G113" s="16" t="n"/>
      <c r="H113" s="16" t="n"/>
      <c r="I113" s="15" t="n"/>
      <c r="J113" s="15" t="n"/>
      <c r="K113" s="15">
        <f>IF(A113="","",IFERROR(AVERAGEIF('Data - Task Tracker'!B:B,A113,'Data - Task Tracker'!L:L),0))</f>
        <v/>
      </c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6" t="n"/>
      <c r="F114" s="16" t="n"/>
      <c r="G114" s="16" t="n"/>
      <c r="H114" s="16" t="n"/>
      <c r="I114" s="15" t="n"/>
      <c r="J114" s="15" t="n"/>
      <c r="K114" s="15">
        <f>IF(A114="","",IFERROR(AVERAGEIF('Data - Task Tracker'!B:B,A114,'Data - Task Tracker'!L:L),0))</f>
        <v/>
      </c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6" t="n"/>
      <c r="F115" s="16" t="n"/>
      <c r="G115" s="16" t="n"/>
      <c r="H115" s="16" t="n"/>
      <c r="I115" s="15" t="n"/>
      <c r="J115" s="15" t="n"/>
      <c r="K115" s="15">
        <f>IF(A115="","",IFERROR(AVERAGEIF('Data - Task Tracker'!B:B,A115,'Data - Task Tracker'!L:L),0))</f>
        <v/>
      </c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6" t="n"/>
      <c r="F116" s="16" t="n"/>
      <c r="G116" s="16" t="n"/>
      <c r="H116" s="16" t="n"/>
      <c r="I116" s="15" t="n"/>
      <c r="J116" s="15" t="n"/>
      <c r="K116" s="15">
        <f>IF(A116="","",IFERROR(AVERAGEIF('Data - Task Tracker'!B:B,A116,'Data - Task Tracker'!L:L),0))</f>
        <v/>
      </c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6" t="n"/>
      <c r="F117" s="16" t="n"/>
      <c r="G117" s="16" t="n"/>
      <c r="H117" s="16" t="n"/>
      <c r="I117" s="15" t="n"/>
      <c r="J117" s="15" t="n"/>
      <c r="K117" s="15">
        <f>IF(A117="","",IFERROR(AVERAGEIF('Data - Task Tracker'!B:B,A117,'Data - Task Tracker'!L:L),0))</f>
        <v/>
      </c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6" t="n"/>
      <c r="F118" s="16" t="n"/>
      <c r="G118" s="16" t="n"/>
      <c r="H118" s="16" t="n"/>
      <c r="I118" s="15" t="n"/>
      <c r="J118" s="15" t="n"/>
      <c r="K118" s="15">
        <f>IF(A118="","",IFERROR(AVERAGEIF('Data - Task Tracker'!B:B,A118,'Data - Task Tracker'!L:L),0))</f>
        <v/>
      </c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6" t="n"/>
      <c r="F119" s="16" t="n"/>
      <c r="G119" s="16" t="n"/>
      <c r="H119" s="16" t="n"/>
      <c r="I119" s="15" t="n"/>
      <c r="J119" s="15" t="n"/>
      <c r="K119" s="15">
        <f>IF(A119="","",IFERROR(AVERAGEIF('Data - Task Tracker'!B:B,A119,'Data - Task Tracker'!L:L),0))</f>
        <v/>
      </c>
      <c r="L119" s="15" t="n"/>
      <c r="M119" s="15" t="n"/>
      <c r="N119" s="15" t="n"/>
    </row>
    <row r="120">
      <c r="A120" s="15" t="n"/>
      <c r="B120" s="15" t="n"/>
      <c r="C120" s="15" t="n"/>
      <c r="D120" s="15" t="n"/>
      <c r="E120" s="16" t="n"/>
      <c r="F120" s="16" t="n"/>
      <c r="G120" s="16" t="n"/>
      <c r="H120" s="16" t="n"/>
      <c r="I120" s="15" t="n"/>
      <c r="J120" s="15" t="n"/>
      <c r="K120" s="15">
        <f>IF(A120="","",IFERROR(AVERAGEIF('Data - Task Tracker'!B:B,A120,'Data - Task Tracker'!L:L),0))</f>
        <v/>
      </c>
      <c r="L120" s="15" t="n"/>
      <c r="M120" s="15" t="n"/>
      <c r="N120" s="15" t="n"/>
    </row>
    <row r="121">
      <c r="A121" s="15" t="n"/>
      <c r="B121" s="15" t="n"/>
      <c r="C121" s="15" t="n"/>
      <c r="D121" s="15" t="n"/>
      <c r="E121" s="16" t="n"/>
      <c r="F121" s="16" t="n"/>
      <c r="G121" s="16" t="n"/>
      <c r="H121" s="16" t="n"/>
      <c r="I121" s="15" t="n"/>
      <c r="J121" s="15" t="n"/>
      <c r="K121" s="15">
        <f>IF(A121="","",IFERROR(AVERAGEIF('Data - Task Tracker'!B:B,A121,'Data - Task Tracker'!L:L),0))</f>
        <v/>
      </c>
      <c r="L121" s="15" t="n"/>
      <c r="M121" s="15" t="n"/>
      <c r="N121" s="15" t="n"/>
    </row>
    <row r="122">
      <c r="A122" s="15" t="n"/>
      <c r="B122" s="15" t="n"/>
      <c r="C122" s="15" t="n"/>
      <c r="D122" s="15" t="n"/>
      <c r="E122" s="16" t="n"/>
      <c r="F122" s="16" t="n"/>
      <c r="G122" s="16" t="n"/>
      <c r="H122" s="16" t="n"/>
      <c r="I122" s="15" t="n"/>
      <c r="J122" s="15" t="n"/>
      <c r="K122" s="15">
        <f>IF(A122="","",IFERROR(AVERAGEIF('Data - Task Tracker'!B:B,A122,'Data - Task Tracker'!L:L),0))</f>
        <v/>
      </c>
      <c r="L122" s="15" t="n"/>
      <c r="M122" s="15" t="n"/>
      <c r="N122" s="15" t="n"/>
    </row>
    <row r="123">
      <c r="A123" s="15" t="n"/>
      <c r="B123" s="15" t="n"/>
      <c r="C123" s="15" t="n"/>
      <c r="D123" s="15" t="n"/>
      <c r="E123" s="16" t="n"/>
      <c r="F123" s="16" t="n"/>
      <c r="G123" s="16" t="n"/>
      <c r="H123" s="16" t="n"/>
      <c r="I123" s="15" t="n"/>
      <c r="J123" s="15" t="n"/>
      <c r="K123" s="15">
        <f>IF(A123="","",IFERROR(AVERAGEIF('Data - Task Tracker'!B:B,A123,'Data - Task Tracker'!L:L),0))</f>
        <v/>
      </c>
      <c r="L123" s="15" t="n"/>
      <c r="M123" s="15" t="n"/>
      <c r="N123" s="15" t="n"/>
    </row>
    <row r="124">
      <c r="A124" s="15" t="n"/>
      <c r="B124" s="15" t="n"/>
      <c r="C124" s="15" t="n"/>
      <c r="D124" s="15" t="n"/>
      <c r="E124" s="16" t="n"/>
      <c r="F124" s="16" t="n"/>
      <c r="G124" s="16" t="n"/>
      <c r="H124" s="16" t="n"/>
      <c r="I124" s="15" t="n"/>
      <c r="J124" s="15" t="n"/>
      <c r="K124" s="15">
        <f>IF(A124="","",IFERROR(AVERAGEIF('Data - Task Tracker'!B:B,A124,'Data - Task Tracker'!L:L),0))</f>
        <v/>
      </c>
      <c r="L124" s="15" t="n"/>
      <c r="M124" s="15" t="n"/>
      <c r="N124" s="15" t="n"/>
    </row>
    <row r="125">
      <c r="A125" s="15" t="n"/>
      <c r="B125" s="15" t="n"/>
      <c r="C125" s="15" t="n"/>
      <c r="D125" s="15" t="n"/>
      <c r="E125" s="16" t="n"/>
      <c r="F125" s="16" t="n"/>
      <c r="G125" s="16" t="n"/>
      <c r="H125" s="16" t="n"/>
      <c r="I125" s="15" t="n"/>
      <c r="J125" s="15" t="n"/>
      <c r="K125" s="15">
        <f>IF(A125="","",IFERROR(AVERAGEIF('Data - Task Tracker'!B:B,A125,'Data - Task Tracker'!L:L),0))</f>
        <v/>
      </c>
      <c r="L125" s="15" t="n"/>
      <c r="M125" s="15" t="n"/>
      <c r="N125" s="15" t="n"/>
    </row>
    <row r="126">
      <c r="A126" s="15" t="n"/>
      <c r="B126" s="15" t="n"/>
      <c r="C126" s="15" t="n"/>
      <c r="D126" s="15" t="n"/>
      <c r="E126" s="16" t="n"/>
      <c r="F126" s="16" t="n"/>
      <c r="G126" s="16" t="n"/>
      <c r="H126" s="16" t="n"/>
      <c r="I126" s="15" t="n"/>
      <c r="J126" s="15" t="n"/>
      <c r="K126" s="15">
        <f>IF(A126="","",IFERROR(AVERAGEIF('Data - Task Tracker'!B:B,A126,'Data - Task Tracker'!L:L),0))</f>
        <v/>
      </c>
      <c r="L126" s="15" t="n"/>
      <c r="M126" s="15" t="n"/>
      <c r="N126" s="15" t="n"/>
    </row>
    <row r="127">
      <c r="A127" s="15" t="n"/>
      <c r="B127" s="15" t="n"/>
      <c r="C127" s="15" t="n"/>
      <c r="D127" s="15" t="n"/>
      <c r="E127" s="16" t="n"/>
      <c r="F127" s="16" t="n"/>
      <c r="G127" s="16" t="n"/>
      <c r="H127" s="16" t="n"/>
      <c r="I127" s="15" t="n"/>
      <c r="J127" s="15" t="n"/>
      <c r="K127" s="15">
        <f>IF(A127="","",IFERROR(AVERAGEIF('Data - Task Tracker'!B:B,A127,'Data - Task Tracker'!L:L),0))</f>
        <v/>
      </c>
      <c r="L127" s="15" t="n"/>
      <c r="M127" s="15" t="n"/>
      <c r="N127" s="15" t="n"/>
    </row>
    <row r="128">
      <c r="A128" s="15" t="n"/>
      <c r="B128" s="15" t="n"/>
      <c r="C128" s="15" t="n"/>
      <c r="D128" s="15" t="n"/>
      <c r="E128" s="16" t="n"/>
      <c r="F128" s="16" t="n"/>
      <c r="G128" s="16" t="n"/>
      <c r="H128" s="16" t="n"/>
      <c r="I128" s="15" t="n"/>
      <c r="J128" s="15" t="n"/>
      <c r="K128" s="15">
        <f>IF(A128="","",IFERROR(AVERAGEIF('Data - Task Tracker'!B:B,A128,'Data - Task Tracker'!L:L),0))</f>
        <v/>
      </c>
      <c r="L128" s="15" t="n"/>
      <c r="M128" s="15" t="n"/>
      <c r="N128" s="15" t="n"/>
    </row>
    <row r="129">
      <c r="A129" s="15" t="n"/>
      <c r="B129" s="15" t="n"/>
      <c r="C129" s="15" t="n"/>
      <c r="D129" s="15" t="n"/>
      <c r="E129" s="16" t="n"/>
      <c r="F129" s="16" t="n"/>
      <c r="G129" s="16" t="n"/>
      <c r="H129" s="16" t="n"/>
      <c r="I129" s="15" t="n"/>
      <c r="J129" s="15" t="n"/>
      <c r="K129" s="15">
        <f>IF(A129="","",IFERROR(AVERAGEIF('Data - Task Tracker'!B:B,A129,'Data - Task Tracker'!L:L),0))</f>
        <v/>
      </c>
      <c r="L129" s="15" t="n"/>
      <c r="M129" s="15" t="n"/>
      <c r="N129" s="15" t="n"/>
    </row>
    <row r="130">
      <c r="A130" s="15" t="n"/>
      <c r="B130" s="15" t="n"/>
      <c r="C130" s="15" t="n"/>
      <c r="D130" s="15" t="n"/>
      <c r="E130" s="16" t="n"/>
      <c r="F130" s="16" t="n"/>
      <c r="G130" s="16" t="n"/>
      <c r="H130" s="16" t="n"/>
      <c r="I130" s="15" t="n"/>
      <c r="J130" s="15" t="n"/>
      <c r="K130" s="15">
        <f>IF(A130="","",IFERROR(AVERAGEIF('Data - Task Tracker'!B:B,A130,'Data - Task Tracker'!L:L),0))</f>
        <v/>
      </c>
      <c r="L130" s="15" t="n"/>
      <c r="M130" s="15" t="n"/>
      <c r="N130" s="15" t="n"/>
    </row>
    <row r="131">
      <c r="A131" s="15" t="n"/>
      <c r="B131" s="15" t="n"/>
      <c r="C131" s="15" t="n"/>
      <c r="D131" s="15" t="n"/>
      <c r="E131" s="16" t="n"/>
      <c r="F131" s="16" t="n"/>
      <c r="G131" s="16" t="n"/>
      <c r="H131" s="16" t="n"/>
      <c r="I131" s="15" t="n"/>
      <c r="J131" s="15" t="n"/>
      <c r="K131" s="15">
        <f>IF(A131="","",IFERROR(AVERAGEIF('Data - Task Tracker'!B:B,A131,'Data - Task Tracker'!L:L),0))</f>
        <v/>
      </c>
      <c r="L131" s="15" t="n"/>
      <c r="M131" s="15" t="n"/>
      <c r="N131" s="15" t="n"/>
    </row>
    <row r="132">
      <c r="A132" s="15" t="n"/>
      <c r="B132" s="15" t="n"/>
      <c r="C132" s="15" t="n"/>
      <c r="D132" s="15" t="n"/>
      <c r="E132" s="16" t="n"/>
      <c r="F132" s="16" t="n"/>
      <c r="G132" s="16" t="n"/>
      <c r="H132" s="16" t="n"/>
      <c r="I132" s="15" t="n"/>
      <c r="J132" s="15" t="n"/>
      <c r="K132" s="15">
        <f>IF(A132="","",IFERROR(AVERAGEIF('Data - Task Tracker'!B:B,A132,'Data - Task Tracker'!L:L),0))</f>
        <v/>
      </c>
      <c r="L132" s="15" t="n"/>
      <c r="M132" s="15" t="n"/>
      <c r="N132" s="15" t="n"/>
    </row>
    <row r="133">
      <c r="A133" s="15" t="n"/>
      <c r="B133" s="15" t="n"/>
      <c r="C133" s="15" t="n"/>
      <c r="D133" s="15" t="n"/>
      <c r="E133" s="16" t="n"/>
      <c r="F133" s="16" t="n"/>
      <c r="G133" s="16" t="n"/>
      <c r="H133" s="16" t="n"/>
      <c r="I133" s="15" t="n"/>
      <c r="J133" s="15" t="n"/>
      <c r="K133" s="15">
        <f>IF(A133="","",IFERROR(AVERAGEIF('Data - Task Tracker'!B:B,A133,'Data - Task Tracker'!L:L),0))</f>
        <v/>
      </c>
      <c r="L133" s="15" t="n"/>
      <c r="M133" s="15" t="n"/>
      <c r="N133" s="15" t="n"/>
    </row>
    <row r="134">
      <c r="A134" s="15" t="n"/>
      <c r="B134" s="15" t="n"/>
      <c r="C134" s="15" t="n"/>
      <c r="D134" s="15" t="n"/>
      <c r="E134" s="16" t="n"/>
      <c r="F134" s="16" t="n"/>
      <c r="G134" s="16" t="n"/>
      <c r="H134" s="16" t="n"/>
      <c r="I134" s="15" t="n"/>
      <c r="J134" s="15" t="n"/>
      <c r="K134" s="15">
        <f>IF(A134="","",IFERROR(AVERAGEIF('Data - Task Tracker'!B:B,A134,'Data - Task Tracker'!L:L),0))</f>
        <v/>
      </c>
      <c r="L134" s="15" t="n"/>
      <c r="M134" s="15" t="n"/>
      <c r="N134" s="15" t="n"/>
    </row>
    <row r="135">
      <c r="A135" s="15" t="n"/>
      <c r="B135" s="15" t="n"/>
      <c r="C135" s="15" t="n"/>
      <c r="D135" s="15" t="n"/>
      <c r="E135" s="16" t="n"/>
      <c r="F135" s="16" t="n"/>
      <c r="G135" s="16" t="n"/>
      <c r="H135" s="16" t="n"/>
      <c r="I135" s="15" t="n"/>
      <c r="J135" s="15" t="n"/>
      <c r="K135" s="15">
        <f>IF(A135="","",IFERROR(AVERAGEIF('Data - Task Tracker'!B:B,A135,'Data - Task Tracker'!L:L),0))</f>
        <v/>
      </c>
      <c r="L135" s="15" t="n"/>
      <c r="M135" s="15" t="n"/>
      <c r="N135" s="15" t="n"/>
    </row>
    <row r="136">
      <c r="A136" s="15" t="n"/>
      <c r="B136" s="15" t="n"/>
      <c r="C136" s="15" t="n"/>
      <c r="D136" s="15" t="n"/>
      <c r="E136" s="16" t="n"/>
      <c r="F136" s="16" t="n"/>
      <c r="G136" s="16" t="n"/>
      <c r="H136" s="16" t="n"/>
      <c r="I136" s="15" t="n"/>
      <c r="J136" s="15" t="n"/>
      <c r="K136" s="15">
        <f>IF(A136="","",IFERROR(AVERAGEIF('Data - Task Tracker'!B:B,A136,'Data - Task Tracker'!L:L),0))</f>
        <v/>
      </c>
      <c r="L136" s="15" t="n"/>
      <c r="M136" s="15" t="n"/>
      <c r="N136" s="15" t="n"/>
    </row>
    <row r="137">
      <c r="A137" s="15" t="n"/>
      <c r="B137" s="15" t="n"/>
      <c r="C137" s="15" t="n"/>
      <c r="D137" s="15" t="n"/>
      <c r="E137" s="16" t="n"/>
      <c r="F137" s="16" t="n"/>
      <c r="G137" s="16" t="n"/>
      <c r="H137" s="16" t="n"/>
      <c r="I137" s="15" t="n"/>
      <c r="J137" s="15" t="n"/>
      <c r="K137" s="15">
        <f>IF(A137="","",IFERROR(AVERAGEIF('Data - Task Tracker'!B:B,A137,'Data - Task Tracker'!L:L),0))</f>
        <v/>
      </c>
      <c r="L137" s="15" t="n"/>
      <c r="M137" s="15" t="n"/>
      <c r="N137" s="15" t="n"/>
    </row>
    <row r="138">
      <c r="A138" s="15" t="n"/>
      <c r="B138" s="15" t="n"/>
      <c r="C138" s="15" t="n"/>
      <c r="D138" s="15" t="n"/>
      <c r="E138" s="16" t="n"/>
      <c r="F138" s="16" t="n"/>
      <c r="G138" s="16" t="n"/>
      <c r="H138" s="16" t="n"/>
      <c r="I138" s="15" t="n"/>
      <c r="J138" s="15" t="n"/>
      <c r="K138" s="15">
        <f>IF(A138="","",IFERROR(AVERAGEIF('Data - Task Tracker'!B:B,A138,'Data - Task Tracker'!L:L),0))</f>
        <v/>
      </c>
      <c r="L138" s="15" t="n"/>
      <c r="M138" s="15" t="n"/>
      <c r="N138" s="15" t="n"/>
    </row>
    <row r="139">
      <c r="A139" s="15" t="n"/>
      <c r="B139" s="15" t="n"/>
      <c r="C139" s="15" t="n"/>
      <c r="D139" s="15" t="n"/>
      <c r="E139" s="16" t="n"/>
      <c r="F139" s="16" t="n"/>
      <c r="G139" s="16" t="n"/>
      <c r="H139" s="16" t="n"/>
      <c r="I139" s="15" t="n"/>
      <c r="J139" s="15" t="n"/>
      <c r="K139" s="15">
        <f>IF(A139="","",IFERROR(AVERAGEIF('Data - Task Tracker'!B:B,A139,'Data - Task Tracker'!L:L),0))</f>
        <v/>
      </c>
      <c r="L139" s="15" t="n"/>
      <c r="M139" s="15" t="n"/>
      <c r="N139" s="15" t="n"/>
    </row>
    <row r="140">
      <c r="A140" s="15" t="n"/>
      <c r="B140" s="15" t="n"/>
      <c r="C140" s="15" t="n"/>
      <c r="D140" s="15" t="n"/>
      <c r="E140" s="16" t="n"/>
      <c r="F140" s="16" t="n"/>
      <c r="G140" s="16" t="n"/>
      <c r="H140" s="16" t="n"/>
      <c r="I140" s="15" t="n"/>
      <c r="J140" s="15" t="n"/>
      <c r="K140" s="15">
        <f>IF(A140="","",IFERROR(AVERAGEIF('Data - Task Tracker'!B:B,A140,'Data - Task Tracker'!L:L),0))</f>
        <v/>
      </c>
      <c r="L140" s="15" t="n"/>
      <c r="M140" s="15" t="n"/>
      <c r="N140" s="15" t="n"/>
    </row>
    <row r="141">
      <c r="A141" s="15" t="n"/>
      <c r="B141" s="15" t="n"/>
      <c r="C141" s="15" t="n"/>
      <c r="D141" s="15" t="n"/>
      <c r="E141" s="16" t="n"/>
      <c r="F141" s="16" t="n"/>
      <c r="G141" s="16" t="n"/>
      <c r="H141" s="16" t="n"/>
      <c r="I141" s="15" t="n"/>
      <c r="J141" s="15" t="n"/>
      <c r="K141" s="15">
        <f>IF(A141="","",IFERROR(AVERAGEIF('Data - Task Tracker'!B:B,A141,'Data - Task Tracker'!L:L),0))</f>
        <v/>
      </c>
      <c r="L141" s="15" t="n"/>
      <c r="M141" s="15" t="n"/>
      <c r="N141" s="15" t="n"/>
    </row>
    <row r="142">
      <c r="A142" s="15" t="n"/>
      <c r="B142" s="15" t="n"/>
      <c r="C142" s="15" t="n"/>
      <c r="D142" s="15" t="n"/>
      <c r="E142" s="16" t="n"/>
      <c r="F142" s="16" t="n"/>
      <c r="G142" s="16" t="n"/>
      <c r="H142" s="16" t="n"/>
      <c r="I142" s="15" t="n"/>
      <c r="J142" s="15" t="n"/>
      <c r="K142" s="15">
        <f>IF(A142="","",IFERROR(AVERAGEIF('Data - Task Tracker'!B:B,A142,'Data - Task Tracker'!L:L),0))</f>
        <v/>
      </c>
      <c r="L142" s="15" t="n"/>
      <c r="M142" s="15" t="n"/>
      <c r="N142" s="15" t="n"/>
    </row>
    <row r="143">
      <c r="A143" s="15" t="n"/>
      <c r="B143" s="15" t="n"/>
      <c r="C143" s="15" t="n"/>
      <c r="D143" s="15" t="n"/>
      <c r="E143" s="16" t="n"/>
      <c r="F143" s="16" t="n"/>
      <c r="G143" s="16" t="n"/>
      <c r="H143" s="16" t="n"/>
      <c r="I143" s="15" t="n"/>
      <c r="J143" s="15" t="n"/>
      <c r="K143" s="15">
        <f>IF(A143="","",IFERROR(AVERAGEIF('Data - Task Tracker'!B:B,A143,'Data - Task Tracker'!L:L),0))</f>
        <v/>
      </c>
      <c r="L143" s="15" t="n"/>
      <c r="M143" s="15" t="n"/>
      <c r="N143" s="15" t="n"/>
    </row>
    <row r="144">
      <c r="A144" s="15" t="n"/>
      <c r="B144" s="15" t="n"/>
      <c r="C144" s="15" t="n"/>
      <c r="D144" s="15" t="n"/>
      <c r="E144" s="16" t="n"/>
      <c r="F144" s="16" t="n"/>
      <c r="G144" s="16" t="n"/>
      <c r="H144" s="16" t="n"/>
      <c r="I144" s="15" t="n"/>
      <c r="J144" s="15" t="n"/>
      <c r="K144" s="15">
        <f>IF(A144="","",IFERROR(AVERAGEIF('Data - Task Tracker'!B:B,A144,'Data - Task Tracker'!L:L),0))</f>
        <v/>
      </c>
      <c r="L144" s="15" t="n"/>
      <c r="M144" s="15" t="n"/>
      <c r="N144" s="15" t="n"/>
    </row>
    <row r="145">
      <c r="A145" s="15" t="n"/>
      <c r="B145" s="15" t="n"/>
      <c r="C145" s="15" t="n"/>
      <c r="D145" s="15" t="n"/>
      <c r="E145" s="16" t="n"/>
      <c r="F145" s="16" t="n"/>
      <c r="G145" s="16" t="n"/>
      <c r="H145" s="16" t="n"/>
      <c r="I145" s="15" t="n"/>
      <c r="J145" s="15" t="n"/>
      <c r="K145" s="15">
        <f>IF(A145="","",IFERROR(AVERAGEIF('Data - Task Tracker'!B:B,A145,'Data - Task Tracker'!L:L),0))</f>
        <v/>
      </c>
      <c r="L145" s="15" t="n"/>
      <c r="M145" s="15" t="n"/>
      <c r="N145" s="15" t="n"/>
    </row>
    <row r="146">
      <c r="A146" s="15" t="n"/>
      <c r="B146" s="15" t="n"/>
      <c r="C146" s="15" t="n"/>
      <c r="D146" s="15" t="n"/>
      <c r="E146" s="16" t="n"/>
      <c r="F146" s="16" t="n"/>
      <c r="G146" s="16" t="n"/>
      <c r="H146" s="16" t="n"/>
      <c r="I146" s="15" t="n"/>
      <c r="J146" s="15" t="n"/>
      <c r="K146" s="15">
        <f>IF(A146="","",IFERROR(AVERAGEIF('Data - Task Tracker'!B:B,A146,'Data - Task Tracker'!L:L),0))</f>
        <v/>
      </c>
      <c r="L146" s="15" t="n"/>
      <c r="M146" s="15" t="n"/>
      <c r="N146" s="15" t="n"/>
    </row>
    <row r="147">
      <c r="A147" s="15" t="n"/>
      <c r="B147" s="15" t="n"/>
      <c r="C147" s="15" t="n"/>
      <c r="D147" s="15" t="n"/>
      <c r="E147" s="16" t="n"/>
      <c r="F147" s="16" t="n"/>
      <c r="G147" s="16" t="n"/>
      <c r="H147" s="16" t="n"/>
      <c r="I147" s="15" t="n"/>
      <c r="J147" s="15" t="n"/>
      <c r="K147" s="15">
        <f>IF(A147="","",IFERROR(AVERAGEIF('Data - Task Tracker'!B:B,A147,'Data - Task Tracker'!L:L),0))</f>
        <v/>
      </c>
      <c r="L147" s="15" t="n"/>
      <c r="M147" s="15" t="n"/>
      <c r="N147" s="15" t="n"/>
    </row>
    <row r="148">
      <c r="A148" s="15" t="n"/>
      <c r="B148" s="15" t="n"/>
      <c r="C148" s="15" t="n"/>
      <c r="D148" s="15" t="n"/>
      <c r="E148" s="16" t="n"/>
      <c r="F148" s="16" t="n"/>
      <c r="G148" s="16" t="n"/>
      <c r="H148" s="16" t="n"/>
      <c r="I148" s="15" t="n"/>
      <c r="J148" s="15" t="n"/>
      <c r="K148" s="15">
        <f>IF(A148="","",IFERROR(AVERAGEIF('Data - Task Tracker'!B:B,A148,'Data - Task Tracker'!L:L),0))</f>
        <v/>
      </c>
      <c r="L148" s="15" t="n"/>
      <c r="M148" s="15" t="n"/>
      <c r="N148" s="15" t="n"/>
    </row>
    <row r="149">
      <c r="A149" s="15" t="n"/>
      <c r="B149" s="15" t="n"/>
      <c r="C149" s="15" t="n"/>
      <c r="D149" s="15" t="n"/>
      <c r="E149" s="16" t="n"/>
      <c r="F149" s="16" t="n"/>
      <c r="G149" s="16" t="n"/>
      <c r="H149" s="16" t="n"/>
      <c r="I149" s="15" t="n"/>
      <c r="J149" s="15" t="n"/>
      <c r="K149" s="15">
        <f>IF(A149="","",IFERROR(AVERAGEIF('Data - Task Tracker'!B:B,A149,'Data - Task Tracker'!L:L),0))</f>
        <v/>
      </c>
      <c r="L149" s="15" t="n"/>
      <c r="M149" s="15" t="n"/>
      <c r="N149" s="15" t="n"/>
    </row>
    <row r="150">
      <c r="A150" s="15" t="n"/>
      <c r="B150" s="15" t="n"/>
      <c r="C150" s="15" t="n"/>
      <c r="D150" s="15" t="n"/>
      <c r="E150" s="16" t="n"/>
      <c r="F150" s="16" t="n"/>
      <c r="G150" s="16" t="n"/>
      <c r="H150" s="16" t="n"/>
      <c r="I150" s="15" t="n"/>
      <c r="J150" s="15" t="n"/>
      <c r="K150" s="15">
        <f>IF(A150="","",IFERROR(AVERAGEIF('Data - Task Tracker'!B:B,A150,'Data - Task Tracker'!L:L),0))</f>
        <v/>
      </c>
      <c r="L150" s="15" t="n"/>
      <c r="M150" s="15" t="n"/>
      <c r="N150" s="15" t="n"/>
    </row>
    <row r="151">
      <c r="A151" s="15" t="n"/>
      <c r="B151" s="15" t="n"/>
      <c r="C151" s="15" t="n"/>
      <c r="D151" s="15" t="n"/>
      <c r="E151" s="16" t="n"/>
      <c r="F151" s="16" t="n"/>
      <c r="G151" s="16" t="n"/>
      <c r="H151" s="16" t="n"/>
      <c r="I151" s="15" t="n"/>
      <c r="J151" s="15" t="n"/>
      <c r="K151" s="15">
        <f>IF(A151="","",IFERROR(AVERAGEIF('Data - Task Tracker'!B:B,A151,'Data - Task Tracker'!L:L),0))</f>
        <v/>
      </c>
      <c r="L151" s="15" t="n"/>
      <c r="M151" s="15" t="n"/>
      <c r="N151" s="15" t="n"/>
    </row>
    <row r="152">
      <c r="A152" s="15" t="n"/>
      <c r="B152" s="15" t="n"/>
      <c r="C152" s="15" t="n"/>
      <c r="D152" s="15" t="n"/>
      <c r="E152" s="16" t="n"/>
      <c r="F152" s="16" t="n"/>
      <c r="G152" s="16" t="n"/>
      <c r="H152" s="16" t="n"/>
      <c r="I152" s="15" t="n"/>
      <c r="J152" s="15" t="n"/>
      <c r="K152" s="15">
        <f>IF(A152="","",IFERROR(AVERAGEIF('Data - Task Tracker'!B:B,A152,'Data - Task Tracker'!L:L),0))</f>
        <v/>
      </c>
      <c r="L152" s="15" t="n"/>
      <c r="M152" s="15" t="n"/>
      <c r="N152" s="15" t="n"/>
    </row>
    <row r="153">
      <c r="A153" s="15" t="n"/>
      <c r="B153" s="15" t="n"/>
      <c r="C153" s="15" t="n"/>
      <c r="D153" s="15" t="n"/>
      <c r="E153" s="16" t="n"/>
      <c r="F153" s="16" t="n"/>
      <c r="G153" s="16" t="n"/>
      <c r="H153" s="16" t="n"/>
      <c r="I153" s="15" t="n"/>
      <c r="J153" s="15" t="n"/>
      <c r="K153" s="15">
        <f>IF(A153="","",IFERROR(AVERAGEIF('Data - Task Tracker'!B:B,A153,'Data - Task Tracker'!L:L),0))</f>
        <v/>
      </c>
      <c r="L153" s="15" t="n"/>
      <c r="M153" s="15" t="n"/>
      <c r="N153" s="15" t="n"/>
    </row>
    <row r="154">
      <c r="A154" s="15" t="n"/>
      <c r="B154" s="15" t="n"/>
      <c r="C154" s="15" t="n"/>
      <c r="D154" s="15" t="n"/>
      <c r="E154" s="16" t="n"/>
      <c r="F154" s="16" t="n"/>
      <c r="G154" s="16" t="n"/>
      <c r="H154" s="16" t="n"/>
      <c r="I154" s="15" t="n"/>
      <c r="J154" s="15" t="n"/>
      <c r="K154" s="15">
        <f>IF(A154="","",IFERROR(AVERAGEIF('Data - Task Tracker'!B:B,A154,'Data - Task Tracker'!L:L),0))</f>
        <v/>
      </c>
      <c r="L154" s="15" t="n"/>
      <c r="M154" s="15" t="n"/>
      <c r="N154" s="15" t="n"/>
    </row>
    <row r="155">
      <c r="A155" s="15" t="n"/>
      <c r="B155" s="15" t="n"/>
      <c r="C155" s="15" t="n"/>
      <c r="D155" s="15" t="n"/>
      <c r="E155" s="16" t="n"/>
      <c r="F155" s="16" t="n"/>
      <c r="G155" s="16" t="n"/>
      <c r="H155" s="16" t="n"/>
      <c r="I155" s="15" t="n"/>
      <c r="J155" s="15" t="n"/>
      <c r="K155" s="15">
        <f>IF(A155="","",IFERROR(AVERAGEIF('Data - Task Tracker'!B:B,A155,'Data - Task Tracker'!L:L),0))</f>
        <v/>
      </c>
      <c r="L155" s="15" t="n"/>
      <c r="M155" s="15" t="n"/>
      <c r="N155" s="15" t="n"/>
    </row>
    <row r="156">
      <c r="A156" s="15" t="n"/>
      <c r="B156" s="15" t="n"/>
      <c r="C156" s="15" t="n"/>
      <c r="D156" s="15" t="n"/>
      <c r="E156" s="16" t="n"/>
      <c r="F156" s="16" t="n"/>
      <c r="G156" s="16" t="n"/>
      <c r="H156" s="16" t="n"/>
      <c r="I156" s="15" t="n"/>
      <c r="J156" s="15" t="n"/>
      <c r="K156" s="15">
        <f>IF(A156="","",IFERROR(AVERAGEIF('Data - Task Tracker'!B:B,A156,'Data - Task Tracker'!L:L),0))</f>
        <v/>
      </c>
      <c r="L156" s="15" t="n"/>
      <c r="M156" s="15" t="n"/>
      <c r="N156" s="15" t="n"/>
    </row>
    <row r="157">
      <c r="A157" s="15" t="n"/>
      <c r="B157" s="15" t="n"/>
      <c r="C157" s="15" t="n"/>
      <c r="D157" s="15" t="n"/>
      <c r="E157" s="16" t="n"/>
      <c r="F157" s="16" t="n"/>
      <c r="G157" s="16" t="n"/>
      <c r="H157" s="16" t="n"/>
      <c r="I157" s="15" t="n"/>
      <c r="J157" s="15" t="n"/>
      <c r="K157" s="15">
        <f>IF(A157="","",IFERROR(AVERAGEIF('Data - Task Tracker'!B:B,A157,'Data - Task Tracker'!L:L),0))</f>
        <v/>
      </c>
      <c r="L157" s="15" t="n"/>
      <c r="M157" s="15" t="n"/>
      <c r="N157" s="15" t="n"/>
    </row>
    <row r="158">
      <c r="A158" s="15" t="n"/>
      <c r="B158" s="15" t="n"/>
      <c r="C158" s="15" t="n"/>
      <c r="D158" s="15" t="n"/>
      <c r="E158" s="16" t="n"/>
      <c r="F158" s="16" t="n"/>
      <c r="G158" s="16" t="n"/>
      <c r="H158" s="16" t="n"/>
      <c r="I158" s="15" t="n"/>
      <c r="J158" s="15" t="n"/>
      <c r="K158" s="15">
        <f>IF(A158="","",IFERROR(AVERAGEIF('Data - Task Tracker'!B:B,A158,'Data - Task Tracker'!L:L),0))</f>
        <v/>
      </c>
      <c r="L158" s="15" t="n"/>
      <c r="M158" s="15" t="n"/>
      <c r="N158" s="15" t="n"/>
    </row>
    <row r="159">
      <c r="A159" s="15" t="n"/>
      <c r="B159" s="15" t="n"/>
      <c r="C159" s="15" t="n"/>
      <c r="D159" s="15" t="n"/>
      <c r="E159" s="16" t="n"/>
      <c r="F159" s="16" t="n"/>
      <c r="G159" s="16" t="n"/>
      <c r="H159" s="16" t="n"/>
      <c r="I159" s="15" t="n"/>
      <c r="J159" s="15" t="n"/>
      <c r="K159" s="15">
        <f>IF(A159="","",IFERROR(AVERAGEIF('Data - Task Tracker'!B:B,A159,'Data - Task Tracker'!L:L),0))</f>
        <v/>
      </c>
      <c r="L159" s="15" t="n"/>
      <c r="M159" s="15" t="n"/>
      <c r="N159" s="15" t="n"/>
    </row>
    <row r="160">
      <c r="A160" s="15" t="n"/>
      <c r="B160" s="15" t="n"/>
      <c r="C160" s="15" t="n"/>
      <c r="D160" s="15" t="n"/>
      <c r="E160" s="16" t="n"/>
      <c r="F160" s="16" t="n"/>
      <c r="G160" s="16" t="n"/>
      <c r="H160" s="16" t="n"/>
      <c r="I160" s="15" t="n"/>
      <c r="J160" s="15" t="n"/>
      <c r="K160" s="15">
        <f>IF(A160="","",IFERROR(AVERAGEIF('Data - Task Tracker'!B:B,A160,'Data - Task Tracker'!L:L),0))</f>
        <v/>
      </c>
      <c r="L160" s="15" t="n"/>
      <c r="M160" s="15" t="n"/>
      <c r="N160" s="15" t="n"/>
    </row>
    <row r="161">
      <c r="A161" s="15" t="n"/>
      <c r="B161" s="15" t="n"/>
      <c r="C161" s="15" t="n"/>
      <c r="D161" s="15" t="n"/>
      <c r="E161" s="16" t="n"/>
      <c r="F161" s="16" t="n"/>
      <c r="G161" s="16" t="n"/>
      <c r="H161" s="16" t="n"/>
      <c r="I161" s="15" t="n"/>
      <c r="J161" s="15" t="n"/>
      <c r="K161" s="15">
        <f>IF(A161="","",IFERROR(AVERAGEIF('Data - Task Tracker'!B:B,A161,'Data - Task Tracker'!L:L),0))</f>
        <v/>
      </c>
      <c r="L161" s="15" t="n"/>
      <c r="M161" s="15" t="n"/>
      <c r="N161" s="15" t="n"/>
    </row>
    <row r="162">
      <c r="A162" s="15" t="n"/>
      <c r="B162" s="15" t="n"/>
      <c r="C162" s="15" t="n"/>
      <c r="D162" s="15" t="n"/>
      <c r="E162" s="16" t="n"/>
      <c r="F162" s="16" t="n"/>
      <c r="G162" s="16" t="n"/>
      <c r="H162" s="16" t="n"/>
      <c r="I162" s="15" t="n"/>
      <c r="J162" s="15" t="n"/>
      <c r="K162" s="15">
        <f>IF(A162="","",IFERROR(AVERAGEIF('Data - Task Tracker'!B:B,A162,'Data - Task Tracker'!L:L),0))</f>
        <v/>
      </c>
      <c r="L162" s="15" t="n"/>
      <c r="M162" s="15" t="n"/>
      <c r="N162" s="15" t="n"/>
    </row>
    <row r="163">
      <c r="A163" s="15" t="n"/>
      <c r="B163" s="15" t="n"/>
      <c r="C163" s="15" t="n"/>
      <c r="D163" s="15" t="n"/>
      <c r="E163" s="16" t="n"/>
      <c r="F163" s="16" t="n"/>
      <c r="G163" s="16" t="n"/>
      <c r="H163" s="16" t="n"/>
      <c r="I163" s="15" t="n"/>
      <c r="J163" s="15" t="n"/>
      <c r="K163" s="15">
        <f>IF(A163="","",IFERROR(AVERAGEIF('Data - Task Tracker'!B:B,A163,'Data - Task Tracker'!L:L),0))</f>
        <v/>
      </c>
      <c r="L163" s="15" t="n"/>
      <c r="M163" s="15" t="n"/>
      <c r="N163" s="15" t="n"/>
    </row>
    <row r="164">
      <c r="A164" s="15" t="n"/>
      <c r="B164" s="15" t="n"/>
      <c r="C164" s="15" t="n"/>
      <c r="D164" s="15" t="n"/>
      <c r="E164" s="16" t="n"/>
      <c r="F164" s="16" t="n"/>
      <c r="G164" s="16" t="n"/>
      <c r="H164" s="16" t="n"/>
      <c r="I164" s="15" t="n"/>
      <c r="J164" s="15" t="n"/>
      <c r="K164" s="15">
        <f>IF(A164="","",IFERROR(AVERAGEIF('Data - Task Tracker'!B:B,A164,'Data - Task Tracker'!L:L),0))</f>
        <v/>
      </c>
      <c r="L164" s="15" t="n"/>
      <c r="M164" s="15" t="n"/>
      <c r="N164" s="15" t="n"/>
    </row>
    <row r="165">
      <c r="A165" s="15" t="n"/>
      <c r="B165" s="15" t="n"/>
      <c r="C165" s="15" t="n"/>
      <c r="D165" s="15" t="n"/>
      <c r="E165" s="16" t="n"/>
      <c r="F165" s="16" t="n"/>
      <c r="G165" s="16" t="n"/>
      <c r="H165" s="16" t="n"/>
      <c r="I165" s="15" t="n"/>
      <c r="J165" s="15" t="n"/>
      <c r="K165" s="15">
        <f>IF(A165="","",IFERROR(AVERAGEIF('Data - Task Tracker'!B:B,A165,'Data - Task Tracker'!L:L),0))</f>
        <v/>
      </c>
      <c r="L165" s="15" t="n"/>
      <c r="M165" s="15" t="n"/>
      <c r="N165" s="15" t="n"/>
    </row>
    <row r="166">
      <c r="A166" s="15" t="n"/>
      <c r="B166" s="15" t="n"/>
      <c r="C166" s="15" t="n"/>
      <c r="D166" s="15" t="n"/>
      <c r="E166" s="16" t="n"/>
      <c r="F166" s="16" t="n"/>
      <c r="G166" s="16" t="n"/>
      <c r="H166" s="16" t="n"/>
      <c r="I166" s="15" t="n"/>
      <c r="J166" s="15" t="n"/>
      <c r="K166" s="15">
        <f>IF(A166="","",IFERROR(AVERAGEIF('Data - Task Tracker'!B:B,A166,'Data - Task Tracker'!L:L),0))</f>
        <v/>
      </c>
      <c r="L166" s="15" t="n"/>
      <c r="M166" s="15" t="n"/>
      <c r="N166" s="15" t="n"/>
    </row>
    <row r="167">
      <c r="A167" s="15" t="n"/>
      <c r="B167" s="15" t="n"/>
      <c r="C167" s="15" t="n"/>
      <c r="D167" s="15" t="n"/>
      <c r="E167" s="16" t="n"/>
      <c r="F167" s="16" t="n"/>
      <c r="G167" s="16" t="n"/>
      <c r="H167" s="16" t="n"/>
      <c r="I167" s="15" t="n"/>
      <c r="J167" s="15" t="n"/>
      <c r="K167" s="15">
        <f>IF(A167="","",IFERROR(AVERAGEIF('Data - Task Tracker'!B:B,A167,'Data - Task Tracker'!L:L),0))</f>
        <v/>
      </c>
      <c r="L167" s="15" t="n"/>
      <c r="M167" s="15" t="n"/>
      <c r="N167" s="15" t="n"/>
    </row>
    <row r="168">
      <c r="A168" s="15" t="n"/>
      <c r="B168" s="15" t="n"/>
      <c r="C168" s="15" t="n"/>
      <c r="D168" s="15" t="n"/>
      <c r="E168" s="16" t="n"/>
      <c r="F168" s="16" t="n"/>
      <c r="G168" s="16" t="n"/>
      <c r="H168" s="16" t="n"/>
      <c r="I168" s="15" t="n"/>
      <c r="J168" s="15" t="n"/>
      <c r="K168" s="15">
        <f>IF(A168="","",IFERROR(AVERAGEIF('Data - Task Tracker'!B:B,A168,'Data - Task Tracker'!L:L),0))</f>
        <v/>
      </c>
      <c r="L168" s="15" t="n"/>
      <c r="M168" s="15" t="n"/>
      <c r="N168" s="15" t="n"/>
    </row>
    <row r="169">
      <c r="A169" s="15" t="n"/>
      <c r="B169" s="15" t="n"/>
      <c r="C169" s="15" t="n"/>
      <c r="D169" s="15" t="n"/>
      <c r="E169" s="16" t="n"/>
      <c r="F169" s="16" t="n"/>
      <c r="G169" s="16" t="n"/>
      <c r="H169" s="16" t="n"/>
      <c r="I169" s="15" t="n"/>
      <c r="J169" s="15" t="n"/>
      <c r="K169" s="15">
        <f>IF(A169="","",IFERROR(AVERAGEIF('Data - Task Tracker'!B:B,A169,'Data - Task Tracker'!L:L),0))</f>
        <v/>
      </c>
      <c r="L169" s="15" t="n"/>
      <c r="M169" s="15" t="n"/>
      <c r="N169" s="15" t="n"/>
    </row>
    <row r="170">
      <c r="A170" s="15" t="n"/>
      <c r="B170" s="15" t="n"/>
      <c r="C170" s="15" t="n"/>
      <c r="D170" s="15" t="n"/>
      <c r="E170" s="16" t="n"/>
      <c r="F170" s="16" t="n"/>
      <c r="G170" s="16" t="n"/>
      <c r="H170" s="16" t="n"/>
      <c r="I170" s="15" t="n"/>
      <c r="J170" s="15" t="n"/>
      <c r="K170" s="15">
        <f>IF(A170="","",IFERROR(AVERAGEIF('Data - Task Tracker'!B:B,A170,'Data - Task Tracker'!L:L),0))</f>
        <v/>
      </c>
      <c r="L170" s="15" t="n"/>
      <c r="M170" s="15" t="n"/>
      <c r="N170" s="15" t="n"/>
    </row>
    <row r="171">
      <c r="A171" s="15" t="n"/>
      <c r="B171" s="15" t="n"/>
      <c r="C171" s="15" t="n"/>
      <c r="D171" s="15" t="n"/>
      <c r="E171" s="16" t="n"/>
      <c r="F171" s="16" t="n"/>
      <c r="G171" s="16" t="n"/>
      <c r="H171" s="16" t="n"/>
      <c r="I171" s="15" t="n"/>
      <c r="J171" s="15" t="n"/>
      <c r="K171" s="15">
        <f>IF(A171="","",IFERROR(AVERAGEIF('Data - Task Tracker'!B:B,A171,'Data - Task Tracker'!L:L),0))</f>
        <v/>
      </c>
      <c r="L171" s="15" t="n"/>
      <c r="M171" s="15" t="n"/>
      <c r="N171" s="15" t="n"/>
    </row>
    <row r="172">
      <c r="A172" s="15" t="n"/>
      <c r="B172" s="15" t="n"/>
      <c r="C172" s="15" t="n"/>
      <c r="D172" s="15" t="n"/>
      <c r="E172" s="16" t="n"/>
      <c r="F172" s="16" t="n"/>
      <c r="G172" s="16" t="n"/>
      <c r="H172" s="16" t="n"/>
      <c r="I172" s="15" t="n"/>
      <c r="J172" s="15" t="n"/>
      <c r="K172" s="15">
        <f>IF(A172="","",IFERROR(AVERAGEIF('Data - Task Tracker'!B:B,A172,'Data - Task Tracker'!L:L),0))</f>
        <v/>
      </c>
      <c r="L172" s="15" t="n"/>
      <c r="M172" s="15" t="n"/>
      <c r="N172" s="15" t="n"/>
    </row>
    <row r="173">
      <c r="A173" s="15" t="n"/>
      <c r="B173" s="15" t="n"/>
      <c r="C173" s="15" t="n"/>
      <c r="D173" s="15" t="n"/>
      <c r="E173" s="16" t="n"/>
      <c r="F173" s="16" t="n"/>
      <c r="G173" s="16" t="n"/>
      <c r="H173" s="16" t="n"/>
      <c r="I173" s="15" t="n"/>
      <c r="J173" s="15" t="n"/>
      <c r="K173" s="15">
        <f>IF(A173="","",IFERROR(AVERAGEIF('Data - Task Tracker'!B:B,A173,'Data - Task Tracker'!L:L),0))</f>
        <v/>
      </c>
      <c r="L173" s="15" t="n"/>
      <c r="M173" s="15" t="n"/>
      <c r="N173" s="15" t="n"/>
    </row>
    <row r="174">
      <c r="A174" s="15" t="n"/>
      <c r="B174" s="15" t="n"/>
      <c r="C174" s="15" t="n"/>
      <c r="D174" s="15" t="n"/>
      <c r="E174" s="16" t="n"/>
      <c r="F174" s="16" t="n"/>
      <c r="G174" s="16" t="n"/>
      <c r="H174" s="16" t="n"/>
      <c r="I174" s="15" t="n"/>
      <c r="J174" s="15" t="n"/>
      <c r="K174" s="15">
        <f>IF(A174="","",IFERROR(AVERAGEIF('Data - Task Tracker'!B:B,A174,'Data - Task Tracker'!L:L),0))</f>
        <v/>
      </c>
      <c r="L174" s="15" t="n"/>
      <c r="M174" s="15" t="n"/>
      <c r="N174" s="15" t="n"/>
    </row>
    <row r="175">
      <c r="A175" s="15" t="n"/>
      <c r="B175" s="15" t="n"/>
      <c r="C175" s="15" t="n"/>
      <c r="D175" s="15" t="n"/>
      <c r="E175" s="16" t="n"/>
      <c r="F175" s="16" t="n"/>
      <c r="G175" s="16" t="n"/>
      <c r="H175" s="16" t="n"/>
      <c r="I175" s="15" t="n"/>
      <c r="J175" s="15" t="n"/>
      <c r="K175" s="15">
        <f>IF(A175="","",IFERROR(AVERAGEIF('Data - Task Tracker'!B:B,A175,'Data - Task Tracker'!L:L),0))</f>
        <v/>
      </c>
      <c r="L175" s="15" t="n"/>
      <c r="M175" s="15" t="n"/>
      <c r="N175" s="15" t="n"/>
    </row>
    <row r="176">
      <c r="A176" s="15" t="n"/>
      <c r="B176" s="15" t="n"/>
      <c r="C176" s="15" t="n"/>
      <c r="D176" s="15" t="n"/>
      <c r="E176" s="16" t="n"/>
      <c r="F176" s="16" t="n"/>
      <c r="G176" s="16" t="n"/>
      <c r="H176" s="16" t="n"/>
      <c r="I176" s="15" t="n"/>
      <c r="J176" s="15" t="n"/>
      <c r="K176" s="15">
        <f>IF(A176="","",IFERROR(AVERAGEIF('Data - Task Tracker'!B:B,A176,'Data - Task Tracker'!L:L),0))</f>
        <v/>
      </c>
      <c r="L176" s="15" t="n"/>
      <c r="M176" s="15" t="n"/>
      <c r="N176" s="15" t="n"/>
    </row>
    <row r="177">
      <c r="A177" s="15" t="n"/>
      <c r="B177" s="15" t="n"/>
      <c r="C177" s="15" t="n"/>
      <c r="D177" s="15" t="n"/>
      <c r="E177" s="16" t="n"/>
      <c r="F177" s="16" t="n"/>
      <c r="G177" s="16" t="n"/>
      <c r="H177" s="16" t="n"/>
      <c r="I177" s="15" t="n"/>
      <c r="J177" s="15" t="n"/>
      <c r="K177" s="15">
        <f>IF(A177="","",IFERROR(AVERAGEIF('Data - Task Tracker'!B:B,A177,'Data - Task Tracker'!L:L),0))</f>
        <v/>
      </c>
      <c r="L177" s="15" t="n"/>
      <c r="M177" s="15" t="n"/>
      <c r="N177" s="15" t="n"/>
    </row>
    <row r="178">
      <c r="A178" s="15" t="n"/>
      <c r="B178" s="15" t="n"/>
      <c r="C178" s="15" t="n"/>
      <c r="D178" s="15" t="n"/>
      <c r="E178" s="16" t="n"/>
      <c r="F178" s="16" t="n"/>
      <c r="G178" s="16" t="n"/>
      <c r="H178" s="16" t="n"/>
      <c r="I178" s="15" t="n"/>
      <c r="J178" s="15" t="n"/>
      <c r="K178" s="15">
        <f>IF(A178="","",IFERROR(AVERAGEIF('Data - Task Tracker'!B:B,A178,'Data - Task Tracker'!L:L),0))</f>
        <v/>
      </c>
      <c r="L178" s="15" t="n"/>
      <c r="M178" s="15" t="n"/>
      <c r="N178" s="15" t="n"/>
    </row>
    <row r="179">
      <c r="A179" s="15" t="n"/>
      <c r="B179" s="15" t="n"/>
      <c r="C179" s="15" t="n"/>
      <c r="D179" s="15" t="n"/>
      <c r="E179" s="16" t="n"/>
      <c r="F179" s="16" t="n"/>
      <c r="G179" s="16" t="n"/>
      <c r="H179" s="16" t="n"/>
      <c r="I179" s="15" t="n"/>
      <c r="J179" s="15" t="n"/>
      <c r="K179" s="15">
        <f>IF(A179="","",IFERROR(AVERAGEIF('Data - Task Tracker'!B:B,A179,'Data - Task Tracker'!L:L),0))</f>
        <v/>
      </c>
      <c r="L179" s="15" t="n"/>
      <c r="M179" s="15" t="n"/>
      <c r="N179" s="15" t="n"/>
    </row>
    <row r="180">
      <c r="A180" s="15" t="n"/>
      <c r="B180" s="15" t="n"/>
      <c r="C180" s="15" t="n"/>
      <c r="D180" s="15" t="n"/>
      <c r="E180" s="16" t="n"/>
      <c r="F180" s="16" t="n"/>
      <c r="G180" s="16" t="n"/>
      <c r="H180" s="16" t="n"/>
      <c r="I180" s="15" t="n"/>
      <c r="J180" s="15" t="n"/>
      <c r="K180" s="15">
        <f>IF(A180="","",IFERROR(AVERAGEIF('Data - Task Tracker'!B:B,A180,'Data - Task Tracker'!L:L),0))</f>
        <v/>
      </c>
      <c r="L180" s="15" t="n"/>
      <c r="M180" s="15" t="n"/>
      <c r="N180" s="15" t="n"/>
    </row>
    <row r="181">
      <c r="A181" s="15" t="n"/>
      <c r="B181" s="15" t="n"/>
      <c r="C181" s="15" t="n"/>
      <c r="D181" s="15" t="n"/>
      <c r="E181" s="16" t="n"/>
      <c r="F181" s="16" t="n"/>
      <c r="G181" s="16" t="n"/>
      <c r="H181" s="16" t="n"/>
      <c r="I181" s="15" t="n"/>
      <c r="J181" s="15" t="n"/>
      <c r="K181" s="15">
        <f>IF(A181="","",IFERROR(AVERAGEIF('Data - Task Tracker'!B:B,A181,'Data - Task Tracker'!L:L),0))</f>
        <v/>
      </c>
      <c r="L181" s="15" t="n"/>
      <c r="M181" s="15" t="n"/>
      <c r="N181" s="15" t="n"/>
    </row>
    <row r="182">
      <c r="A182" s="15" t="n"/>
      <c r="B182" s="15" t="n"/>
      <c r="C182" s="15" t="n"/>
      <c r="D182" s="15" t="n"/>
      <c r="E182" s="16" t="n"/>
      <c r="F182" s="16" t="n"/>
      <c r="G182" s="16" t="n"/>
      <c r="H182" s="16" t="n"/>
      <c r="I182" s="15" t="n"/>
      <c r="J182" s="15" t="n"/>
      <c r="K182" s="15">
        <f>IF(A182="","",IFERROR(AVERAGEIF('Data - Task Tracker'!B:B,A182,'Data - Task Tracker'!L:L),0))</f>
        <v/>
      </c>
      <c r="L182" s="15" t="n"/>
      <c r="M182" s="15" t="n"/>
      <c r="N182" s="15" t="n"/>
    </row>
    <row r="183">
      <c r="A183" s="15" t="n"/>
      <c r="B183" s="15" t="n"/>
      <c r="C183" s="15" t="n"/>
      <c r="D183" s="15" t="n"/>
      <c r="E183" s="16" t="n"/>
      <c r="F183" s="16" t="n"/>
      <c r="G183" s="16" t="n"/>
      <c r="H183" s="16" t="n"/>
      <c r="I183" s="15" t="n"/>
      <c r="J183" s="15" t="n"/>
      <c r="K183" s="15">
        <f>IF(A183="","",IFERROR(AVERAGEIF('Data - Task Tracker'!B:B,A183,'Data - Task Tracker'!L:L),0))</f>
        <v/>
      </c>
      <c r="L183" s="15" t="n"/>
      <c r="M183" s="15" t="n"/>
      <c r="N183" s="15" t="n"/>
    </row>
    <row r="184">
      <c r="A184" s="15" t="n"/>
      <c r="B184" s="15" t="n"/>
      <c r="C184" s="15" t="n"/>
      <c r="D184" s="15" t="n"/>
      <c r="E184" s="16" t="n"/>
      <c r="F184" s="16" t="n"/>
      <c r="G184" s="16" t="n"/>
      <c r="H184" s="16" t="n"/>
      <c r="I184" s="15" t="n"/>
      <c r="J184" s="15" t="n"/>
      <c r="K184" s="15">
        <f>IF(A184="","",IFERROR(AVERAGEIF('Data - Task Tracker'!B:B,A184,'Data - Task Tracker'!L:L),0))</f>
        <v/>
      </c>
      <c r="L184" s="15" t="n"/>
      <c r="M184" s="15" t="n"/>
      <c r="N184" s="15" t="n"/>
    </row>
    <row r="185">
      <c r="A185" s="15" t="n"/>
      <c r="B185" s="15" t="n"/>
      <c r="C185" s="15" t="n"/>
      <c r="D185" s="15" t="n"/>
      <c r="E185" s="16" t="n"/>
      <c r="F185" s="16" t="n"/>
      <c r="G185" s="16" t="n"/>
      <c r="H185" s="16" t="n"/>
      <c r="I185" s="15" t="n"/>
      <c r="J185" s="15" t="n"/>
      <c r="K185" s="15">
        <f>IF(A185="","",IFERROR(AVERAGEIF('Data - Task Tracker'!B:B,A185,'Data - Task Tracker'!L:L),0))</f>
        <v/>
      </c>
      <c r="L185" s="15" t="n"/>
      <c r="M185" s="15" t="n"/>
      <c r="N185" s="15" t="n"/>
    </row>
    <row r="186">
      <c r="A186" s="15" t="n"/>
      <c r="B186" s="15" t="n"/>
      <c r="C186" s="15" t="n"/>
      <c r="D186" s="15" t="n"/>
      <c r="E186" s="16" t="n"/>
      <c r="F186" s="16" t="n"/>
      <c r="G186" s="16" t="n"/>
      <c r="H186" s="16" t="n"/>
      <c r="I186" s="15" t="n"/>
      <c r="J186" s="15" t="n"/>
      <c r="K186" s="15">
        <f>IF(A186="","",IFERROR(AVERAGEIF('Data - Task Tracker'!B:B,A186,'Data - Task Tracker'!L:L),0))</f>
        <v/>
      </c>
      <c r="L186" s="15" t="n"/>
      <c r="M186" s="15" t="n"/>
      <c r="N186" s="15" t="n"/>
    </row>
    <row r="187">
      <c r="A187" s="15" t="n"/>
      <c r="B187" s="15" t="n"/>
      <c r="C187" s="15" t="n"/>
      <c r="D187" s="15" t="n"/>
      <c r="E187" s="16" t="n"/>
      <c r="F187" s="16" t="n"/>
      <c r="G187" s="16" t="n"/>
      <c r="H187" s="16" t="n"/>
      <c r="I187" s="15" t="n"/>
      <c r="J187" s="15" t="n"/>
      <c r="K187" s="15">
        <f>IF(A187="","",IFERROR(AVERAGEIF('Data - Task Tracker'!B:B,A187,'Data - Task Tracker'!L:L),0))</f>
        <v/>
      </c>
      <c r="L187" s="15" t="n"/>
      <c r="M187" s="15" t="n"/>
      <c r="N187" s="15" t="n"/>
    </row>
    <row r="188">
      <c r="A188" s="15" t="n"/>
      <c r="B188" s="15" t="n"/>
      <c r="C188" s="15" t="n"/>
      <c r="D188" s="15" t="n"/>
      <c r="E188" s="16" t="n"/>
      <c r="F188" s="16" t="n"/>
      <c r="G188" s="16" t="n"/>
      <c r="H188" s="16" t="n"/>
      <c r="I188" s="15" t="n"/>
      <c r="J188" s="15" t="n"/>
      <c r="K188" s="15">
        <f>IF(A188="","",IFERROR(AVERAGEIF('Data - Task Tracker'!B:B,A188,'Data - Task Tracker'!L:L),0))</f>
        <v/>
      </c>
      <c r="L188" s="15" t="n"/>
      <c r="M188" s="15" t="n"/>
      <c r="N188" s="15" t="n"/>
    </row>
    <row r="189">
      <c r="A189" s="15" t="n"/>
      <c r="B189" s="15" t="n"/>
      <c r="C189" s="15" t="n"/>
      <c r="D189" s="15" t="n"/>
      <c r="E189" s="16" t="n"/>
      <c r="F189" s="16" t="n"/>
      <c r="G189" s="16" t="n"/>
      <c r="H189" s="16" t="n"/>
      <c r="I189" s="15" t="n"/>
      <c r="J189" s="15" t="n"/>
      <c r="K189" s="15">
        <f>IF(A189="","",IFERROR(AVERAGEIF('Data - Task Tracker'!B:B,A189,'Data - Task Tracker'!L:L),0))</f>
        <v/>
      </c>
      <c r="L189" s="15" t="n"/>
      <c r="M189" s="15" t="n"/>
      <c r="N189" s="15" t="n"/>
    </row>
    <row r="190">
      <c r="A190" s="15" t="n"/>
      <c r="B190" s="15" t="n"/>
      <c r="C190" s="15" t="n"/>
      <c r="D190" s="15" t="n"/>
      <c r="E190" s="16" t="n"/>
      <c r="F190" s="16" t="n"/>
      <c r="G190" s="16" t="n"/>
      <c r="H190" s="16" t="n"/>
      <c r="I190" s="15" t="n"/>
      <c r="J190" s="15" t="n"/>
      <c r="K190" s="15">
        <f>IF(A190="","",IFERROR(AVERAGEIF('Data - Task Tracker'!B:B,A190,'Data - Task Tracker'!L:L),0))</f>
        <v/>
      </c>
      <c r="L190" s="15" t="n"/>
      <c r="M190" s="15" t="n"/>
      <c r="N190" s="15" t="n"/>
    </row>
    <row r="191">
      <c r="A191" s="15" t="n"/>
      <c r="B191" s="15" t="n"/>
      <c r="C191" s="15" t="n"/>
      <c r="D191" s="15" t="n"/>
      <c r="E191" s="16" t="n"/>
      <c r="F191" s="16" t="n"/>
      <c r="G191" s="16" t="n"/>
      <c r="H191" s="16" t="n"/>
      <c r="I191" s="15" t="n"/>
      <c r="J191" s="15" t="n"/>
      <c r="K191" s="15">
        <f>IF(A191="","",IFERROR(AVERAGEIF('Data - Task Tracker'!B:B,A191,'Data - Task Tracker'!L:L),0))</f>
        <v/>
      </c>
      <c r="L191" s="15" t="n"/>
      <c r="M191" s="15" t="n"/>
      <c r="N191" s="15" t="n"/>
    </row>
    <row r="192">
      <c r="A192" s="15" t="n"/>
      <c r="B192" s="15" t="n"/>
      <c r="C192" s="15" t="n"/>
      <c r="D192" s="15" t="n"/>
      <c r="E192" s="16" t="n"/>
      <c r="F192" s="16" t="n"/>
      <c r="G192" s="16" t="n"/>
      <c r="H192" s="16" t="n"/>
      <c r="I192" s="15" t="n"/>
      <c r="J192" s="15" t="n"/>
      <c r="K192" s="15">
        <f>IF(A192="","",IFERROR(AVERAGEIF('Data - Task Tracker'!B:B,A192,'Data - Task Tracker'!L:L),0))</f>
        <v/>
      </c>
      <c r="L192" s="15" t="n"/>
      <c r="M192" s="15" t="n"/>
      <c r="N192" s="15" t="n"/>
    </row>
    <row r="193">
      <c r="A193" s="15" t="n"/>
      <c r="B193" s="15" t="n"/>
      <c r="C193" s="15" t="n"/>
      <c r="D193" s="15" t="n"/>
      <c r="E193" s="16" t="n"/>
      <c r="F193" s="16" t="n"/>
      <c r="G193" s="16" t="n"/>
      <c r="H193" s="16" t="n"/>
      <c r="I193" s="15" t="n"/>
      <c r="J193" s="15" t="n"/>
      <c r="K193" s="15">
        <f>IF(A193="","",IFERROR(AVERAGEIF('Data - Task Tracker'!B:B,A193,'Data - Task Tracker'!L:L),0))</f>
        <v/>
      </c>
      <c r="L193" s="15" t="n"/>
      <c r="M193" s="15" t="n"/>
      <c r="N193" s="15" t="n"/>
    </row>
    <row r="194">
      <c r="A194" s="15" t="n"/>
      <c r="B194" s="15" t="n"/>
      <c r="C194" s="15" t="n"/>
      <c r="D194" s="15" t="n"/>
      <c r="E194" s="16" t="n"/>
      <c r="F194" s="16" t="n"/>
      <c r="G194" s="16" t="n"/>
      <c r="H194" s="16" t="n"/>
      <c r="I194" s="15" t="n"/>
      <c r="J194" s="15" t="n"/>
      <c r="K194" s="15">
        <f>IF(A194="","",IFERROR(AVERAGEIF('Data - Task Tracker'!B:B,A194,'Data - Task Tracker'!L:L),0))</f>
        <v/>
      </c>
      <c r="L194" s="15" t="n"/>
      <c r="M194" s="15" t="n"/>
      <c r="N194" s="15" t="n"/>
    </row>
    <row r="195">
      <c r="A195" s="15" t="n"/>
      <c r="B195" s="15" t="n"/>
      <c r="C195" s="15" t="n"/>
      <c r="D195" s="15" t="n"/>
      <c r="E195" s="16" t="n"/>
      <c r="F195" s="16" t="n"/>
      <c r="G195" s="16" t="n"/>
      <c r="H195" s="16" t="n"/>
      <c r="I195" s="15" t="n"/>
      <c r="J195" s="15" t="n"/>
      <c r="K195" s="15">
        <f>IF(A195="","",IFERROR(AVERAGEIF('Data - Task Tracker'!B:B,A195,'Data - Task Tracker'!L:L),0))</f>
        <v/>
      </c>
      <c r="L195" s="15" t="n"/>
      <c r="M195" s="15" t="n"/>
      <c r="N195" s="15" t="n"/>
    </row>
    <row r="196">
      <c r="A196" s="15" t="n"/>
      <c r="B196" s="15" t="n"/>
      <c r="C196" s="15" t="n"/>
      <c r="D196" s="15" t="n"/>
      <c r="E196" s="16" t="n"/>
      <c r="F196" s="16" t="n"/>
      <c r="G196" s="16" t="n"/>
      <c r="H196" s="16" t="n"/>
      <c r="I196" s="15" t="n"/>
      <c r="J196" s="15" t="n"/>
      <c r="K196" s="15">
        <f>IF(A196="","",IFERROR(AVERAGEIF('Data - Task Tracker'!B:B,A196,'Data - Task Tracker'!L:L),0))</f>
        <v/>
      </c>
      <c r="L196" s="15" t="n"/>
      <c r="M196" s="15" t="n"/>
      <c r="N196" s="15" t="n"/>
    </row>
    <row r="197">
      <c r="A197" s="15" t="n"/>
      <c r="B197" s="15" t="n"/>
      <c r="C197" s="15" t="n"/>
      <c r="D197" s="15" t="n"/>
      <c r="E197" s="16" t="n"/>
      <c r="F197" s="16" t="n"/>
      <c r="G197" s="16" t="n"/>
      <c r="H197" s="16" t="n"/>
      <c r="I197" s="15" t="n"/>
      <c r="J197" s="15" t="n"/>
      <c r="K197" s="15">
        <f>IF(A197="","",IFERROR(AVERAGEIF('Data - Task Tracker'!B:B,A197,'Data - Task Tracker'!L:L),0))</f>
        <v/>
      </c>
      <c r="L197" s="15" t="n"/>
      <c r="M197" s="15" t="n"/>
      <c r="N197" s="15" t="n"/>
    </row>
    <row r="198">
      <c r="A198" s="15" t="n"/>
      <c r="B198" s="15" t="n"/>
      <c r="C198" s="15" t="n"/>
      <c r="D198" s="15" t="n"/>
      <c r="E198" s="16" t="n"/>
      <c r="F198" s="16" t="n"/>
      <c r="G198" s="16" t="n"/>
      <c r="H198" s="16" t="n"/>
      <c r="I198" s="15" t="n"/>
      <c r="J198" s="15" t="n"/>
      <c r="K198" s="15">
        <f>IF(A198="","",IFERROR(AVERAGEIF('Data - Task Tracker'!B:B,A198,'Data - Task Tracker'!L:L),0))</f>
        <v/>
      </c>
      <c r="L198" s="15" t="n"/>
      <c r="M198" s="15" t="n"/>
      <c r="N198" s="15" t="n"/>
    </row>
    <row r="199">
      <c r="A199" s="15" t="n"/>
      <c r="B199" s="15" t="n"/>
      <c r="C199" s="15" t="n"/>
      <c r="D199" s="15" t="n"/>
      <c r="E199" s="16" t="n"/>
      <c r="F199" s="16" t="n"/>
      <c r="G199" s="16" t="n"/>
      <c r="H199" s="16" t="n"/>
      <c r="I199" s="15" t="n"/>
      <c r="J199" s="15" t="n"/>
      <c r="K199" s="15">
        <f>IF(A199="","",IFERROR(AVERAGEIF('Data - Task Tracker'!B:B,A199,'Data - Task Tracker'!L:L),0))</f>
        <v/>
      </c>
      <c r="L199" s="15" t="n"/>
      <c r="M199" s="15" t="n"/>
      <c r="N199" s="15" t="n"/>
    </row>
    <row r="200">
      <c r="A200" s="15" t="n"/>
      <c r="B200" s="15" t="n"/>
      <c r="C200" s="15" t="n"/>
      <c r="D200" s="15" t="n"/>
      <c r="E200" s="16" t="n"/>
      <c r="F200" s="16" t="n"/>
      <c r="G200" s="16" t="n"/>
      <c r="H200" s="16" t="n"/>
      <c r="I200" s="15" t="n"/>
      <c r="J200" s="15" t="n"/>
      <c r="K200" s="15">
        <f>IF(A200="","",IFERROR(AVERAGEIF('Data - Task Tracker'!B:B,A200,'Data - Task Tracker'!L:L),0))</f>
        <v/>
      </c>
      <c r="L200" s="15" t="n"/>
      <c r="M200" s="15" t="n"/>
      <c r="N200" s="15" t="n"/>
    </row>
    <row r="201">
      <c r="A201" s="15" t="n"/>
      <c r="B201" s="15" t="n"/>
      <c r="C201" s="15" t="n"/>
      <c r="D201" s="15" t="n"/>
      <c r="E201" s="16" t="n"/>
      <c r="F201" s="16" t="n"/>
      <c r="G201" s="16" t="n"/>
      <c r="H201" s="16" t="n"/>
      <c r="I201" s="15" t="n"/>
      <c r="J201" s="15" t="n"/>
      <c r="K201" s="15">
        <f>IF(A201="","",IFERROR(AVERAGEIF('Data - Task Tracker'!B:B,A201,'Data - Task Tracker'!L:L),0))</f>
        <v/>
      </c>
      <c r="L201" s="15" t="n"/>
      <c r="M201" s="15" t="n"/>
      <c r="N201" s="15" t="n"/>
    </row>
    <row r="202">
      <c r="A202" s="15" t="n"/>
      <c r="B202" s="15" t="n"/>
      <c r="C202" s="15" t="n"/>
      <c r="D202" s="15" t="n"/>
      <c r="E202" s="16" t="n"/>
      <c r="F202" s="16" t="n"/>
      <c r="G202" s="16" t="n"/>
      <c r="H202" s="16" t="n"/>
      <c r="I202" s="15" t="n"/>
      <c r="J202" s="15" t="n"/>
      <c r="K202" s="15">
        <f>IF(A202="","",IFERROR(AVERAGEIF('Data - Task Tracker'!B:B,A202,'Data - Task Tracker'!L:L),0))</f>
        <v/>
      </c>
      <c r="L202" s="15" t="n"/>
      <c r="M202" s="15" t="n"/>
      <c r="N202" s="15" t="n"/>
    </row>
    <row r="203">
      <c r="A203" s="15" t="n"/>
      <c r="B203" s="15" t="n"/>
      <c r="C203" s="15" t="n"/>
      <c r="D203" s="15" t="n"/>
      <c r="E203" s="16" t="n"/>
      <c r="F203" s="16" t="n"/>
      <c r="G203" s="16" t="n"/>
      <c r="H203" s="16" t="n"/>
      <c r="I203" s="15" t="n"/>
      <c r="J203" s="15" t="n"/>
      <c r="K203" s="15">
        <f>IF(A203="","",IFERROR(AVERAGEIF('Data - Task Tracker'!B:B,A203,'Data - Task Tracker'!L:L),0))</f>
        <v/>
      </c>
      <c r="L203" s="15" t="n"/>
      <c r="M203" s="15" t="n"/>
      <c r="N203" s="15" t="n"/>
    </row>
    <row r="204">
      <c r="A204" s="15" t="n"/>
      <c r="B204" s="15" t="n"/>
      <c r="C204" s="15" t="n"/>
      <c r="D204" s="15" t="n"/>
      <c r="E204" s="16" t="n"/>
      <c r="F204" s="16" t="n"/>
      <c r="G204" s="16" t="n"/>
      <c r="H204" s="16" t="n"/>
      <c r="I204" s="15" t="n"/>
      <c r="J204" s="15" t="n"/>
      <c r="K204" s="15">
        <f>IF(A204="","",IFERROR(AVERAGEIF('Data - Task Tracker'!B:B,A204,'Data - Task Tracker'!L:L),0))</f>
        <v/>
      </c>
      <c r="L204" s="15" t="n"/>
      <c r="M204" s="15" t="n"/>
      <c r="N204" s="15" t="n"/>
    </row>
    <row r="205">
      <c r="A205" s="15" t="n"/>
      <c r="B205" s="15" t="n"/>
      <c r="C205" s="15" t="n"/>
      <c r="D205" s="15" t="n"/>
      <c r="E205" s="16" t="n"/>
      <c r="F205" s="16" t="n"/>
      <c r="G205" s="16" t="n"/>
      <c r="H205" s="16" t="n"/>
      <c r="I205" s="15" t="n"/>
      <c r="J205" s="15" t="n"/>
      <c r="K205" s="15">
        <f>IF(A205="","",IFERROR(AVERAGEIF('Data - Task Tracker'!B:B,A205,'Data - Task Tracker'!L:L),0))</f>
        <v/>
      </c>
      <c r="L205" s="15" t="n"/>
      <c r="M205" s="15" t="n"/>
      <c r="N205" s="15" t="n"/>
    </row>
    <row r="206">
      <c r="A206" s="15" t="n"/>
      <c r="B206" s="15" t="n"/>
      <c r="C206" s="15" t="n"/>
      <c r="D206" s="15" t="n"/>
      <c r="E206" s="16" t="n"/>
      <c r="F206" s="16" t="n"/>
      <c r="G206" s="16" t="n"/>
      <c r="H206" s="16" t="n"/>
      <c r="I206" s="15" t="n"/>
      <c r="J206" s="15" t="n"/>
      <c r="K206" s="15">
        <f>IF(A206="","",IFERROR(AVERAGEIF('Data - Task Tracker'!B:B,A206,'Data - Task Tracker'!L:L),0))</f>
        <v/>
      </c>
      <c r="L206" s="15" t="n"/>
      <c r="M206" s="15" t="n"/>
      <c r="N206" s="15" t="n"/>
    </row>
    <row r="207">
      <c r="A207" s="15" t="n"/>
      <c r="B207" s="15" t="n"/>
      <c r="C207" s="15" t="n"/>
      <c r="D207" s="15" t="n"/>
      <c r="E207" s="16" t="n"/>
      <c r="F207" s="16" t="n"/>
      <c r="G207" s="16" t="n"/>
      <c r="H207" s="16" t="n"/>
      <c r="I207" s="15" t="n"/>
      <c r="J207" s="15" t="n"/>
      <c r="K207" s="15">
        <f>IF(A207="","",IFERROR(AVERAGEIF('Data - Task Tracker'!B:B,A207,'Data - Task Tracker'!L:L),0))</f>
        <v/>
      </c>
      <c r="L207" s="15" t="n"/>
      <c r="M207" s="15" t="n"/>
      <c r="N207" s="15" t="n"/>
    </row>
    <row r="208">
      <c r="A208" s="15" t="n"/>
      <c r="B208" s="15" t="n"/>
      <c r="C208" s="15" t="n"/>
      <c r="D208" s="15" t="n"/>
      <c r="E208" s="16" t="n"/>
      <c r="F208" s="16" t="n"/>
      <c r="G208" s="16" t="n"/>
      <c r="H208" s="16" t="n"/>
      <c r="I208" s="15" t="n"/>
      <c r="J208" s="15" t="n"/>
      <c r="K208" s="15">
        <f>IF(A208="","",IFERROR(AVERAGEIF('Data - Task Tracker'!B:B,A208,'Data - Task Tracker'!L:L),0))</f>
        <v/>
      </c>
      <c r="L208" s="15" t="n"/>
      <c r="M208" s="15" t="n"/>
      <c r="N208" s="15" t="n"/>
    </row>
    <row r="209">
      <c r="A209" s="15" t="n"/>
      <c r="B209" s="15" t="n"/>
      <c r="C209" s="15" t="n"/>
      <c r="D209" s="15" t="n"/>
      <c r="E209" s="16" t="n"/>
      <c r="F209" s="16" t="n"/>
      <c r="G209" s="16" t="n"/>
      <c r="H209" s="16" t="n"/>
      <c r="I209" s="15" t="n"/>
      <c r="J209" s="15" t="n"/>
      <c r="K209" s="15">
        <f>IF(A209="","",IFERROR(AVERAGEIF('Data - Task Tracker'!B:B,A209,'Data - Task Tracker'!L:L),0))</f>
        <v/>
      </c>
      <c r="L209" s="15" t="n"/>
      <c r="M209" s="15" t="n"/>
      <c r="N209" s="15" t="n"/>
    </row>
    <row r="210">
      <c r="A210" s="15" t="n"/>
      <c r="B210" s="15" t="n"/>
      <c r="C210" s="15" t="n"/>
      <c r="D210" s="15" t="n"/>
      <c r="E210" s="16" t="n"/>
      <c r="F210" s="16" t="n"/>
      <c r="G210" s="16" t="n"/>
      <c r="H210" s="16" t="n"/>
      <c r="I210" s="15" t="n"/>
      <c r="J210" s="15" t="n"/>
      <c r="K210" s="15">
        <f>IF(A210="","",IFERROR(AVERAGEIF('Data - Task Tracker'!B:B,A210,'Data - Task Tracker'!L:L),0))</f>
        <v/>
      </c>
      <c r="L210" s="15" t="n"/>
      <c r="M210" s="15" t="n"/>
      <c r="N210" s="15" t="n"/>
    </row>
    <row r="211">
      <c r="A211" s="15" t="n"/>
      <c r="B211" s="15" t="n"/>
      <c r="C211" s="15" t="n"/>
      <c r="D211" s="15" t="n"/>
      <c r="E211" s="16" t="n"/>
      <c r="F211" s="16" t="n"/>
      <c r="G211" s="16" t="n"/>
      <c r="H211" s="16" t="n"/>
      <c r="I211" s="15" t="n"/>
      <c r="J211" s="15" t="n"/>
      <c r="K211" s="15">
        <f>IF(A211="","",IFERROR(AVERAGEIF('Data - Task Tracker'!B:B,A211,'Data - Task Tracker'!L:L),0))</f>
        <v/>
      </c>
      <c r="L211" s="15" t="n"/>
      <c r="M211" s="15" t="n"/>
      <c r="N211" s="15" t="n"/>
    </row>
    <row r="212">
      <c r="A212" s="15" t="n"/>
      <c r="B212" s="15" t="n"/>
      <c r="C212" s="15" t="n"/>
      <c r="D212" s="15" t="n"/>
      <c r="E212" s="16" t="n"/>
      <c r="F212" s="16" t="n"/>
      <c r="G212" s="16" t="n"/>
      <c r="H212" s="16" t="n"/>
      <c r="I212" s="15" t="n"/>
      <c r="J212" s="15" t="n"/>
      <c r="K212" s="15">
        <f>IF(A212="","",IFERROR(AVERAGEIF('Data - Task Tracker'!B:B,A212,'Data - Task Tracker'!L:L),0))</f>
        <v/>
      </c>
      <c r="L212" s="15" t="n"/>
      <c r="M212" s="15" t="n"/>
      <c r="N212" s="15" t="n"/>
    </row>
    <row r="213">
      <c r="A213" s="15" t="n"/>
      <c r="B213" s="15" t="n"/>
      <c r="C213" s="15" t="n"/>
      <c r="D213" s="15" t="n"/>
      <c r="E213" s="16" t="n"/>
      <c r="F213" s="16" t="n"/>
      <c r="G213" s="16" t="n"/>
      <c r="H213" s="16" t="n"/>
      <c r="I213" s="15" t="n"/>
      <c r="J213" s="15" t="n"/>
      <c r="K213" s="15">
        <f>IF(A213="","",IFERROR(AVERAGEIF('Data - Task Tracker'!B:B,A213,'Data - Task Tracker'!L:L),0))</f>
        <v/>
      </c>
      <c r="L213" s="15" t="n"/>
      <c r="M213" s="15" t="n"/>
      <c r="N213" s="15" t="n"/>
    </row>
    <row r="214">
      <c r="A214" s="15" t="n"/>
      <c r="B214" s="15" t="n"/>
      <c r="C214" s="15" t="n"/>
      <c r="D214" s="15" t="n"/>
      <c r="E214" s="16" t="n"/>
      <c r="F214" s="16" t="n"/>
      <c r="G214" s="16" t="n"/>
      <c r="H214" s="16" t="n"/>
      <c r="I214" s="15" t="n"/>
      <c r="J214" s="15" t="n"/>
      <c r="K214" s="15">
        <f>IF(A214="","",IFERROR(AVERAGEIF('Data - Task Tracker'!B:B,A214,'Data - Task Tracker'!L:L),0))</f>
        <v/>
      </c>
      <c r="L214" s="15" t="n"/>
      <c r="M214" s="15" t="n"/>
      <c r="N214" s="15" t="n"/>
    </row>
    <row r="215">
      <c r="A215" s="15" t="n"/>
      <c r="B215" s="15" t="n"/>
      <c r="C215" s="15" t="n"/>
      <c r="D215" s="15" t="n"/>
      <c r="E215" s="16" t="n"/>
      <c r="F215" s="16" t="n"/>
      <c r="G215" s="16" t="n"/>
      <c r="H215" s="16" t="n"/>
      <c r="I215" s="15" t="n"/>
      <c r="J215" s="15" t="n"/>
      <c r="K215" s="15">
        <f>IF(A215="","",IFERROR(AVERAGEIF('Data - Task Tracker'!B:B,A215,'Data - Task Tracker'!L:L),0))</f>
        <v/>
      </c>
      <c r="L215" s="15" t="n"/>
      <c r="M215" s="15" t="n"/>
      <c r="N215" s="15" t="n"/>
    </row>
    <row r="216">
      <c r="A216" s="15" t="n"/>
      <c r="B216" s="15" t="n"/>
      <c r="C216" s="15" t="n"/>
      <c r="D216" s="15" t="n"/>
      <c r="E216" s="16" t="n"/>
      <c r="F216" s="16" t="n"/>
      <c r="G216" s="16" t="n"/>
      <c r="H216" s="16" t="n"/>
      <c r="I216" s="15" t="n"/>
      <c r="J216" s="15" t="n"/>
      <c r="K216" s="15">
        <f>IF(A216="","",IFERROR(AVERAGEIF('Data - Task Tracker'!B:B,A216,'Data - Task Tracker'!L:L),0))</f>
        <v/>
      </c>
      <c r="L216" s="15" t="n"/>
      <c r="M216" s="15" t="n"/>
      <c r="N216" s="15" t="n"/>
    </row>
    <row r="217">
      <c r="A217" s="15" t="n"/>
      <c r="B217" s="15" t="n"/>
      <c r="C217" s="15" t="n"/>
      <c r="D217" s="15" t="n"/>
      <c r="E217" s="16" t="n"/>
      <c r="F217" s="16" t="n"/>
      <c r="G217" s="16" t="n"/>
      <c r="H217" s="16" t="n"/>
      <c r="I217" s="15" t="n"/>
      <c r="J217" s="15" t="n"/>
      <c r="K217" s="15">
        <f>IF(A217="","",IFERROR(AVERAGEIF('Data - Task Tracker'!B:B,A217,'Data - Task Tracker'!L:L),0))</f>
        <v/>
      </c>
      <c r="L217" s="15" t="n"/>
      <c r="M217" s="15" t="n"/>
      <c r="N217" s="15" t="n"/>
    </row>
    <row r="218">
      <c r="A218" s="15" t="n"/>
      <c r="B218" s="15" t="n"/>
      <c r="C218" s="15" t="n"/>
      <c r="D218" s="15" t="n"/>
      <c r="E218" s="16" t="n"/>
      <c r="F218" s="16" t="n"/>
      <c r="G218" s="16" t="n"/>
      <c r="H218" s="16" t="n"/>
      <c r="I218" s="15" t="n"/>
      <c r="J218" s="15" t="n"/>
      <c r="K218" s="15">
        <f>IF(A218="","",IFERROR(AVERAGEIF('Data - Task Tracker'!B:B,A218,'Data - Task Tracker'!L:L),0))</f>
        <v/>
      </c>
      <c r="L218" s="15" t="n"/>
      <c r="M218" s="15" t="n"/>
      <c r="N218" s="15" t="n"/>
    </row>
    <row r="219">
      <c r="A219" s="15" t="n"/>
      <c r="B219" s="15" t="n"/>
      <c r="C219" s="15" t="n"/>
      <c r="D219" s="15" t="n"/>
      <c r="E219" s="16" t="n"/>
      <c r="F219" s="16" t="n"/>
      <c r="G219" s="16" t="n"/>
      <c r="H219" s="16" t="n"/>
      <c r="I219" s="15" t="n"/>
      <c r="J219" s="15" t="n"/>
      <c r="K219" s="15">
        <f>IF(A219="","",IFERROR(AVERAGEIF('Data - Task Tracker'!B:B,A219,'Data - Task Tracker'!L:L),0))</f>
        <v/>
      </c>
      <c r="L219" s="15" t="n"/>
      <c r="M219" s="15" t="n"/>
      <c r="N219" s="15" t="n"/>
    </row>
    <row r="220">
      <c r="A220" s="15" t="n"/>
      <c r="B220" s="15" t="n"/>
      <c r="C220" s="15" t="n"/>
      <c r="D220" s="15" t="n"/>
      <c r="E220" s="16" t="n"/>
      <c r="F220" s="16" t="n"/>
      <c r="G220" s="16" t="n"/>
      <c r="H220" s="16" t="n"/>
      <c r="I220" s="15" t="n"/>
      <c r="J220" s="15" t="n"/>
      <c r="K220" s="15">
        <f>IF(A220="","",IFERROR(AVERAGEIF('Data - Task Tracker'!B:B,A220,'Data - Task Tracker'!L:L),0))</f>
        <v/>
      </c>
      <c r="L220" s="15" t="n"/>
      <c r="M220" s="15" t="n"/>
      <c r="N220" s="15" t="n"/>
    </row>
    <row r="221">
      <c r="A221" s="15" t="n"/>
      <c r="B221" s="15" t="n"/>
      <c r="C221" s="15" t="n"/>
      <c r="D221" s="15" t="n"/>
      <c r="E221" s="16" t="n"/>
      <c r="F221" s="16" t="n"/>
      <c r="G221" s="16" t="n"/>
      <c r="H221" s="16" t="n"/>
      <c r="I221" s="15" t="n"/>
      <c r="J221" s="15" t="n"/>
      <c r="K221" s="15">
        <f>IF(A221="","",IFERROR(AVERAGEIF('Data - Task Tracker'!B:B,A221,'Data - Task Tracker'!L:L),0))</f>
        <v/>
      </c>
      <c r="L221" s="15" t="n"/>
      <c r="M221" s="15" t="n"/>
      <c r="N221" s="15" t="n"/>
    </row>
    <row r="222">
      <c r="A222" s="15" t="n"/>
      <c r="B222" s="15" t="n"/>
      <c r="C222" s="15" t="n"/>
      <c r="D222" s="15" t="n"/>
      <c r="E222" s="16" t="n"/>
      <c r="F222" s="16" t="n"/>
      <c r="G222" s="16" t="n"/>
      <c r="H222" s="16" t="n"/>
      <c r="I222" s="15" t="n"/>
      <c r="J222" s="15" t="n"/>
      <c r="K222" s="15">
        <f>IF(A222="","",IFERROR(AVERAGEIF('Data - Task Tracker'!B:B,A222,'Data - Task Tracker'!L:L),0))</f>
        <v/>
      </c>
      <c r="L222" s="15" t="n"/>
      <c r="M222" s="15" t="n"/>
      <c r="N222" s="15" t="n"/>
    </row>
    <row r="223">
      <c r="A223" s="15" t="n"/>
      <c r="B223" s="15" t="n"/>
      <c r="C223" s="15" t="n"/>
      <c r="D223" s="15" t="n"/>
      <c r="E223" s="16" t="n"/>
      <c r="F223" s="16" t="n"/>
      <c r="G223" s="16" t="n"/>
      <c r="H223" s="16" t="n"/>
      <c r="I223" s="15" t="n"/>
      <c r="J223" s="15" t="n"/>
      <c r="K223" s="15">
        <f>IF(A223="","",IFERROR(AVERAGEIF('Data - Task Tracker'!B:B,A223,'Data - Task Tracker'!L:L),0))</f>
        <v/>
      </c>
      <c r="L223" s="15" t="n"/>
      <c r="M223" s="15" t="n"/>
      <c r="N223" s="15" t="n"/>
    </row>
    <row r="224">
      <c r="A224" s="15" t="n"/>
      <c r="B224" s="15" t="n"/>
      <c r="C224" s="15" t="n"/>
      <c r="D224" s="15" t="n"/>
      <c r="E224" s="16" t="n"/>
      <c r="F224" s="16" t="n"/>
      <c r="G224" s="16" t="n"/>
      <c r="H224" s="16" t="n"/>
      <c r="I224" s="15" t="n"/>
      <c r="J224" s="15" t="n"/>
      <c r="K224" s="15">
        <f>IF(A224="","",IFERROR(AVERAGEIF('Data - Task Tracker'!B:B,A224,'Data - Task Tracker'!L:L),0))</f>
        <v/>
      </c>
      <c r="L224" s="15" t="n"/>
      <c r="M224" s="15" t="n"/>
      <c r="N224" s="15" t="n"/>
    </row>
    <row r="225">
      <c r="A225" s="15" t="n"/>
      <c r="B225" s="15" t="n"/>
      <c r="C225" s="15" t="n"/>
      <c r="D225" s="15" t="n"/>
      <c r="E225" s="16" t="n"/>
      <c r="F225" s="16" t="n"/>
      <c r="G225" s="16" t="n"/>
      <c r="H225" s="16" t="n"/>
      <c r="I225" s="15" t="n"/>
      <c r="J225" s="15" t="n"/>
      <c r="K225" s="15">
        <f>IF(A225="","",IFERROR(AVERAGEIF('Data - Task Tracker'!B:B,A225,'Data - Task Tracker'!L:L),0))</f>
        <v/>
      </c>
      <c r="L225" s="15" t="n"/>
      <c r="M225" s="15" t="n"/>
      <c r="N225" s="15" t="n"/>
    </row>
    <row r="226">
      <c r="A226" s="15" t="n"/>
      <c r="B226" s="15" t="n"/>
      <c r="C226" s="15" t="n"/>
      <c r="D226" s="15" t="n"/>
      <c r="E226" s="16" t="n"/>
      <c r="F226" s="16" t="n"/>
      <c r="G226" s="16" t="n"/>
      <c r="H226" s="16" t="n"/>
      <c r="I226" s="15" t="n"/>
      <c r="J226" s="15" t="n"/>
      <c r="K226" s="15">
        <f>IF(A226="","",IFERROR(AVERAGEIF('Data - Task Tracker'!B:B,A226,'Data - Task Tracker'!L:L),0))</f>
        <v/>
      </c>
      <c r="L226" s="15" t="n"/>
      <c r="M226" s="15" t="n"/>
      <c r="N226" s="15" t="n"/>
    </row>
    <row r="227">
      <c r="A227" s="15" t="n"/>
      <c r="B227" s="15" t="n"/>
      <c r="C227" s="15" t="n"/>
      <c r="D227" s="15" t="n"/>
      <c r="E227" s="16" t="n"/>
      <c r="F227" s="16" t="n"/>
      <c r="G227" s="16" t="n"/>
      <c r="H227" s="16" t="n"/>
      <c r="I227" s="15" t="n"/>
      <c r="J227" s="15" t="n"/>
      <c r="K227" s="15">
        <f>IF(A227="","",IFERROR(AVERAGEIF('Data - Task Tracker'!B:B,A227,'Data - Task Tracker'!L:L),0))</f>
        <v/>
      </c>
      <c r="L227" s="15" t="n"/>
      <c r="M227" s="15" t="n"/>
      <c r="N227" s="15" t="n"/>
    </row>
    <row r="228">
      <c r="A228" s="15" t="n"/>
      <c r="B228" s="15" t="n"/>
      <c r="C228" s="15" t="n"/>
      <c r="D228" s="15" t="n"/>
      <c r="E228" s="16" t="n"/>
      <c r="F228" s="16" t="n"/>
      <c r="G228" s="16" t="n"/>
      <c r="H228" s="16" t="n"/>
      <c r="I228" s="15" t="n"/>
      <c r="J228" s="15" t="n"/>
      <c r="K228" s="15">
        <f>IF(A228="","",IFERROR(AVERAGEIF('Data - Task Tracker'!B:B,A228,'Data - Task Tracker'!L:L),0))</f>
        <v/>
      </c>
      <c r="L228" s="15" t="n"/>
      <c r="M228" s="15" t="n"/>
      <c r="N228" s="15" t="n"/>
    </row>
    <row r="229">
      <c r="A229" s="15" t="n"/>
      <c r="B229" s="15" t="n"/>
      <c r="C229" s="15" t="n"/>
      <c r="D229" s="15" t="n"/>
      <c r="E229" s="16" t="n"/>
      <c r="F229" s="16" t="n"/>
      <c r="G229" s="16" t="n"/>
      <c r="H229" s="16" t="n"/>
      <c r="I229" s="15" t="n"/>
      <c r="J229" s="15" t="n"/>
      <c r="K229" s="15">
        <f>IF(A229="","",IFERROR(AVERAGEIF('Data - Task Tracker'!B:B,A229,'Data - Task Tracker'!L:L),0))</f>
        <v/>
      </c>
      <c r="L229" s="15" t="n"/>
      <c r="M229" s="15" t="n"/>
      <c r="N229" s="15" t="n"/>
    </row>
    <row r="230">
      <c r="A230" s="15" t="n"/>
      <c r="B230" s="15" t="n"/>
      <c r="C230" s="15" t="n"/>
      <c r="D230" s="15" t="n"/>
      <c r="E230" s="16" t="n"/>
      <c r="F230" s="16" t="n"/>
      <c r="G230" s="16" t="n"/>
      <c r="H230" s="16" t="n"/>
      <c r="I230" s="15" t="n"/>
      <c r="J230" s="15" t="n"/>
      <c r="K230" s="15">
        <f>IF(A230="","",IFERROR(AVERAGEIF('Data - Task Tracker'!B:B,A230,'Data - Task Tracker'!L:L),0))</f>
        <v/>
      </c>
      <c r="L230" s="15" t="n"/>
      <c r="M230" s="15" t="n"/>
      <c r="N230" s="15" t="n"/>
    </row>
    <row r="231">
      <c r="A231" s="15" t="n"/>
      <c r="B231" s="15" t="n"/>
      <c r="C231" s="15" t="n"/>
      <c r="D231" s="15" t="n"/>
      <c r="E231" s="16" t="n"/>
      <c r="F231" s="16" t="n"/>
      <c r="G231" s="16" t="n"/>
      <c r="H231" s="16" t="n"/>
      <c r="I231" s="15" t="n"/>
      <c r="J231" s="15" t="n"/>
      <c r="K231" s="15">
        <f>IF(A231="","",IFERROR(AVERAGEIF('Data - Task Tracker'!B:B,A231,'Data - Task Tracker'!L:L),0))</f>
        <v/>
      </c>
      <c r="L231" s="15" t="n"/>
      <c r="M231" s="15" t="n"/>
      <c r="N231" s="15" t="n"/>
    </row>
    <row r="232">
      <c r="A232" s="15" t="n"/>
      <c r="B232" s="15" t="n"/>
      <c r="C232" s="15" t="n"/>
      <c r="D232" s="15" t="n"/>
      <c r="E232" s="16" t="n"/>
      <c r="F232" s="16" t="n"/>
      <c r="G232" s="16" t="n"/>
      <c r="H232" s="16" t="n"/>
      <c r="I232" s="15" t="n"/>
      <c r="J232" s="15" t="n"/>
      <c r="K232" s="15">
        <f>IF(A232="","",IFERROR(AVERAGEIF('Data - Task Tracker'!B:B,A232,'Data - Task Tracker'!L:L),0))</f>
        <v/>
      </c>
      <c r="L232" s="15" t="n"/>
      <c r="M232" s="15" t="n"/>
      <c r="N232" s="15" t="n"/>
    </row>
    <row r="233">
      <c r="A233" s="15" t="n"/>
      <c r="B233" s="15" t="n"/>
      <c r="C233" s="15" t="n"/>
      <c r="D233" s="15" t="n"/>
      <c r="E233" s="16" t="n"/>
      <c r="F233" s="16" t="n"/>
      <c r="G233" s="16" t="n"/>
      <c r="H233" s="16" t="n"/>
      <c r="I233" s="15" t="n"/>
      <c r="J233" s="15" t="n"/>
      <c r="K233" s="15">
        <f>IF(A233="","",IFERROR(AVERAGEIF('Data - Task Tracker'!B:B,A233,'Data - Task Tracker'!L:L),0))</f>
        <v/>
      </c>
      <c r="L233" s="15" t="n"/>
      <c r="M233" s="15" t="n"/>
      <c r="N233" s="15" t="n"/>
    </row>
    <row r="234">
      <c r="A234" s="15" t="n"/>
      <c r="B234" s="15" t="n"/>
      <c r="C234" s="15" t="n"/>
      <c r="D234" s="15" t="n"/>
      <c r="E234" s="16" t="n"/>
      <c r="F234" s="16" t="n"/>
      <c r="G234" s="16" t="n"/>
      <c r="H234" s="16" t="n"/>
      <c r="I234" s="15" t="n"/>
      <c r="J234" s="15" t="n"/>
      <c r="K234" s="15">
        <f>IF(A234="","",IFERROR(AVERAGEIF('Data - Task Tracker'!B:B,A234,'Data - Task Tracker'!L:L),0))</f>
        <v/>
      </c>
      <c r="L234" s="15" t="n"/>
      <c r="M234" s="15" t="n"/>
      <c r="N234" s="15" t="n"/>
    </row>
    <row r="235">
      <c r="A235" s="15" t="n"/>
      <c r="B235" s="15" t="n"/>
      <c r="C235" s="15" t="n"/>
      <c r="D235" s="15" t="n"/>
      <c r="E235" s="16" t="n"/>
      <c r="F235" s="16" t="n"/>
      <c r="G235" s="16" t="n"/>
      <c r="H235" s="16" t="n"/>
      <c r="I235" s="15" t="n"/>
      <c r="J235" s="15" t="n"/>
      <c r="K235" s="15">
        <f>IF(A235="","",IFERROR(AVERAGEIF('Data - Task Tracker'!B:B,A235,'Data - Task Tracker'!L:L),0))</f>
        <v/>
      </c>
      <c r="L235" s="15" t="n"/>
      <c r="M235" s="15" t="n"/>
      <c r="N235" s="15" t="n"/>
    </row>
    <row r="236">
      <c r="A236" s="15" t="n"/>
      <c r="B236" s="15" t="n"/>
      <c r="C236" s="15" t="n"/>
      <c r="D236" s="15" t="n"/>
      <c r="E236" s="16" t="n"/>
      <c r="F236" s="16" t="n"/>
      <c r="G236" s="16" t="n"/>
      <c r="H236" s="16" t="n"/>
      <c r="I236" s="15" t="n"/>
      <c r="J236" s="15" t="n"/>
      <c r="K236" s="15">
        <f>IF(A236="","",IFERROR(AVERAGEIF('Data - Task Tracker'!B:B,A236,'Data - Task Tracker'!L:L),0))</f>
        <v/>
      </c>
      <c r="L236" s="15" t="n"/>
      <c r="M236" s="15" t="n"/>
      <c r="N236" s="15" t="n"/>
    </row>
    <row r="237">
      <c r="A237" s="15" t="n"/>
      <c r="B237" s="15" t="n"/>
      <c r="C237" s="15" t="n"/>
      <c r="D237" s="15" t="n"/>
      <c r="E237" s="16" t="n"/>
      <c r="F237" s="16" t="n"/>
      <c r="G237" s="16" t="n"/>
      <c r="H237" s="16" t="n"/>
      <c r="I237" s="15" t="n"/>
      <c r="J237" s="15" t="n"/>
      <c r="K237" s="15">
        <f>IF(A237="","",IFERROR(AVERAGEIF('Data - Task Tracker'!B:B,A237,'Data - Task Tracker'!L:L),0))</f>
        <v/>
      </c>
      <c r="L237" s="15" t="n"/>
      <c r="M237" s="15" t="n"/>
      <c r="N237" s="15" t="n"/>
    </row>
    <row r="238">
      <c r="A238" s="15" t="n"/>
      <c r="B238" s="15" t="n"/>
      <c r="C238" s="15" t="n"/>
      <c r="D238" s="15" t="n"/>
      <c r="E238" s="16" t="n"/>
      <c r="F238" s="16" t="n"/>
      <c r="G238" s="16" t="n"/>
      <c r="H238" s="16" t="n"/>
      <c r="I238" s="15" t="n"/>
      <c r="J238" s="15" t="n"/>
      <c r="K238" s="15">
        <f>IF(A238="","",IFERROR(AVERAGEIF('Data - Task Tracker'!B:B,A238,'Data - Task Tracker'!L:L),0))</f>
        <v/>
      </c>
      <c r="L238" s="15" t="n"/>
      <c r="M238" s="15" t="n"/>
      <c r="N238" s="15" t="n"/>
    </row>
    <row r="239">
      <c r="A239" s="15" t="n"/>
      <c r="B239" s="15" t="n"/>
      <c r="C239" s="15" t="n"/>
      <c r="D239" s="15" t="n"/>
      <c r="E239" s="16" t="n"/>
      <c r="F239" s="16" t="n"/>
      <c r="G239" s="16" t="n"/>
      <c r="H239" s="16" t="n"/>
      <c r="I239" s="15" t="n"/>
      <c r="J239" s="15" t="n"/>
      <c r="K239" s="15">
        <f>IF(A239="","",IFERROR(AVERAGEIF('Data - Task Tracker'!B:B,A239,'Data - Task Tracker'!L:L),0))</f>
        <v/>
      </c>
      <c r="L239" s="15" t="n"/>
      <c r="M239" s="15" t="n"/>
      <c r="N239" s="15" t="n"/>
    </row>
    <row r="240">
      <c r="A240" s="15" t="n"/>
      <c r="B240" s="15" t="n"/>
      <c r="C240" s="15" t="n"/>
      <c r="D240" s="15" t="n"/>
      <c r="E240" s="16" t="n"/>
      <c r="F240" s="16" t="n"/>
      <c r="G240" s="16" t="n"/>
      <c r="H240" s="16" t="n"/>
      <c r="I240" s="15" t="n"/>
      <c r="J240" s="15" t="n"/>
      <c r="K240" s="15">
        <f>IF(A240="","",IFERROR(AVERAGEIF('Data - Task Tracker'!B:B,A240,'Data - Task Tracker'!L:L),0))</f>
        <v/>
      </c>
      <c r="L240" s="15" t="n"/>
      <c r="M240" s="15" t="n"/>
      <c r="N240" s="15" t="n"/>
    </row>
    <row r="241">
      <c r="A241" s="15" t="n"/>
      <c r="B241" s="15" t="n"/>
      <c r="C241" s="15" t="n"/>
      <c r="D241" s="15" t="n"/>
      <c r="E241" s="16" t="n"/>
      <c r="F241" s="16" t="n"/>
      <c r="G241" s="16" t="n"/>
      <c r="H241" s="16" t="n"/>
      <c r="I241" s="15" t="n"/>
      <c r="J241" s="15" t="n"/>
      <c r="K241" s="15">
        <f>IF(A241="","",IFERROR(AVERAGEIF('Data - Task Tracker'!B:B,A241,'Data - Task Tracker'!L:L),0))</f>
        <v/>
      </c>
      <c r="L241" s="15" t="n"/>
      <c r="M241" s="15" t="n"/>
      <c r="N241" s="15" t="n"/>
    </row>
    <row r="242">
      <c r="A242" s="15" t="n"/>
      <c r="B242" s="15" t="n"/>
      <c r="C242" s="15" t="n"/>
      <c r="D242" s="15" t="n"/>
      <c r="E242" s="16" t="n"/>
      <c r="F242" s="16" t="n"/>
      <c r="G242" s="16" t="n"/>
      <c r="H242" s="16" t="n"/>
      <c r="I242" s="15" t="n"/>
      <c r="J242" s="15" t="n"/>
      <c r="K242" s="15">
        <f>IF(A242="","",IFERROR(AVERAGEIF('Data - Task Tracker'!B:B,A242,'Data - Task Tracker'!L:L),0))</f>
        <v/>
      </c>
      <c r="L242" s="15" t="n"/>
      <c r="M242" s="15" t="n"/>
      <c r="N242" s="15" t="n"/>
    </row>
    <row r="243">
      <c r="A243" s="15" t="n"/>
      <c r="B243" s="15" t="n"/>
      <c r="C243" s="15" t="n"/>
      <c r="D243" s="15" t="n"/>
      <c r="E243" s="16" t="n"/>
      <c r="F243" s="16" t="n"/>
      <c r="G243" s="16" t="n"/>
      <c r="H243" s="16" t="n"/>
      <c r="I243" s="15" t="n"/>
      <c r="J243" s="15" t="n"/>
      <c r="K243" s="15">
        <f>IF(A243="","",IFERROR(AVERAGEIF('Data - Task Tracker'!B:B,A243,'Data - Task Tracker'!L:L),0))</f>
        <v/>
      </c>
      <c r="L243" s="15" t="n"/>
      <c r="M243" s="15" t="n"/>
      <c r="N243" s="15" t="n"/>
    </row>
    <row r="244">
      <c r="A244" s="15" t="n"/>
      <c r="B244" s="15" t="n"/>
      <c r="C244" s="15" t="n"/>
      <c r="D244" s="15" t="n"/>
      <c r="E244" s="16" t="n"/>
      <c r="F244" s="16" t="n"/>
      <c r="G244" s="16" t="n"/>
      <c r="H244" s="16" t="n"/>
      <c r="I244" s="15" t="n"/>
      <c r="J244" s="15" t="n"/>
      <c r="K244" s="15">
        <f>IF(A244="","",IFERROR(AVERAGEIF('Data - Task Tracker'!B:B,A244,'Data - Task Tracker'!L:L),0))</f>
        <v/>
      </c>
      <c r="L244" s="15" t="n"/>
      <c r="M244" s="15" t="n"/>
      <c r="N244" s="15" t="n"/>
    </row>
    <row r="245">
      <c r="A245" s="15" t="n"/>
      <c r="B245" s="15" t="n"/>
      <c r="C245" s="15" t="n"/>
      <c r="D245" s="15" t="n"/>
      <c r="E245" s="16" t="n"/>
      <c r="F245" s="16" t="n"/>
      <c r="G245" s="16" t="n"/>
      <c r="H245" s="16" t="n"/>
      <c r="I245" s="15" t="n"/>
      <c r="J245" s="15" t="n"/>
      <c r="K245" s="15">
        <f>IF(A245="","",IFERROR(AVERAGEIF('Data - Task Tracker'!B:B,A245,'Data - Task Tracker'!L:L),0))</f>
        <v/>
      </c>
      <c r="L245" s="15" t="n"/>
      <c r="M245" s="15" t="n"/>
      <c r="N245" s="15" t="n"/>
    </row>
    <row r="246">
      <c r="A246" s="15" t="n"/>
      <c r="B246" s="15" t="n"/>
      <c r="C246" s="15" t="n"/>
      <c r="D246" s="15" t="n"/>
      <c r="E246" s="16" t="n"/>
      <c r="F246" s="16" t="n"/>
      <c r="G246" s="16" t="n"/>
      <c r="H246" s="16" t="n"/>
      <c r="I246" s="15" t="n"/>
      <c r="J246" s="15" t="n"/>
      <c r="K246" s="15">
        <f>IF(A246="","",IFERROR(AVERAGEIF('Data - Task Tracker'!B:B,A246,'Data - Task Tracker'!L:L),0))</f>
        <v/>
      </c>
      <c r="L246" s="15" t="n"/>
      <c r="M246" s="15" t="n"/>
      <c r="N246" s="15" t="n"/>
    </row>
    <row r="247">
      <c r="A247" s="15" t="n"/>
      <c r="B247" s="15" t="n"/>
      <c r="C247" s="15" t="n"/>
      <c r="D247" s="15" t="n"/>
      <c r="E247" s="16" t="n"/>
      <c r="F247" s="16" t="n"/>
      <c r="G247" s="16" t="n"/>
      <c r="H247" s="16" t="n"/>
      <c r="I247" s="15" t="n"/>
      <c r="J247" s="15" t="n"/>
      <c r="K247" s="15">
        <f>IF(A247="","",IFERROR(AVERAGEIF('Data - Task Tracker'!B:B,A247,'Data - Task Tracker'!L:L),0))</f>
        <v/>
      </c>
      <c r="L247" s="15" t="n"/>
      <c r="M247" s="15" t="n"/>
      <c r="N247" s="15" t="n"/>
    </row>
    <row r="248">
      <c r="A248" s="15" t="n"/>
      <c r="B248" s="15" t="n"/>
      <c r="C248" s="15" t="n"/>
      <c r="D248" s="15" t="n"/>
      <c r="E248" s="16" t="n"/>
      <c r="F248" s="16" t="n"/>
      <c r="G248" s="16" t="n"/>
      <c r="H248" s="16" t="n"/>
      <c r="I248" s="15" t="n"/>
      <c r="J248" s="15" t="n"/>
      <c r="K248" s="15">
        <f>IF(A248="","",IFERROR(AVERAGEIF('Data - Task Tracker'!B:B,A248,'Data - Task Tracker'!L:L),0))</f>
        <v/>
      </c>
      <c r="L248" s="15" t="n"/>
      <c r="M248" s="15" t="n"/>
      <c r="N248" s="15" t="n"/>
    </row>
    <row r="249">
      <c r="A249" s="15" t="n"/>
      <c r="B249" s="15" t="n"/>
      <c r="C249" s="15" t="n"/>
      <c r="D249" s="15" t="n"/>
      <c r="E249" s="16" t="n"/>
      <c r="F249" s="16" t="n"/>
      <c r="G249" s="16" t="n"/>
      <c r="H249" s="16" t="n"/>
      <c r="I249" s="15" t="n"/>
      <c r="J249" s="15" t="n"/>
      <c r="K249" s="15">
        <f>IF(A249="","",IFERROR(AVERAGEIF('Data - Task Tracker'!B:B,A249,'Data - Task Tracker'!L:L),0))</f>
        <v/>
      </c>
      <c r="L249" s="15" t="n"/>
      <c r="M249" s="15" t="n"/>
      <c r="N249" s="15" t="n"/>
    </row>
    <row r="250">
      <c r="A250" s="15" t="n"/>
      <c r="B250" s="15" t="n"/>
      <c r="C250" s="15" t="n"/>
      <c r="D250" s="15" t="n"/>
      <c r="E250" s="16" t="n"/>
      <c r="F250" s="16" t="n"/>
      <c r="G250" s="16" t="n"/>
      <c r="H250" s="16" t="n"/>
      <c r="I250" s="15" t="n"/>
      <c r="J250" s="15" t="n"/>
      <c r="K250" s="15">
        <f>IF(A250="","",IFERROR(AVERAGEIF('Data - Task Tracker'!B:B,A250,'Data - Task Tracker'!L:L),0))</f>
        <v/>
      </c>
      <c r="L250" s="15" t="n"/>
      <c r="M250" s="15" t="n"/>
      <c r="N250" s="15" t="n"/>
    </row>
    <row r="251">
      <c r="A251" s="15" t="n"/>
      <c r="B251" s="15" t="n"/>
      <c r="C251" s="15" t="n"/>
      <c r="D251" s="15" t="n"/>
      <c r="E251" s="16" t="n"/>
      <c r="F251" s="16" t="n"/>
      <c r="G251" s="16" t="n"/>
      <c r="H251" s="16" t="n"/>
      <c r="I251" s="15" t="n"/>
      <c r="J251" s="15" t="n"/>
      <c r="K251" s="15">
        <f>IF(A251="","",IFERROR(AVERAGEIF('Data - Task Tracker'!B:B,A251,'Data - Task Tracker'!L:L),0))</f>
        <v/>
      </c>
      <c r="L251" s="15" t="n"/>
      <c r="M251" s="15" t="n"/>
      <c r="N251" s="15" t="n"/>
    </row>
    <row r="252">
      <c r="A252" s="15" t="n"/>
      <c r="B252" s="15" t="n"/>
      <c r="C252" s="15" t="n"/>
      <c r="D252" s="15" t="n"/>
      <c r="E252" s="16" t="n"/>
      <c r="F252" s="16" t="n"/>
      <c r="G252" s="16" t="n"/>
      <c r="H252" s="16" t="n"/>
      <c r="I252" s="15" t="n"/>
      <c r="J252" s="15" t="n"/>
      <c r="K252" s="15">
        <f>IF(A252="","",IFERROR(AVERAGEIF('Data - Task Tracker'!B:B,A252,'Data - Task Tracker'!L:L),0))</f>
        <v/>
      </c>
      <c r="L252" s="15" t="n"/>
      <c r="M252" s="15" t="n"/>
      <c r="N252" s="15" t="n"/>
    </row>
    <row r="253">
      <c r="A253" s="15" t="n"/>
      <c r="B253" s="15" t="n"/>
      <c r="C253" s="15" t="n"/>
      <c r="D253" s="15" t="n"/>
      <c r="E253" s="16" t="n"/>
      <c r="F253" s="16" t="n"/>
      <c r="G253" s="16" t="n"/>
      <c r="H253" s="16" t="n"/>
      <c r="I253" s="15" t="n"/>
      <c r="J253" s="15" t="n"/>
      <c r="K253" s="15">
        <f>IF(A253="","",IFERROR(AVERAGEIF('Data - Task Tracker'!B:B,A253,'Data - Task Tracker'!L:L),0))</f>
        <v/>
      </c>
      <c r="L253" s="15" t="n"/>
      <c r="M253" s="15" t="n"/>
      <c r="N253" s="15" t="n"/>
    </row>
    <row r="254">
      <c r="A254" s="15" t="n"/>
      <c r="B254" s="15" t="n"/>
      <c r="C254" s="15" t="n"/>
      <c r="D254" s="15" t="n"/>
      <c r="E254" s="16" t="n"/>
      <c r="F254" s="16" t="n"/>
      <c r="G254" s="16" t="n"/>
      <c r="H254" s="16" t="n"/>
      <c r="I254" s="15" t="n"/>
      <c r="J254" s="15" t="n"/>
      <c r="K254" s="15">
        <f>IF(A254="","",IFERROR(AVERAGEIF('Data - Task Tracker'!B:B,A254,'Data - Task Tracker'!L:L),0))</f>
        <v/>
      </c>
      <c r="L254" s="15" t="n"/>
      <c r="M254" s="15" t="n"/>
      <c r="N254" s="15" t="n"/>
    </row>
    <row r="255">
      <c r="A255" s="15" t="n"/>
      <c r="B255" s="15" t="n"/>
      <c r="C255" s="15" t="n"/>
      <c r="D255" s="15" t="n"/>
      <c r="E255" s="16" t="n"/>
      <c r="F255" s="16" t="n"/>
      <c r="G255" s="16" t="n"/>
      <c r="H255" s="16" t="n"/>
      <c r="I255" s="15" t="n"/>
      <c r="J255" s="15" t="n"/>
      <c r="K255" s="15">
        <f>IF(A255="","",IFERROR(AVERAGEIF('Data - Task Tracker'!B:B,A255,'Data - Task Tracker'!L:L),0))</f>
        <v/>
      </c>
      <c r="L255" s="15" t="n"/>
      <c r="M255" s="15" t="n"/>
      <c r="N255" s="15" t="n"/>
    </row>
    <row r="256">
      <c r="A256" s="15" t="n"/>
      <c r="B256" s="15" t="n"/>
      <c r="C256" s="15" t="n"/>
      <c r="D256" s="15" t="n"/>
      <c r="E256" s="16" t="n"/>
      <c r="F256" s="16" t="n"/>
      <c r="G256" s="16" t="n"/>
      <c r="H256" s="16" t="n"/>
      <c r="I256" s="15" t="n"/>
      <c r="J256" s="15" t="n"/>
      <c r="K256" s="15">
        <f>IF(A256="","",IFERROR(AVERAGEIF('Data - Task Tracker'!B:B,A256,'Data - Task Tracker'!L:L),0))</f>
        <v/>
      </c>
      <c r="L256" s="15" t="n"/>
      <c r="M256" s="15" t="n"/>
      <c r="N256" s="15" t="n"/>
    </row>
    <row r="257">
      <c r="A257" s="15" t="n"/>
      <c r="B257" s="15" t="n"/>
      <c r="C257" s="15" t="n"/>
      <c r="D257" s="15" t="n"/>
      <c r="E257" s="16" t="n"/>
      <c r="F257" s="16" t="n"/>
      <c r="G257" s="16" t="n"/>
      <c r="H257" s="16" t="n"/>
      <c r="I257" s="15" t="n"/>
      <c r="J257" s="15" t="n"/>
      <c r="K257" s="15">
        <f>IF(A257="","",IFERROR(AVERAGEIF('Data - Task Tracker'!B:B,A257,'Data - Task Tracker'!L:L),0))</f>
        <v/>
      </c>
      <c r="L257" s="15" t="n"/>
      <c r="M257" s="15" t="n"/>
      <c r="N257" s="15" t="n"/>
    </row>
    <row r="258">
      <c r="A258" s="15" t="n"/>
      <c r="B258" s="15" t="n"/>
      <c r="C258" s="15" t="n"/>
      <c r="D258" s="15" t="n"/>
      <c r="E258" s="16" t="n"/>
      <c r="F258" s="16" t="n"/>
      <c r="G258" s="16" t="n"/>
      <c r="H258" s="16" t="n"/>
      <c r="I258" s="15" t="n"/>
      <c r="J258" s="15" t="n"/>
      <c r="K258" s="15">
        <f>IF(A258="","",IFERROR(AVERAGEIF('Data - Task Tracker'!B:B,A258,'Data - Task Tracker'!L:L),0))</f>
        <v/>
      </c>
      <c r="L258" s="15" t="n"/>
      <c r="M258" s="15" t="n"/>
      <c r="N258" s="15" t="n"/>
    </row>
    <row r="259">
      <c r="A259" s="15" t="n"/>
      <c r="B259" s="15" t="n"/>
      <c r="C259" s="15" t="n"/>
      <c r="D259" s="15" t="n"/>
      <c r="E259" s="16" t="n"/>
      <c r="F259" s="16" t="n"/>
      <c r="G259" s="16" t="n"/>
      <c r="H259" s="16" t="n"/>
      <c r="I259" s="15" t="n"/>
      <c r="J259" s="15" t="n"/>
      <c r="K259" s="15">
        <f>IF(A259="","",IFERROR(AVERAGEIF('Data - Task Tracker'!B:B,A259,'Data - Task Tracker'!L:L),0))</f>
        <v/>
      </c>
      <c r="L259" s="15" t="n"/>
      <c r="M259" s="15" t="n"/>
      <c r="N259" s="15" t="n"/>
    </row>
    <row r="260">
      <c r="A260" s="15" t="n"/>
      <c r="B260" s="15" t="n"/>
      <c r="C260" s="15" t="n"/>
      <c r="D260" s="15" t="n"/>
      <c r="E260" s="16" t="n"/>
      <c r="F260" s="16" t="n"/>
      <c r="G260" s="16" t="n"/>
      <c r="H260" s="16" t="n"/>
      <c r="I260" s="15" t="n"/>
      <c r="J260" s="15" t="n"/>
      <c r="K260" s="15">
        <f>IF(A260="","",IFERROR(AVERAGEIF('Data - Task Tracker'!B:B,A260,'Data - Task Tracker'!L:L),0))</f>
        <v/>
      </c>
      <c r="L260" s="15" t="n"/>
      <c r="M260" s="15" t="n"/>
      <c r="N260" s="15" t="n"/>
    </row>
    <row r="261">
      <c r="A261" s="15" t="n"/>
      <c r="B261" s="15" t="n"/>
      <c r="C261" s="15" t="n"/>
      <c r="D261" s="15" t="n"/>
      <c r="E261" s="16" t="n"/>
      <c r="F261" s="16" t="n"/>
      <c r="G261" s="16" t="n"/>
      <c r="H261" s="16" t="n"/>
      <c r="I261" s="15" t="n"/>
      <c r="J261" s="15" t="n"/>
      <c r="K261" s="15">
        <f>IF(A261="","",IFERROR(AVERAGEIF('Data - Task Tracker'!B:B,A261,'Data - Task Tracker'!L:L),0))</f>
        <v/>
      </c>
      <c r="L261" s="15" t="n"/>
      <c r="M261" s="15" t="n"/>
      <c r="N261" s="15" t="n"/>
    </row>
    <row r="262">
      <c r="A262" s="15" t="n"/>
      <c r="B262" s="15" t="n"/>
      <c r="C262" s="15" t="n"/>
      <c r="D262" s="15" t="n"/>
      <c r="E262" s="16" t="n"/>
      <c r="F262" s="16" t="n"/>
      <c r="G262" s="16" t="n"/>
      <c r="H262" s="16" t="n"/>
      <c r="I262" s="15" t="n"/>
      <c r="J262" s="15" t="n"/>
      <c r="K262" s="15">
        <f>IF(A262="","",IFERROR(AVERAGEIF('Data - Task Tracker'!B:B,A262,'Data - Task Tracker'!L:L),0))</f>
        <v/>
      </c>
      <c r="L262" s="15" t="n"/>
      <c r="M262" s="15" t="n"/>
      <c r="N262" s="15" t="n"/>
    </row>
    <row r="263">
      <c r="A263" s="15" t="n"/>
      <c r="B263" s="15" t="n"/>
      <c r="C263" s="15" t="n"/>
      <c r="D263" s="15" t="n"/>
      <c r="E263" s="16" t="n"/>
      <c r="F263" s="16" t="n"/>
      <c r="G263" s="16" t="n"/>
      <c r="H263" s="16" t="n"/>
      <c r="I263" s="15" t="n"/>
      <c r="J263" s="15" t="n"/>
      <c r="K263" s="15">
        <f>IF(A263="","",IFERROR(AVERAGEIF('Data - Task Tracker'!B:B,A263,'Data - Task Tracker'!L:L),0))</f>
        <v/>
      </c>
      <c r="L263" s="15" t="n"/>
      <c r="M263" s="15" t="n"/>
      <c r="N263" s="15" t="n"/>
    </row>
    <row r="264">
      <c r="A264" s="15" t="n"/>
      <c r="B264" s="15" t="n"/>
      <c r="C264" s="15" t="n"/>
      <c r="D264" s="15" t="n"/>
      <c r="E264" s="16" t="n"/>
      <c r="F264" s="16" t="n"/>
      <c r="G264" s="16" t="n"/>
      <c r="H264" s="16" t="n"/>
      <c r="I264" s="15" t="n"/>
      <c r="J264" s="15" t="n"/>
      <c r="K264" s="15">
        <f>IF(A264="","",IFERROR(AVERAGEIF('Data - Task Tracker'!B:B,A264,'Data - Task Tracker'!L:L),0))</f>
        <v/>
      </c>
      <c r="L264" s="15" t="n"/>
      <c r="M264" s="15" t="n"/>
      <c r="N264" s="15" t="n"/>
    </row>
    <row r="265">
      <c r="A265" s="15" t="n"/>
      <c r="B265" s="15" t="n"/>
      <c r="C265" s="15" t="n"/>
      <c r="D265" s="15" t="n"/>
      <c r="E265" s="16" t="n"/>
      <c r="F265" s="16" t="n"/>
      <c r="G265" s="16" t="n"/>
      <c r="H265" s="16" t="n"/>
      <c r="I265" s="15" t="n"/>
      <c r="J265" s="15" t="n"/>
      <c r="K265" s="15">
        <f>IF(A265="","",IFERROR(AVERAGEIF('Data - Task Tracker'!B:B,A265,'Data - Task Tracker'!L:L),0))</f>
        <v/>
      </c>
      <c r="L265" s="15" t="n"/>
      <c r="M265" s="15" t="n"/>
      <c r="N265" s="15" t="n"/>
    </row>
    <row r="266">
      <c r="A266" s="15" t="n"/>
      <c r="B266" s="15" t="n"/>
      <c r="C266" s="15" t="n"/>
      <c r="D266" s="15" t="n"/>
      <c r="E266" s="16" t="n"/>
      <c r="F266" s="16" t="n"/>
      <c r="G266" s="16" t="n"/>
      <c r="H266" s="16" t="n"/>
      <c r="I266" s="15" t="n"/>
      <c r="J266" s="15" t="n"/>
      <c r="K266" s="15">
        <f>IF(A266="","",IFERROR(AVERAGEIF('Data - Task Tracker'!B:B,A266,'Data - Task Tracker'!L:L),0))</f>
        <v/>
      </c>
      <c r="L266" s="15" t="n"/>
      <c r="M266" s="15" t="n"/>
      <c r="N266" s="15" t="n"/>
    </row>
    <row r="267">
      <c r="A267" s="15" t="n"/>
      <c r="B267" s="15" t="n"/>
      <c r="C267" s="15" t="n"/>
      <c r="D267" s="15" t="n"/>
      <c r="E267" s="16" t="n"/>
      <c r="F267" s="16" t="n"/>
      <c r="G267" s="16" t="n"/>
      <c r="H267" s="16" t="n"/>
      <c r="I267" s="15" t="n"/>
      <c r="J267" s="15" t="n"/>
      <c r="K267" s="15">
        <f>IF(A267="","",IFERROR(AVERAGEIF('Data - Task Tracker'!B:B,A267,'Data - Task Tracker'!L:L),0))</f>
        <v/>
      </c>
      <c r="L267" s="15" t="n"/>
      <c r="M267" s="15" t="n"/>
      <c r="N267" s="15" t="n"/>
    </row>
    <row r="268">
      <c r="A268" s="15" t="n"/>
      <c r="B268" s="15" t="n"/>
      <c r="C268" s="15" t="n"/>
      <c r="D268" s="15" t="n"/>
      <c r="E268" s="16" t="n"/>
      <c r="F268" s="16" t="n"/>
      <c r="G268" s="16" t="n"/>
      <c r="H268" s="16" t="n"/>
      <c r="I268" s="15" t="n"/>
      <c r="J268" s="15" t="n"/>
      <c r="K268" s="15">
        <f>IF(A268="","",IFERROR(AVERAGEIF('Data - Task Tracker'!B:B,A268,'Data - Task Tracker'!L:L),0))</f>
        <v/>
      </c>
      <c r="L268" s="15" t="n"/>
      <c r="M268" s="15" t="n"/>
      <c r="N268" s="15" t="n"/>
    </row>
    <row r="269">
      <c r="A269" s="15" t="n"/>
      <c r="B269" s="15" t="n"/>
      <c r="C269" s="15" t="n"/>
      <c r="D269" s="15" t="n"/>
      <c r="E269" s="16" t="n"/>
      <c r="F269" s="16" t="n"/>
      <c r="G269" s="16" t="n"/>
      <c r="H269" s="16" t="n"/>
      <c r="I269" s="15" t="n"/>
      <c r="J269" s="15" t="n"/>
      <c r="K269" s="15">
        <f>IF(A269="","",IFERROR(AVERAGEIF('Data - Task Tracker'!B:B,A269,'Data - Task Tracker'!L:L),0))</f>
        <v/>
      </c>
      <c r="L269" s="15" t="n"/>
      <c r="M269" s="15" t="n"/>
      <c r="N269" s="15" t="n"/>
    </row>
    <row r="270">
      <c r="A270" s="15" t="n"/>
      <c r="B270" s="15" t="n"/>
      <c r="C270" s="15" t="n"/>
      <c r="D270" s="15" t="n"/>
      <c r="E270" s="16" t="n"/>
      <c r="F270" s="16" t="n"/>
      <c r="G270" s="16" t="n"/>
      <c r="H270" s="16" t="n"/>
      <c r="I270" s="15" t="n"/>
      <c r="J270" s="15" t="n"/>
      <c r="K270" s="15">
        <f>IF(A270="","",IFERROR(AVERAGEIF('Data - Task Tracker'!B:B,A270,'Data - Task Tracker'!L:L),0))</f>
        <v/>
      </c>
      <c r="L270" s="15" t="n"/>
      <c r="M270" s="15" t="n"/>
      <c r="N270" s="15" t="n"/>
    </row>
    <row r="271">
      <c r="A271" s="15" t="n"/>
      <c r="B271" s="15" t="n"/>
      <c r="C271" s="15" t="n"/>
      <c r="D271" s="15" t="n"/>
      <c r="E271" s="16" t="n"/>
      <c r="F271" s="16" t="n"/>
      <c r="G271" s="16" t="n"/>
      <c r="H271" s="16" t="n"/>
      <c r="I271" s="15" t="n"/>
      <c r="J271" s="15" t="n"/>
      <c r="K271" s="15">
        <f>IF(A271="","",IFERROR(AVERAGEIF('Data - Task Tracker'!B:B,A271,'Data - Task Tracker'!L:L),0))</f>
        <v/>
      </c>
      <c r="L271" s="15" t="n"/>
      <c r="M271" s="15" t="n"/>
      <c r="N271" s="15" t="n"/>
    </row>
    <row r="272">
      <c r="A272" s="15" t="n"/>
      <c r="B272" s="15" t="n"/>
      <c r="C272" s="15" t="n"/>
      <c r="D272" s="15" t="n"/>
      <c r="E272" s="16" t="n"/>
      <c r="F272" s="16" t="n"/>
      <c r="G272" s="16" t="n"/>
      <c r="H272" s="16" t="n"/>
      <c r="I272" s="15" t="n"/>
      <c r="J272" s="15" t="n"/>
      <c r="K272" s="15">
        <f>IF(A272="","",IFERROR(AVERAGEIF('Data - Task Tracker'!B:B,A272,'Data - Task Tracker'!L:L),0))</f>
        <v/>
      </c>
      <c r="L272" s="15" t="n"/>
      <c r="M272" s="15" t="n"/>
      <c r="N272" s="15" t="n"/>
    </row>
    <row r="273">
      <c r="A273" s="15" t="n"/>
      <c r="B273" s="15" t="n"/>
      <c r="C273" s="15" t="n"/>
      <c r="D273" s="15" t="n"/>
      <c r="E273" s="16" t="n"/>
      <c r="F273" s="16" t="n"/>
      <c r="G273" s="16" t="n"/>
      <c r="H273" s="16" t="n"/>
      <c r="I273" s="15" t="n"/>
      <c r="J273" s="15" t="n"/>
      <c r="K273" s="15">
        <f>IF(A273="","",IFERROR(AVERAGEIF('Data - Task Tracker'!B:B,A273,'Data - Task Tracker'!L:L),0))</f>
        <v/>
      </c>
      <c r="L273" s="15" t="n"/>
      <c r="M273" s="15" t="n"/>
      <c r="N273" s="15" t="n"/>
    </row>
    <row r="274">
      <c r="A274" s="15" t="n"/>
      <c r="B274" s="15" t="n"/>
      <c r="C274" s="15" t="n"/>
      <c r="D274" s="15" t="n"/>
      <c r="E274" s="16" t="n"/>
      <c r="F274" s="16" t="n"/>
      <c r="G274" s="16" t="n"/>
      <c r="H274" s="16" t="n"/>
      <c r="I274" s="15" t="n"/>
      <c r="J274" s="15" t="n"/>
      <c r="K274" s="15">
        <f>IF(A274="","",IFERROR(AVERAGEIF('Data - Task Tracker'!B:B,A274,'Data - Task Tracker'!L:L),0))</f>
        <v/>
      </c>
      <c r="L274" s="15" t="n"/>
      <c r="M274" s="15" t="n"/>
      <c r="N274" s="15" t="n"/>
    </row>
    <row r="275">
      <c r="A275" s="15" t="n"/>
      <c r="B275" s="15" t="n"/>
      <c r="C275" s="15" t="n"/>
      <c r="D275" s="15" t="n"/>
      <c r="E275" s="16" t="n"/>
      <c r="F275" s="16" t="n"/>
      <c r="G275" s="16" t="n"/>
      <c r="H275" s="16" t="n"/>
      <c r="I275" s="15" t="n"/>
      <c r="J275" s="15" t="n"/>
      <c r="K275" s="15">
        <f>IF(A275="","",IFERROR(AVERAGEIF('Data - Task Tracker'!B:B,A275,'Data - Task Tracker'!L:L),0))</f>
        <v/>
      </c>
      <c r="L275" s="15" t="n"/>
      <c r="M275" s="15" t="n"/>
      <c r="N275" s="15" t="n"/>
    </row>
    <row r="276">
      <c r="A276" s="15" t="n"/>
      <c r="B276" s="15" t="n"/>
      <c r="C276" s="15" t="n"/>
      <c r="D276" s="15" t="n"/>
      <c r="E276" s="16" t="n"/>
      <c r="F276" s="16" t="n"/>
      <c r="G276" s="16" t="n"/>
      <c r="H276" s="16" t="n"/>
      <c r="I276" s="15" t="n"/>
      <c r="J276" s="15" t="n"/>
      <c r="K276" s="15">
        <f>IF(A276="","",IFERROR(AVERAGEIF('Data - Task Tracker'!B:B,A276,'Data - Task Tracker'!L:L),0))</f>
        <v/>
      </c>
      <c r="L276" s="15" t="n"/>
      <c r="M276" s="15" t="n"/>
      <c r="N276" s="15" t="n"/>
    </row>
    <row r="277">
      <c r="A277" s="15" t="n"/>
      <c r="B277" s="15" t="n"/>
      <c r="C277" s="15" t="n"/>
      <c r="D277" s="15" t="n"/>
      <c r="E277" s="16" t="n"/>
      <c r="F277" s="16" t="n"/>
      <c r="G277" s="16" t="n"/>
      <c r="H277" s="16" t="n"/>
      <c r="I277" s="15" t="n"/>
      <c r="J277" s="15" t="n"/>
      <c r="K277" s="15">
        <f>IF(A277="","",IFERROR(AVERAGEIF('Data - Task Tracker'!B:B,A277,'Data - Task Tracker'!L:L),0))</f>
        <v/>
      </c>
      <c r="L277" s="15" t="n"/>
      <c r="M277" s="15" t="n"/>
      <c r="N277" s="15" t="n"/>
    </row>
    <row r="278">
      <c r="A278" s="15" t="n"/>
      <c r="B278" s="15" t="n"/>
      <c r="C278" s="15" t="n"/>
      <c r="D278" s="15" t="n"/>
      <c r="E278" s="16" t="n"/>
      <c r="F278" s="16" t="n"/>
      <c r="G278" s="16" t="n"/>
      <c r="H278" s="16" t="n"/>
      <c r="I278" s="15" t="n"/>
      <c r="J278" s="15" t="n"/>
      <c r="K278" s="15">
        <f>IF(A278="","",IFERROR(AVERAGEIF('Data - Task Tracker'!B:B,A278,'Data - Task Tracker'!L:L),0))</f>
        <v/>
      </c>
      <c r="L278" s="15" t="n"/>
      <c r="M278" s="15" t="n"/>
      <c r="N278" s="15" t="n"/>
    </row>
    <row r="279">
      <c r="A279" s="15" t="n"/>
      <c r="B279" s="15" t="n"/>
      <c r="C279" s="15" t="n"/>
      <c r="D279" s="15" t="n"/>
      <c r="E279" s="16" t="n"/>
      <c r="F279" s="16" t="n"/>
      <c r="G279" s="16" t="n"/>
      <c r="H279" s="16" t="n"/>
      <c r="I279" s="15" t="n"/>
      <c r="J279" s="15" t="n"/>
      <c r="K279" s="15">
        <f>IF(A279="","",IFERROR(AVERAGEIF('Data - Task Tracker'!B:B,A279,'Data - Task Tracker'!L:L),0))</f>
        <v/>
      </c>
      <c r="L279" s="15" t="n"/>
      <c r="M279" s="15" t="n"/>
      <c r="N279" s="15" t="n"/>
    </row>
    <row r="280">
      <c r="A280" s="15" t="n"/>
      <c r="B280" s="15" t="n"/>
      <c r="C280" s="15" t="n"/>
      <c r="D280" s="15" t="n"/>
      <c r="E280" s="16" t="n"/>
      <c r="F280" s="16" t="n"/>
      <c r="G280" s="16" t="n"/>
      <c r="H280" s="16" t="n"/>
      <c r="I280" s="15" t="n"/>
      <c r="J280" s="15" t="n"/>
      <c r="K280" s="15">
        <f>IF(A280="","",IFERROR(AVERAGEIF('Data - Task Tracker'!B:B,A280,'Data - Task Tracker'!L:L),0))</f>
        <v/>
      </c>
      <c r="L280" s="15" t="n"/>
      <c r="M280" s="15" t="n"/>
      <c r="N280" s="15" t="n"/>
    </row>
    <row r="281">
      <c r="A281" s="15" t="n"/>
      <c r="B281" s="15" t="n"/>
      <c r="C281" s="15" t="n"/>
      <c r="D281" s="15" t="n"/>
      <c r="E281" s="16" t="n"/>
      <c r="F281" s="16" t="n"/>
      <c r="G281" s="16" t="n"/>
      <c r="H281" s="16" t="n"/>
      <c r="I281" s="15" t="n"/>
      <c r="J281" s="15" t="n"/>
      <c r="K281" s="15">
        <f>IF(A281="","",IFERROR(AVERAGEIF('Data - Task Tracker'!B:B,A281,'Data - Task Tracker'!L:L),0))</f>
        <v/>
      </c>
      <c r="L281" s="15" t="n"/>
      <c r="M281" s="15" t="n"/>
      <c r="N281" s="15" t="n"/>
    </row>
    <row r="282">
      <c r="A282" s="15" t="n"/>
      <c r="B282" s="15" t="n"/>
      <c r="C282" s="15" t="n"/>
      <c r="D282" s="15" t="n"/>
      <c r="E282" s="16" t="n"/>
      <c r="F282" s="16" t="n"/>
      <c r="G282" s="16" t="n"/>
      <c r="H282" s="16" t="n"/>
      <c r="I282" s="15" t="n"/>
      <c r="J282" s="15" t="n"/>
      <c r="K282" s="15">
        <f>IF(A282="","",IFERROR(AVERAGEIF('Data - Task Tracker'!B:B,A282,'Data - Task Tracker'!L:L),0))</f>
        <v/>
      </c>
      <c r="L282" s="15" t="n"/>
      <c r="M282" s="15" t="n"/>
      <c r="N282" s="15" t="n"/>
    </row>
    <row r="283">
      <c r="A283" s="15" t="n"/>
      <c r="B283" s="15" t="n"/>
      <c r="C283" s="15" t="n"/>
      <c r="D283" s="15" t="n"/>
      <c r="E283" s="16" t="n"/>
      <c r="F283" s="16" t="n"/>
      <c r="G283" s="16" t="n"/>
      <c r="H283" s="16" t="n"/>
      <c r="I283" s="15" t="n"/>
      <c r="J283" s="15" t="n"/>
      <c r="K283" s="15">
        <f>IF(A283="","",IFERROR(AVERAGEIF('Data - Task Tracker'!B:B,A283,'Data - Task Tracker'!L:L),0))</f>
        <v/>
      </c>
      <c r="L283" s="15" t="n"/>
      <c r="M283" s="15" t="n"/>
      <c r="N283" s="15" t="n"/>
    </row>
    <row r="284">
      <c r="A284" s="15" t="n"/>
      <c r="B284" s="15" t="n"/>
      <c r="C284" s="15" t="n"/>
      <c r="D284" s="15" t="n"/>
      <c r="E284" s="16" t="n"/>
      <c r="F284" s="16" t="n"/>
      <c r="G284" s="16" t="n"/>
      <c r="H284" s="16" t="n"/>
      <c r="I284" s="15" t="n"/>
      <c r="J284" s="15" t="n"/>
      <c r="K284" s="15">
        <f>IF(A284="","",IFERROR(AVERAGEIF('Data - Task Tracker'!B:B,A284,'Data - Task Tracker'!L:L),0))</f>
        <v/>
      </c>
      <c r="L284" s="15" t="n"/>
      <c r="M284" s="15" t="n"/>
      <c r="N284" s="15" t="n"/>
    </row>
    <row r="285">
      <c r="A285" s="15" t="n"/>
      <c r="B285" s="15" t="n"/>
      <c r="C285" s="15" t="n"/>
      <c r="D285" s="15" t="n"/>
      <c r="E285" s="16" t="n"/>
      <c r="F285" s="16" t="n"/>
      <c r="G285" s="16" t="n"/>
      <c r="H285" s="16" t="n"/>
      <c r="I285" s="15" t="n"/>
      <c r="J285" s="15" t="n"/>
      <c r="K285" s="15">
        <f>IF(A285="","",IFERROR(AVERAGEIF('Data - Task Tracker'!B:B,A285,'Data - Task Tracker'!L:L),0))</f>
        <v/>
      </c>
      <c r="L285" s="15" t="n"/>
      <c r="M285" s="15" t="n"/>
      <c r="N285" s="15" t="n"/>
    </row>
    <row r="286">
      <c r="A286" s="15" t="n"/>
      <c r="B286" s="15" t="n"/>
      <c r="C286" s="15" t="n"/>
      <c r="D286" s="15" t="n"/>
      <c r="E286" s="16" t="n"/>
      <c r="F286" s="16" t="n"/>
      <c r="G286" s="16" t="n"/>
      <c r="H286" s="16" t="n"/>
      <c r="I286" s="15" t="n"/>
      <c r="J286" s="15" t="n"/>
      <c r="K286" s="15">
        <f>IF(A286="","",IFERROR(AVERAGEIF('Data - Task Tracker'!B:B,A286,'Data - Task Tracker'!L:L),0))</f>
        <v/>
      </c>
      <c r="L286" s="15" t="n"/>
      <c r="M286" s="15" t="n"/>
      <c r="N286" s="15" t="n"/>
    </row>
    <row r="287">
      <c r="A287" s="15" t="n"/>
      <c r="B287" s="15" t="n"/>
      <c r="C287" s="15" t="n"/>
      <c r="D287" s="15" t="n"/>
      <c r="E287" s="16" t="n"/>
      <c r="F287" s="16" t="n"/>
      <c r="G287" s="16" t="n"/>
      <c r="H287" s="16" t="n"/>
      <c r="I287" s="15" t="n"/>
      <c r="J287" s="15" t="n"/>
      <c r="K287" s="15">
        <f>IF(A287="","",IFERROR(AVERAGEIF('Data - Task Tracker'!B:B,A287,'Data - Task Tracker'!L:L),0))</f>
        <v/>
      </c>
      <c r="L287" s="15" t="n"/>
      <c r="M287" s="15" t="n"/>
      <c r="N287" s="15" t="n"/>
    </row>
    <row r="288">
      <c r="A288" s="15" t="n"/>
      <c r="B288" s="15" t="n"/>
      <c r="C288" s="15" t="n"/>
      <c r="D288" s="15" t="n"/>
      <c r="E288" s="16" t="n"/>
      <c r="F288" s="16" t="n"/>
      <c r="G288" s="16" t="n"/>
      <c r="H288" s="16" t="n"/>
      <c r="I288" s="15" t="n"/>
      <c r="J288" s="15" t="n"/>
      <c r="K288" s="15">
        <f>IF(A288="","",IFERROR(AVERAGEIF('Data - Task Tracker'!B:B,A288,'Data - Task Tracker'!L:L),0))</f>
        <v/>
      </c>
      <c r="L288" s="15" t="n"/>
      <c r="M288" s="15" t="n"/>
      <c r="N288" s="15" t="n"/>
    </row>
    <row r="289">
      <c r="A289" s="15" t="n"/>
      <c r="B289" s="15" t="n"/>
      <c r="C289" s="15" t="n"/>
      <c r="D289" s="15" t="n"/>
      <c r="E289" s="16" t="n"/>
      <c r="F289" s="16" t="n"/>
      <c r="G289" s="16" t="n"/>
      <c r="H289" s="16" t="n"/>
      <c r="I289" s="15" t="n"/>
      <c r="J289" s="15" t="n"/>
      <c r="K289" s="15">
        <f>IF(A289="","",IFERROR(AVERAGEIF('Data - Task Tracker'!B:B,A289,'Data - Task Tracker'!L:L),0))</f>
        <v/>
      </c>
      <c r="L289" s="15" t="n"/>
      <c r="M289" s="15" t="n"/>
      <c r="N289" s="15" t="n"/>
    </row>
    <row r="290">
      <c r="A290" s="15" t="n"/>
      <c r="B290" s="15" t="n"/>
      <c r="C290" s="15" t="n"/>
      <c r="D290" s="15" t="n"/>
      <c r="E290" s="16" t="n"/>
      <c r="F290" s="16" t="n"/>
      <c r="G290" s="16" t="n"/>
      <c r="H290" s="16" t="n"/>
      <c r="I290" s="15" t="n"/>
      <c r="J290" s="15" t="n"/>
      <c r="K290" s="15">
        <f>IF(A290="","",IFERROR(AVERAGEIF('Data - Task Tracker'!B:B,A290,'Data - Task Tracker'!L:L),0))</f>
        <v/>
      </c>
      <c r="L290" s="15" t="n"/>
      <c r="M290" s="15" t="n"/>
      <c r="N290" s="15" t="n"/>
    </row>
    <row r="291">
      <c r="A291" s="15" t="n"/>
      <c r="B291" s="15" t="n"/>
      <c r="C291" s="15" t="n"/>
      <c r="D291" s="15" t="n"/>
      <c r="E291" s="16" t="n"/>
      <c r="F291" s="16" t="n"/>
      <c r="G291" s="16" t="n"/>
      <c r="H291" s="16" t="n"/>
      <c r="I291" s="15" t="n"/>
      <c r="J291" s="15" t="n"/>
      <c r="K291" s="15">
        <f>IF(A291="","",IFERROR(AVERAGEIF('Data - Task Tracker'!B:B,A291,'Data - Task Tracker'!L:L),0))</f>
        <v/>
      </c>
      <c r="L291" s="15" t="n"/>
      <c r="M291" s="15" t="n"/>
      <c r="N291" s="15" t="n"/>
    </row>
    <row r="292">
      <c r="A292" s="15" t="n"/>
      <c r="B292" s="15" t="n"/>
      <c r="C292" s="15" t="n"/>
      <c r="D292" s="15" t="n"/>
      <c r="E292" s="16" t="n"/>
      <c r="F292" s="16" t="n"/>
      <c r="G292" s="16" t="n"/>
      <c r="H292" s="16" t="n"/>
      <c r="I292" s="15" t="n"/>
      <c r="J292" s="15" t="n"/>
      <c r="K292" s="15">
        <f>IF(A292="","",IFERROR(AVERAGEIF('Data - Task Tracker'!B:B,A292,'Data - Task Tracker'!L:L),0))</f>
        <v/>
      </c>
      <c r="L292" s="15" t="n"/>
      <c r="M292" s="15" t="n"/>
      <c r="N292" s="15" t="n"/>
    </row>
    <row r="293">
      <c r="A293" s="15" t="n"/>
      <c r="B293" s="15" t="n"/>
      <c r="C293" s="15" t="n"/>
      <c r="D293" s="15" t="n"/>
      <c r="E293" s="16" t="n"/>
      <c r="F293" s="16" t="n"/>
      <c r="G293" s="16" t="n"/>
      <c r="H293" s="16" t="n"/>
      <c r="I293" s="15" t="n"/>
      <c r="J293" s="15" t="n"/>
      <c r="K293" s="15">
        <f>IF(A293="","",IFERROR(AVERAGEIF('Data - Task Tracker'!B:B,A293,'Data - Task Tracker'!L:L),0))</f>
        <v/>
      </c>
      <c r="L293" s="15" t="n"/>
      <c r="M293" s="15" t="n"/>
      <c r="N293" s="15" t="n"/>
    </row>
    <row r="294">
      <c r="A294" s="15" t="n"/>
      <c r="B294" s="15" t="n"/>
      <c r="C294" s="15" t="n"/>
      <c r="D294" s="15" t="n"/>
      <c r="E294" s="16" t="n"/>
      <c r="F294" s="16" t="n"/>
      <c r="G294" s="16" t="n"/>
      <c r="H294" s="16" t="n"/>
      <c r="I294" s="15" t="n"/>
      <c r="J294" s="15" t="n"/>
      <c r="K294" s="15">
        <f>IF(A294="","",IFERROR(AVERAGEIF('Data - Task Tracker'!B:B,A294,'Data - Task Tracker'!L:L),0))</f>
        <v/>
      </c>
      <c r="L294" s="15" t="n"/>
      <c r="M294" s="15" t="n"/>
      <c r="N294" s="15" t="n"/>
    </row>
    <row r="295">
      <c r="A295" s="15" t="n"/>
      <c r="B295" s="15" t="n"/>
      <c r="C295" s="15" t="n"/>
      <c r="D295" s="15" t="n"/>
      <c r="E295" s="16" t="n"/>
      <c r="F295" s="16" t="n"/>
      <c r="G295" s="16" t="n"/>
      <c r="H295" s="16" t="n"/>
      <c r="I295" s="15" t="n"/>
      <c r="J295" s="15" t="n"/>
      <c r="K295" s="15">
        <f>IF(A295="","",IFERROR(AVERAGEIF('Data - Task Tracker'!B:B,A295,'Data - Task Tracker'!L:L),0))</f>
        <v/>
      </c>
      <c r="L295" s="15" t="n"/>
      <c r="M295" s="15" t="n"/>
      <c r="N295" s="15" t="n"/>
    </row>
    <row r="296">
      <c r="A296" s="15" t="n"/>
      <c r="B296" s="15" t="n"/>
      <c r="C296" s="15" t="n"/>
      <c r="D296" s="15" t="n"/>
      <c r="E296" s="16" t="n"/>
      <c r="F296" s="16" t="n"/>
      <c r="G296" s="16" t="n"/>
      <c r="H296" s="16" t="n"/>
      <c r="I296" s="15" t="n"/>
      <c r="J296" s="15" t="n"/>
      <c r="K296" s="15">
        <f>IF(A296="","",IFERROR(AVERAGEIF('Data - Task Tracker'!B:B,A296,'Data - Task Tracker'!L:L),0))</f>
        <v/>
      </c>
      <c r="L296" s="15" t="n"/>
      <c r="M296" s="15" t="n"/>
      <c r="N296" s="15" t="n"/>
    </row>
    <row r="297">
      <c r="A297" s="15" t="n"/>
      <c r="B297" s="15" t="n"/>
      <c r="C297" s="15" t="n"/>
      <c r="D297" s="15" t="n"/>
      <c r="E297" s="16" t="n"/>
      <c r="F297" s="16" t="n"/>
      <c r="G297" s="16" t="n"/>
      <c r="H297" s="16" t="n"/>
      <c r="I297" s="15" t="n"/>
      <c r="J297" s="15" t="n"/>
      <c r="K297" s="15">
        <f>IF(A297="","",IFERROR(AVERAGEIF('Data - Task Tracker'!B:B,A297,'Data - Task Tracker'!L:L),0))</f>
        <v/>
      </c>
      <c r="L297" s="15" t="n"/>
      <c r="M297" s="15" t="n"/>
      <c r="N297" s="15" t="n"/>
    </row>
    <row r="298">
      <c r="A298" s="15" t="n"/>
      <c r="B298" s="15" t="n"/>
      <c r="C298" s="15" t="n"/>
      <c r="D298" s="15" t="n"/>
      <c r="E298" s="16" t="n"/>
      <c r="F298" s="16" t="n"/>
      <c r="G298" s="16" t="n"/>
      <c r="H298" s="16" t="n"/>
      <c r="I298" s="15" t="n"/>
      <c r="J298" s="15" t="n"/>
      <c r="K298" s="15">
        <f>IF(A298="","",IFERROR(AVERAGEIF('Data - Task Tracker'!B:B,A298,'Data - Task Tracker'!L:L),0))</f>
        <v/>
      </c>
      <c r="L298" s="15" t="n"/>
      <c r="M298" s="15" t="n"/>
      <c r="N298" s="15" t="n"/>
    </row>
    <row r="299">
      <c r="A299" s="15" t="n"/>
      <c r="B299" s="15" t="n"/>
      <c r="C299" s="15" t="n"/>
      <c r="D299" s="15" t="n"/>
      <c r="E299" s="16" t="n"/>
      <c r="F299" s="16" t="n"/>
      <c r="G299" s="16" t="n"/>
      <c r="H299" s="16" t="n"/>
      <c r="I299" s="15" t="n"/>
      <c r="J299" s="15" t="n"/>
      <c r="K299" s="15">
        <f>IF(A299="","",IFERROR(AVERAGEIF('Data - Task Tracker'!B:B,A299,'Data - Task Tracker'!L:L),0))</f>
        <v/>
      </c>
      <c r="L299" s="15" t="n"/>
      <c r="M299" s="15" t="n"/>
      <c r="N299" s="15" t="n"/>
    </row>
    <row r="300">
      <c r="A300" s="15" t="n"/>
      <c r="B300" s="15" t="n"/>
      <c r="C300" s="15" t="n"/>
      <c r="D300" s="15" t="n"/>
      <c r="E300" s="16" t="n"/>
      <c r="F300" s="16" t="n"/>
      <c r="G300" s="16" t="n"/>
      <c r="H300" s="16" t="n"/>
      <c r="I300" s="15" t="n"/>
      <c r="J300" s="15" t="n"/>
      <c r="K300" s="15">
        <f>IF(A300="","",IFERROR(AVERAGEIF('Data - Task Tracker'!B:B,A300,'Data - Task Tracker'!L:L),0))</f>
        <v/>
      </c>
      <c r="L300" s="15" t="n"/>
      <c r="M300" s="15" t="n"/>
      <c r="N300" s="15" t="n"/>
    </row>
    <row r="301">
      <c r="A301" s="15" t="n"/>
      <c r="B301" s="15" t="n"/>
      <c r="C301" s="15" t="n"/>
      <c r="D301" s="15" t="n"/>
      <c r="E301" s="16" t="n"/>
      <c r="F301" s="16" t="n"/>
      <c r="G301" s="16" t="n"/>
      <c r="H301" s="16" t="n"/>
      <c r="I301" s="15" t="n"/>
      <c r="J301" s="15" t="n"/>
      <c r="K301" s="15">
        <f>IF(A301="","",IFERROR(AVERAGEIF('Data - Task Tracker'!B:B,A301,'Data - Task Tracker'!L:L),0))</f>
        <v/>
      </c>
      <c r="L301" s="15" t="n"/>
      <c r="M301" s="15" t="n"/>
      <c r="N301" s="15" t="n"/>
    </row>
    <row r="302">
      <c r="A302" s="15" t="n"/>
      <c r="B302" s="15" t="n"/>
      <c r="C302" s="15" t="n"/>
      <c r="D302" s="15" t="n"/>
      <c r="E302" s="16" t="n"/>
      <c r="F302" s="16" t="n"/>
      <c r="G302" s="16" t="n"/>
      <c r="H302" s="16" t="n"/>
      <c r="I302" s="15" t="n"/>
      <c r="J302" s="15" t="n"/>
      <c r="K302" s="15">
        <f>IF(A302="","",IFERROR(AVERAGEIF('Data - Task Tracker'!B:B,A302,'Data - Task Tracker'!L:L),0))</f>
        <v/>
      </c>
      <c r="L302" s="15" t="n"/>
      <c r="M302" s="15" t="n"/>
      <c r="N302" s="15" t="n"/>
    </row>
    <row r="303">
      <c r="A303" s="15" t="n"/>
      <c r="B303" s="15" t="n"/>
      <c r="C303" s="15" t="n"/>
      <c r="D303" s="15" t="n"/>
      <c r="E303" s="16" t="n"/>
      <c r="F303" s="16" t="n"/>
      <c r="G303" s="16" t="n"/>
      <c r="H303" s="16" t="n"/>
      <c r="I303" s="15" t="n"/>
      <c r="J303" s="15" t="n"/>
      <c r="K303" s="15">
        <f>IF(A303="","",IFERROR(AVERAGEIF('Data - Task Tracker'!B:B,A303,'Data - Task Tracker'!L:L),0))</f>
        <v/>
      </c>
      <c r="L303" s="15" t="n"/>
      <c r="M303" s="15" t="n"/>
      <c r="N303" s="15" t="n"/>
    </row>
    <row r="304">
      <c r="A304" s="15" t="n"/>
      <c r="B304" s="15" t="n"/>
      <c r="C304" s="15" t="n"/>
      <c r="D304" s="15" t="n"/>
      <c r="E304" s="16" t="n"/>
      <c r="F304" s="16" t="n"/>
      <c r="G304" s="16" t="n"/>
      <c r="H304" s="16" t="n"/>
      <c r="I304" s="15" t="n"/>
      <c r="J304" s="15" t="n"/>
      <c r="K304" s="15">
        <f>IF(A304="","",IFERROR(AVERAGEIF('Data - Task Tracker'!B:B,A304,'Data - Task Tracker'!L:L),0))</f>
        <v/>
      </c>
      <c r="L304" s="15" t="n"/>
      <c r="M304" s="15" t="n"/>
      <c r="N304" s="15" t="n"/>
    </row>
    <row r="305">
      <c r="A305" s="15" t="n"/>
      <c r="B305" s="15" t="n"/>
      <c r="C305" s="15" t="n"/>
      <c r="D305" s="15" t="n"/>
      <c r="E305" s="16" t="n"/>
      <c r="F305" s="16" t="n"/>
      <c r="G305" s="16" t="n"/>
      <c r="H305" s="16" t="n"/>
      <c r="I305" s="15" t="n"/>
      <c r="J305" s="15" t="n"/>
      <c r="K305" s="15">
        <f>IF(A305="","",IFERROR(AVERAGEIF('Data - Task Tracker'!B:B,A305,'Data - Task Tracker'!L:L),0))</f>
        <v/>
      </c>
      <c r="L305" s="15" t="n"/>
      <c r="M305" s="15" t="n"/>
      <c r="N305" s="15" t="n"/>
    </row>
    <row r="306">
      <c r="A306" s="15" t="n"/>
      <c r="B306" s="15" t="n"/>
      <c r="C306" s="15" t="n"/>
      <c r="D306" s="15" t="n"/>
      <c r="E306" s="16" t="n"/>
      <c r="F306" s="16" t="n"/>
      <c r="G306" s="16" t="n"/>
      <c r="H306" s="16" t="n"/>
      <c r="I306" s="15" t="n"/>
      <c r="J306" s="15" t="n"/>
      <c r="K306" s="15">
        <f>IF(A306="","",IFERROR(AVERAGEIF('Data - Task Tracker'!B:B,A306,'Data - Task Tracker'!L:L),0))</f>
        <v/>
      </c>
      <c r="L306" s="15" t="n"/>
      <c r="M306" s="15" t="n"/>
      <c r="N306" s="15" t="n"/>
    </row>
    <row r="307">
      <c r="A307" s="15" t="n"/>
      <c r="B307" s="15" t="n"/>
      <c r="C307" s="15" t="n"/>
      <c r="D307" s="15" t="n"/>
      <c r="E307" s="16" t="n"/>
      <c r="F307" s="16" t="n"/>
      <c r="G307" s="16" t="n"/>
      <c r="H307" s="16" t="n"/>
      <c r="I307" s="15" t="n"/>
      <c r="J307" s="15" t="n"/>
      <c r="K307" s="15">
        <f>IF(A307="","",IFERROR(AVERAGEIF('Data - Task Tracker'!B:B,A307,'Data - Task Tracker'!L:L),0))</f>
        <v/>
      </c>
      <c r="L307" s="15" t="n"/>
      <c r="M307" s="15" t="n"/>
      <c r="N307" s="15" t="n"/>
    </row>
    <row r="308">
      <c r="A308" s="15" t="n"/>
      <c r="B308" s="15" t="n"/>
      <c r="C308" s="15" t="n"/>
      <c r="D308" s="15" t="n"/>
      <c r="E308" s="16" t="n"/>
      <c r="F308" s="16" t="n"/>
      <c r="G308" s="16" t="n"/>
      <c r="H308" s="16" t="n"/>
      <c r="I308" s="15" t="n"/>
      <c r="J308" s="15" t="n"/>
      <c r="K308" s="15">
        <f>IF(A308="","",IFERROR(AVERAGEIF('Data - Task Tracker'!B:B,A308,'Data - Task Tracker'!L:L),0))</f>
        <v/>
      </c>
      <c r="L308" s="15" t="n"/>
      <c r="M308" s="15" t="n"/>
      <c r="N308" s="15" t="n"/>
    </row>
    <row r="309">
      <c r="A309" s="15" t="n"/>
      <c r="B309" s="15" t="n"/>
      <c r="C309" s="15" t="n"/>
      <c r="D309" s="15" t="n"/>
      <c r="E309" s="16" t="n"/>
      <c r="F309" s="16" t="n"/>
      <c r="G309" s="16" t="n"/>
      <c r="H309" s="16" t="n"/>
      <c r="I309" s="15" t="n"/>
      <c r="J309" s="15" t="n"/>
      <c r="K309" s="15">
        <f>IF(A309="","",IFERROR(AVERAGEIF('Data - Task Tracker'!B:B,A309,'Data - Task Tracker'!L:L),0))</f>
        <v/>
      </c>
      <c r="L309" s="15" t="n"/>
      <c r="M309" s="15" t="n"/>
      <c r="N309" s="15" t="n"/>
    </row>
    <row r="310">
      <c r="A310" s="15" t="n"/>
      <c r="B310" s="15" t="n"/>
      <c r="C310" s="15" t="n"/>
      <c r="D310" s="15" t="n"/>
      <c r="E310" s="16" t="n"/>
      <c r="F310" s="16" t="n"/>
      <c r="G310" s="16" t="n"/>
      <c r="H310" s="16" t="n"/>
      <c r="I310" s="15" t="n"/>
      <c r="J310" s="15" t="n"/>
      <c r="K310" s="15">
        <f>IF(A310="","",IFERROR(AVERAGEIF('Data - Task Tracker'!B:B,A310,'Data - Task Tracker'!L:L),0))</f>
        <v/>
      </c>
      <c r="L310" s="15" t="n"/>
      <c r="M310" s="15" t="n"/>
      <c r="N310" s="15" t="n"/>
    </row>
    <row r="311">
      <c r="A311" s="15" t="n"/>
      <c r="B311" s="15" t="n"/>
      <c r="C311" s="15" t="n"/>
      <c r="D311" s="15" t="n"/>
      <c r="E311" s="16" t="n"/>
      <c r="F311" s="16" t="n"/>
      <c r="G311" s="16" t="n"/>
      <c r="H311" s="16" t="n"/>
      <c r="I311" s="15" t="n"/>
      <c r="J311" s="15" t="n"/>
      <c r="K311" s="15">
        <f>IF(A311="","",IFERROR(AVERAGEIF('Data - Task Tracker'!B:B,A311,'Data - Task Tracker'!L:L),0))</f>
        <v/>
      </c>
      <c r="L311" s="15" t="n"/>
      <c r="M311" s="15" t="n"/>
      <c r="N311" s="15" t="n"/>
    </row>
    <row r="312">
      <c r="A312" s="15" t="n"/>
      <c r="B312" s="15" t="n"/>
      <c r="C312" s="15" t="n"/>
      <c r="D312" s="15" t="n"/>
      <c r="E312" s="16" t="n"/>
      <c r="F312" s="16" t="n"/>
      <c r="G312" s="16" t="n"/>
      <c r="H312" s="16" t="n"/>
      <c r="I312" s="15" t="n"/>
      <c r="J312" s="15" t="n"/>
      <c r="K312" s="15">
        <f>IF(A312="","",IFERROR(AVERAGEIF('Data - Task Tracker'!B:B,A312,'Data - Task Tracker'!L:L),0))</f>
        <v/>
      </c>
      <c r="L312" s="15" t="n"/>
      <c r="M312" s="15" t="n"/>
      <c r="N312" s="15" t="n"/>
    </row>
    <row r="313">
      <c r="A313" s="15" t="n"/>
      <c r="B313" s="15" t="n"/>
      <c r="C313" s="15" t="n"/>
      <c r="D313" s="15" t="n"/>
      <c r="E313" s="16" t="n"/>
      <c r="F313" s="16" t="n"/>
      <c r="G313" s="16" t="n"/>
      <c r="H313" s="16" t="n"/>
      <c r="I313" s="15" t="n"/>
      <c r="J313" s="15" t="n"/>
      <c r="K313" s="15">
        <f>IF(A313="","",IFERROR(AVERAGEIF('Data - Task Tracker'!B:B,A313,'Data - Task Tracker'!L:L),0))</f>
        <v/>
      </c>
      <c r="L313" s="15" t="n"/>
      <c r="M313" s="15" t="n"/>
      <c r="N313" s="15" t="n"/>
    </row>
    <row r="314">
      <c r="A314" s="15" t="n"/>
      <c r="B314" s="15" t="n"/>
      <c r="C314" s="15" t="n"/>
      <c r="D314" s="15" t="n"/>
      <c r="E314" s="16" t="n"/>
      <c r="F314" s="16" t="n"/>
      <c r="G314" s="16" t="n"/>
      <c r="H314" s="16" t="n"/>
      <c r="I314" s="15" t="n"/>
      <c r="J314" s="15" t="n"/>
      <c r="K314" s="15">
        <f>IF(A314="","",IFERROR(AVERAGEIF('Data - Task Tracker'!B:B,A314,'Data - Task Tracker'!L:L),0))</f>
        <v/>
      </c>
      <c r="L314" s="15" t="n"/>
      <c r="M314" s="15" t="n"/>
      <c r="N314" s="15" t="n"/>
    </row>
    <row r="315">
      <c r="A315" s="15" t="n"/>
      <c r="B315" s="15" t="n"/>
      <c r="C315" s="15" t="n"/>
      <c r="D315" s="15" t="n"/>
      <c r="E315" s="16" t="n"/>
      <c r="F315" s="16" t="n"/>
      <c r="G315" s="16" t="n"/>
      <c r="H315" s="16" t="n"/>
      <c r="I315" s="15" t="n"/>
      <c r="J315" s="15" t="n"/>
      <c r="K315" s="15">
        <f>IF(A315="","",IFERROR(AVERAGEIF('Data - Task Tracker'!B:B,A315,'Data - Task Tracker'!L:L),0))</f>
        <v/>
      </c>
      <c r="L315" s="15" t="n"/>
      <c r="M315" s="15" t="n"/>
      <c r="N315" s="15" t="n"/>
    </row>
    <row r="316">
      <c r="A316" s="15" t="n"/>
      <c r="B316" s="15" t="n"/>
      <c r="C316" s="15" t="n"/>
      <c r="D316" s="15" t="n"/>
      <c r="E316" s="16" t="n"/>
      <c r="F316" s="16" t="n"/>
      <c r="G316" s="16" t="n"/>
      <c r="H316" s="16" t="n"/>
      <c r="I316" s="15" t="n"/>
      <c r="J316" s="15" t="n"/>
      <c r="K316" s="15">
        <f>IF(A316="","",IFERROR(AVERAGEIF('Data - Task Tracker'!B:B,A316,'Data - Task Tracker'!L:L),0))</f>
        <v/>
      </c>
      <c r="L316" s="15" t="n"/>
      <c r="M316" s="15" t="n"/>
      <c r="N316" s="15" t="n"/>
    </row>
    <row r="317">
      <c r="A317" s="15" t="n"/>
      <c r="B317" s="15" t="n"/>
      <c r="C317" s="15" t="n"/>
      <c r="D317" s="15" t="n"/>
      <c r="E317" s="16" t="n"/>
      <c r="F317" s="16" t="n"/>
      <c r="G317" s="16" t="n"/>
      <c r="H317" s="16" t="n"/>
      <c r="I317" s="15" t="n"/>
      <c r="J317" s="15" t="n"/>
      <c r="K317" s="15">
        <f>IF(A317="","",IFERROR(AVERAGEIF('Data - Task Tracker'!B:B,A317,'Data - Task Tracker'!L:L),0))</f>
        <v/>
      </c>
      <c r="L317" s="15" t="n"/>
      <c r="M317" s="15" t="n"/>
      <c r="N317" s="15" t="n"/>
    </row>
    <row r="318">
      <c r="A318" s="15" t="n"/>
      <c r="B318" s="15" t="n"/>
      <c r="C318" s="15" t="n"/>
      <c r="D318" s="15" t="n"/>
      <c r="E318" s="16" t="n"/>
      <c r="F318" s="16" t="n"/>
      <c r="G318" s="16" t="n"/>
      <c r="H318" s="16" t="n"/>
      <c r="I318" s="15" t="n"/>
      <c r="J318" s="15" t="n"/>
      <c r="K318" s="15">
        <f>IF(A318="","",IFERROR(AVERAGEIF('Data - Task Tracker'!B:B,A318,'Data - Task Tracker'!L:L),0))</f>
        <v/>
      </c>
      <c r="L318" s="15" t="n"/>
      <c r="M318" s="15" t="n"/>
      <c r="N318" s="15" t="n"/>
    </row>
    <row r="319">
      <c r="A319" s="15" t="n"/>
      <c r="B319" s="15" t="n"/>
      <c r="C319" s="15" t="n"/>
      <c r="D319" s="15" t="n"/>
      <c r="E319" s="16" t="n"/>
      <c r="F319" s="16" t="n"/>
      <c r="G319" s="16" t="n"/>
      <c r="H319" s="16" t="n"/>
      <c r="I319" s="15" t="n"/>
      <c r="J319" s="15" t="n"/>
      <c r="K319" s="15">
        <f>IF(A319="","",IFERROR(AVERAGEIF('Data - Task Tracker'!B:B,A319,'Data - Task Tracker'!L:L),0))</f>
        <v/>
      </c>
      <c r="L319" s="15" t="n"/>
      <c r="M319" s="15" t="n"/>
      <c r="N319" s="15" t="n"/>
    </row>
    <row r="320">
      <c r="A320" s="15" t="n"/>
      <c r="B320" s="15" t="n"/>
      <c r="C320" s="15" t="n"/>
      <c r="D320" s="15" t="n"/>
      <c r="E320" s="16" t="n"/>
      <c r="F320" s="16" t="n"/>
      <c r="G320" s="16" t="n"/>
      <c r="H320" s="16" t="n"/>
      <c r="I320" s="15" t="n"/>
      <c r="J320" s="15" t="n"/>
      <c r="K320" s="15">
        <f>IF(A320="","",IFERROR(AVERAGEIF('Data - Task Tracker'!B:B,A320,'Data - Task Tracker'!L:L),0))</f>
        <v/>
      </c>
      <c r="L320" s="15" t="n"/>
      <c r="M320" s="15" t="n"/>
      <c r="N320" s="15" t="n"/>
    </row>
    <row r="321">
      <c r="A321" s="15" t="n"/>
      <c r="B321" s="15" t="n"/>
      <c r="C321" s="15" t="n"/>
      <c r="D321" s="15" t="n"/>
      <c r="E321" s="16" t="n"/>
      <c r="F321" s="16" t="n"/>
      <c r="G321" s="16" t="n"/>
      <c r="H321" s="16" t="n"/>
      <c r="I321" s="15" t="n"/>
      <c r="J321" s="15" t="n"/>
      <c r="K321" s="15">
        <f>IF(A321="","",IFERROR(AVERAGEIF('Data - Task Tracker'!B:B,A321,'Data - Task Tracker'!L:L),0))</f>
        <v/>
      </c>
      <c r="L321" s="15" t="n"/>
      <c r="M321" s="15" t="n"/>
      <c r="N321" s="15" t="n"/>
    </row>
    <row r="322">
      <c r="A322" s="15" t="n"/>
      <c r="B322" s="15" t="n"/>
      <c r="C322" s="15" t="n"/>
      <c r="D322" s="15" t="n"/>
      <c r="E322" s="16" t="n"/>
      <c r="F322" s="16" t="n"/>
      <c r="G322" s="16" t="n"/>
      <c r="H322" s="16" t="n"/>
      <c r="I322" s="15" t="n"/>
      <c r="J322" s="15" t="n"/>
      <c r="K322" s="15">
        <f>IF(A322="","",IFERROR(AVERAGEIF('Data - Task Tracker'!B:B,A322,'Data - Task Tracker'!L:L),0))</f>
        <v/>
      </c>
      <c r="L322" s="15" t="n"/>
      <c r="M322" s="15" t="n"/>
      <c r="N322" s="15" t="n"/>
    </row>
    <row r="323">
      <c r="A323" s="15" t="n"/>
      <c r="B323" s="15" t="n"/>
      <c r="C323" s="15" t="n"/>
      <c r="D323" s="15" t="n"/>
      <c r="E323" s="16" t="n"/>
      <c r="F323" s="16" t="n"/>
      <c r="G323" s="16" t="n"/>
      <c r="H323" s="16" t="n"/>
      <c r="I323" s="15" t="n"/>
      <c r="J323" s="15" t="n"/>
      <c r="K323" s="15">
        <f>IF(A323="","",IFERROR(AVERAGEIF('Data - Task Tracker'!B:B,A323,'Data - Task Tracker'!L:L),0))</f>
        <v/>
      </c>
      <c r="L323" s="15" t="n"/>
      <c r="M323" s="15" t="n"/>
      <c r="N323" s="15" t="n"/>
    </row>
    <row r="324">
      <c r="A324" s="15" t="n"/>
      <c r="B324" s="15" t="n"/>
      <c r="C324" s="15" t="n"/>
      <c r="D324" s="15" t="n"/>
      <c r="E324" s="16" t="n"/>
      <c r="F324" s="16" t="n"/>
      <c r="G324" s="16" t="n"/>
      <c r="H324" s="16" t="n"/>
      <c r="I324" s="15" t="n"/>
      <c r="J324" s="15" t="n"/>
      <c r="K324" s="15">
        <f>IF(A324="","",IFERROR(AVERAGEIF('Data - Task Tracker'!B:B,A324,'Data - Task Tracker'!L:L),0))</f>
        <v/>
      </c>
      <c r="L324" s="15" t="n"/>
      <c r="M324" s="15" t="n"/>
      <c r="N324" s="15" t="n"/>
    </row>
    <row r="325">
      <c r="A325" s="15" t="n"/>
      <c r="B325" s="15" t="n"/>
      <c r="C325" s="15" t="n"/>
      <c r="D325" s="15" t="n"/>
      <c r="E325" s="16" t="n"/>
      <c r="F325" s="16" t="n"/>
      <c r="G325" s="16" t="n"/>
      <c r="H325" s="16" t="n"/>
      <c r="I325" s="15" t="n"/>
      <c r="J325" s="15" t="n"/>
      <c r="K325" s="15">
        <f>IF(A325="","",IFERROR(AVERAGEIF('Data - Task Tracker'!B:B,A325,'Data - Task Tracker'!L:L),0))</f>
        <v/>
      </c>
      <c r="L325" s="15" t="n"/>
      <c r="M325" s="15" t="n"/>
      <c r="N325" s="15" t="n"/>
    </row>
    <row r="326">
      <c r="A326" s="15" t="n"/>
      <c r="B326" s="15" t="n"/>
      <c r="C326" s="15" t="n"/>
      <c r="D326" s="15" t="n"/>
      <c r="E326" s="16" t="n"/>
      <c r="F326" s="16" t="n"/>
      <c r="G326" s="16" t="n"/>
      <c r="H326" s="16" t="n"/>
      <c r="I326" s="15" t="n"/>
      <c r="J326" s="15" t="n"/>
      <c r="K326" s="15">
        <f>IF(A326="","",IFERROR(AVERAGEIF('Data - Task Tracker'!B:B,A326,'Data - Task Tracker'!L:L),0))</f>
        <v/>
      </c>
      <c r="L326" s="15" t="n"/>
      <c r="M326" s="15" t="n"/>
      <c r="N326" s="15" t="n"/>
    </row>
    <row r="327">
      <c r="A327" s="15" t="n"/>
      <c r="B327" s="15" t="n"/>
      <c r="C327" s="15" t="n"/>
      <c r="D327" s="15" t="n"/>
      <c r="E327" s="16" t="n"/>
      <c r="F327" s="16" t="n"/>
      <c r="G327" s="16" t="n"/>
      <c r="H327" s="16" t="n"/>
      <c r="I327" s="15" t="n"/>
      <c r="J327" s="15" t="n"/>
      <c r="K327" s="15">
        <f>IF(A327="","",IFERROR(AVERAGEIF('Data - Task Tracker'!B:B,A327,'Data - Task Tracker'!L:L),0))</f>
        <v/>
      </c>
      <c r="L327" s="15" t="n"/>
      <c r="M327" s="15" t="n"/>
      <c r="N327" s="15" t="n"/>
    </row>
    <row r="328">
      <c r="A328" s="15" t="n"/>
      <c r="B328" s="15" t="n"/>
      <c r="C328" s="15" t="n"/>
      <c r="D328" s="15" t="n"/>
      <c r="E328" s="16" t="n"/>
      <c r="F328" s="16" t="n"/>
      <c r="G328" s="16" t="n"/>
      <c r="H328" s="16" t="n"/>
      <c r="I328" s="15" t="n"/>
      <c r="J328" s="15" t="n"/>
      <c r="K328" s="15">
        <f>IF(A328="","",IFERROR(AVERAGEIF('Data - Task Tracker'!B:B,A328,'Data - Task Tracker'!L:L),0))</f>
        <v/>
      </c>
      <c r="L328" s="15" t="n"/>
      <c r="M328" s="15" t="n"/>
      <c r="N328" s="15" t="n"/>
    </row>
    <row r="329">
      <c r="A329" s="15" t="n"/>
      <c r="B329" s="15" t="n"/>
      <c r="C329" s="15" t="n"/>
      <c r="D329" s="15" t="n"/>
      <c r="E329" s="16" t="n"/>
      <c r="F329" s="16" t="n"/>
      <c r="G329" s="16" t="n"/>
      <c r="H329" s="16" t="n"/>
      <c r="I329" s="15" t="n"/>
      <c r="J329" s="15" t="n"/>
      <c r="K329" s="15">
        <f>IF(A329="","",IFERROR(AVERAGEIF('Data - Task Tracker'!B:B,A329,'Data - Task Tracker'!L:L),0))</f>
        <v/>
      </c>
      <c r="L329" s="15" t="n"/>
      <c r="M329" s="15" t="n"/>
      <c r="N329" s="15" t="n"/>
    </row>
    <row r="330">
      <c r="A330" s="15" t="n"/>
      <c r="B330" s="15" t="n"/>
      <c r="C330" s="15" t="n"/>
      <c r="D330" s="15" t="n"/>
      <c r="E330" s="16" t="n"/>
      <c r="F330" s="16" t="n"/>
      <c r="G330" s="16" t="n"/>
      <c r="H330" s="16" t="n"/>
      <c r="I330" s="15" t="n"/>
      <c r="J330" s="15" t="n"/>
      <c r="K330" s="15">
        <f>IF(A330="","",IFERROR(AVERAGEIF('Data - Task Tracker'!B:B,A330,'Data - Task Tracker'!L:L),0))</f>
        <v/>
      </c>
      <c r="L330" s="15" t="n"/>
      <c r="M330" s="15" t="n"/>
      <c r="N330" s="15" t="n"/>
    </row>
    <row r="331">
      <c r="A331" s="15" t="n"/>
      <c r="B331" s="15" t="n"/>
      <c r="C331" s="15" t="n"/>
      <c r="D331" s="15" t="n"/>
      <c r="E331" s="16" t="n"/>
      <c r="F331" s="16" t="n"/>
      <c r="G331" s="16" t="n"/>
      <c r="H331" s="16" t="n"/>
      <c r="I331" s="15" t="n"/>
      <c r="J331" s="15" t="n"/>
      <c r="K331" s="15">
        <f>IF(A331="","",IFERROR(AVERAGEIF('Data - Task Tracker'!B:B,A331,'Data - Task Tracker'!L:L),0))</f>
        <v/>
      </c>
      <c r="L331" s="15" t="n"/>
      <c r="M331" s="15" t="n"/>
      <c r="N331" s="15" t="n"/>
    </row>
    <row r="332">
      <c r="A332" s="15" t="n"/>
      <c r="B332" s="15" t="n"/>
      <c r="C332" s="15" t="n"/>
      <c r="D332" s="15" t="n"/>
      <c r="E332" s="16" t="n"/>
      <c r="F332" s="16" t="n"/>
      <c r="G332" s="16" t="n"/>
      <c r="H332" s="16" t="n"/>
      <c r="I332" s="15" t="n"/>
      <c r="J332" s="15" t="n"/>
      <c r="K332" s="15">
        <f>IF(A332="","",IFERROR(AVERAGEIF('Data - Task Tracker'!B:B,A332,'Data - Task Tracker'!L:L),0))</f>
        <v/>
      </c>
      <c r="L332" s="15" t="n"/>
      <c r="M332" s="15" t="n"/>
      <c r="N332" s="15" t="n"/>
    </row>
    <row r="333">
      <c r="A333" s="15" t="n"/>
      <c r="B333" s="15" t="n"/>
      <c r="C333" s="15" t="n"/>
      <c r="D333" s="15" t="n"/>
      <c r="E333" s="16" t="n"/>
      <c r="F333" s="16" t="n"/>
      <c r="G333" s="16" t="n"/>
      <c r="H333" s="16" t="n"/>
      <c r="I333" s="15" t="n"/>
      <c r="J333" s="15" t="n"/>
      <c r="K333" s="15">
        <f>IF(A333="","",IFERROR(AVERAGEIF('Data - Task Tracker'!B:B,A333,'Data - Task Tracker'!L:L),0))</f>
        <v/>
      </c>
      <c r="L333" s="15" t="n"/>
      <c r="M333" s="15" t="n"/>
      <c r="N333" s="15" t="n"/>
    </row>
    <row r="334">
      <c r="A334" s="15" t="n"/>
      <c r="B334" s="15" t="n"/>
      <c r="C334" s="15" t="n"/>
      <c r="D334" s="15" t="n"/>
      <c r="E334" s="16" t="n"/>
      <c r="F334" s="16" t="n"/>
      <c r="G334" s="16" t="n"/>
      <c r="H334" s="16" t="n"/>
      <c r="I334" s="15" t="n"/>
      <c r="J334" s="15" t="n"/>
      <c r="K334" s="15">
        <f>IF(A334="","",IFERROR(AVERAGEIF('Data - Task Tracker'!B:B,A334,'Data - Task Tracker'!L:L),0))</f>
        <v/>
      </c>
      <c r="L334" s="15" t="n"/>
      <c r="M334" s="15" t="n"/>
      <c r="N334" s="15" t="n"/>
    </row>
    <row r="335">
      <c r="A335" s="15" t="n"/>
      <c r="B335" s="15" t="n"/>
      <c r="C335" s="15" t="n"/>
      <c r="D335" s="15" t="n"/>
      <c r="E335" s="16" t="n"/>
      <c r="F335" s="16" t="n"/>
      <c r="G335" s="16" t="n"/>
      <c r="H335" s="16" t="n"/>
      <c r="I335" s="15" t="n"/>
      <c r="J335" s="15" t="n"/>
      <c r="K335" s="15">
        <f>IF(A335="","",IFERROR(AVERAGEIF('Data - Task Tracker'!B:B,A335,'Data - Task Tracker'!L:L),0))</f>
        <v/>
      </c>
      <c r="L335" s="15" t="n"/>
      <c r="M335" s="15" t="n"/>
      <c r="N335" s="15" t="n"/>
    </row>
    <row r="336">
      <c r="A336" s="15" t="n"/>
      <c r="B336" s="15" t="n"/>
      <c r="C336" s="15" t="n"/>
      <c r="D336" s="15" t="n"/>
      <c r="E336" s="16" t="n"/>
      <c r="F336" s="16" t="n"/>
      <c r="G336" s="16" t="n"/>
      <c r="H336" s="16" t="n"/>
      <c r="I336" s="15" t="n"/>
      <c r="J336" s="15" t="n"/>
      <c r="K336" s="15">
        <f>IF(A336="","",IFERROR(AVERAGEIF('Data - Task Tracker'!B:B,A336,'Data - Task Tracker'!L:L),0))</f>
        <v/>
      </c>
      <c r="L336" s="15" t="n"/>
      <c r="M336" s="15" t="n"/>
      <c r="N336" s="15" t="n"/>
    </row>
    <row r="337">
      <c r="A337" s="15" t="n"/>
      <c r="B337" s="15" t="n"/>
      <c r="C337" s="15" t="n"/>
      <c r="D337" s="15" t="n"/>
      <c r="E337" s="16" t="n"/>
      <c r="F337" s="16" t="n"/>
      <c r="G337" s="16" t="n"/>
      <c r="H337" s="16" t="n"/>
      <c r="I337" s="15" t="n"/>
      <c r="J337" s="15" t="n"/>
      <c r="K337" s="15">
        <f>IF(A337="","",IFERROR(AVERAGEIF('Data - Task Tracker'!B:B,A337,'Data - Task Tracker'!L:L),0))</f>
        <v/>
      </c>
      <c r="L337" s="15" t="n"/>
      <c r="M337" s="15" t="n"/>
      <c r="N337" s="15" t="n"/>
    </row>
    <row r="338">
      <c r="A338" s="15" t="n"/>
      <c r="B338" s="15" t="n"/>
      <c r="C338" s="15" t="n"/>
      <c r="D338" s="15" t="n"/>
      <c r="E338" s="16" t="n"/>
      <c r="F338" s="16" t="n"/>
      <c r="G338" s="16" t="n"/>
      <c r="H338" s="16" t="n"/>
      <c r="I338" s="15" t="n"/>
      <c r="J338" s="15" t="n"/>
      <c r="K338" s="15">
        <f>IF(A338="","",IFERROR(AVERAGEIF('Data - Task Tracker'!B:B,A338,'Data - Task Tracker'!L:L),0))</f>
        <v/>
      </c>
      <c r="L338" s="15" t="n"/>
      <c r="M338" s="15" t="n"/>
      <c r="N338" s="15" t="n"/>
    </row>
    <row r="339">
      <c r="A339" s="15" t="n"/>
      <c r="B339" s="15" t="n"/>
      <c r="C339" s="15" t="n"/>
      <c r="D339" s="15" t="n"/>
      <c r="E339" s="16" t="n"/>
      <c r="F339" s="16" t="n"/>
      <c r="G339" s="16" t="n"/>
      <c r="H339" s="16" t="n"/>
      <c r="I339" s="15" t="n"/>
      <c r="J339" s="15" t="n"/>
      <c r="K339" s="15">
        <f>IF(A339="","",IFERROR(AVERAGEIF('Data - Task Tracker'!B:B,A339,'Data - Task Tracker'!L:L),0))</f>
        <v/>
      </c>
      <c r="L339" s="15" t="n"/>
      <c r="M339" s="15" t="n"/>
      <c r="N339" s="15" t="n"/>
    </row>
    <row r="340">
      <c r="A340" s="15" t="n"/>
      <c r="B340" s="15" t="n"/>
      <c r="C340" s="15" t="n"/>
      <c r="D340" s="15" t="n"/>
      <c r="E340" s="16" t="n"/>
      <c r="F340" s="16" t="n"/>
      <c r="G340" s="16" t="n"/>
      <c r="H340" s="16" t="n"/>
      <c r="I340" s="15" t="n"/>
      <c r="J340" s="15" t="n"/>
      <c r="K340" s="15">
        <f>IF(A340="","",IFERROR(AVERAGEIF('Data - Task Tracker'!B:B,A340,'Data - Task Tracker'!L:L),0))</f>
        <v/>
      </c>
      <c r="L340" s="15" t="n"/>
      <c r="M340" s="15" t="n"/>
      <c r="N340" s="15" t="n"/>
    </row>
    <row r="341">
      <c r="A341" s="15" t="n"/>
      <c r="B341" s="15" t="n"/>
      <c r="C341" s="15" t="n"/>
      <c r="D341" s="15" t="n"/>
      <c r="E341" s="16" t="n"/>
      <c r="F341" s="16" t="n"/>
      <c r="G341" s="16" t="n"/>
      <c r="H341" s="16" t="n"/>
      <c r="I341" s="15" t="n"/>
      <c r="J341" s="15" t="n"/>
      <c r="K341" s="15">
        <f>IF(A341="","",IFERROR(AVERAGEIF('Data - Task Tracker'!B:B,A341,'Data - Task Tracker'!L:L),0))</f>
        <v/>
      </c>
      <c r="L341" s="15" t="n"/>
      <c r="M341" s="15" t="n"/>
      <c r="N341" s="15" t="n"/>
    </row>
    <row r="342">
      <c r="A342" s="15" t="n"/>
      <c r="B342" s="15" t="n"/>
      <c r="C342" s="15" t="n"/>
      <c r="D342" s="15" t="n"/>
      <c r="E342" s="16" t="n"/>
      <c r="F342" s="16" t="n"/>
      <c r="G342" s="16" t="n"/>
      <c r="H342" s="16" t="n"/>
      <c r="I342" s="15" t="n"/>
      <c r="J342" s="15" t="n"/>
      <c r="K342" s="15">
        <f>IF(A342="","",IFERROR(AVERAGEIF('Data - Task Tracker'!B:B,A342,'Data - Task Tracker'!L:L),0))</f>
        <v/>
      </c>
      <c r="L342" s="15" t="n"/>
      <c r="M342" s="15" t="n"/>
      <c r="N342" s="15" t="n"/>
    </row>
    <row r="343">
      <c r="A343" s="15" t="n"/>
      <c r="B343" s="15" t="n"/>
      <c r="C343" s="15" t="n"/>
      <c r="D343" s="15" t="n"/>
      <c r="E343" s="16" t="n"/>
      <c r="F343" s="16" t="n"/>
      <c r="G343" s="16" t="n"/>
      <c r="H343" s="16" t="n"/>
      <c r="I343" s="15" t="n"/>
      <c r="J343" s="15" t="n"/>
      <c r="K343" s="15">
        <f>IF(A343="","",IFERROR(AVERAGEIF('Data - Task Tracker'!B:B,A343,'Data - Task Tracker'!L:L),0))</f>
        <v/>
      </c>
      <c r="L343" s="15" t="n"/>
      <c r="M343" s="15" t="n"/>
      <c r="N343" s="15" t="n"/>
    </row>
    <row r="344">
      <c r="A344" s="15" t="n"/>
      <c r="B344" s="15" t="n"/>
      <c r="C344" s="15" t="n"/>
      <c r="D344" s="15" t="n"/>
      <c r="E344" s="16" t="n"/>
      <c r="F344" s="16" t="n"/>
      <c r="G344" s="16" t="n"/>
      <c r="H344" s="16" t="n"/>
      <c r="I344" s="15" t="n"/>
      <c r="J344" s="15" t="n"/>
      <c r="K344" s="15">
        <f>IF(A344="","",IFERROR(AVERAGEIF('Data - Task Tracker'!B:B,A344,'Data - Task Tracker'!L:L),0))</f>
        <v/>
      </c>
      <c r="L344" s="15" t="n"/>
      <c r="M344" s="15" t="n"/>
      <c r="N344" s="15" t="n"/>
    </row>
    <row r="345">
      <c r="A345" s="15" t="n"/>
      <c r="B345" s="15" t="n"/>
      <c r="C345" s="15" t="n"/>
      <c r="D345" s="15" t="n"/>
      <c r="E345" s="16" t="n"/>
      <c r="F345" s="16" t="n"/>
      <c r="G345" s="16" t="n"/>
      <c r="H345" s="16" t="n"/>
      <c r="I345" s="15" t="n"/>
      <c r="J345" s="15" t="n"/>
      <c r="K345" s="15">
        <f>IF(A345="","",IFERROR(AVERAGEIF('Data - Task Tracker'!B:B,A345,'Data - Task Tracker'!L:L),0))</f>
        <v/>
      </c>
      <c r="L345" s="15" t="n"/>
      <c r="M345" s="15" t="n"/>
      <c r="N345" s="15" t="n"/>
    </row>
    <row r="346">
      <c r="A346" s="15" t="n"/>
      <c r="B346" s="15" t="n"/>
      <c r="C346" s="15" t="n"/>
      <c r="D346" s="15" t="n"/>
      <c r="E346" s="16" t="n"/>
      <c r="F346" s="16" t="n"/>
      <c r="G346" s="16" t="n"/>
      <c r="H346" s="16" t="n"/>
      <c r="I346" s="15" t="n"/>
      <c r="J346" s="15" t="n"/>
      <c r="K346" s="15">
        <f>IF(A346="","",IFERROR(AVERAGEIF('Data - Task Tracker'!B:B,A346,'Data - Task Tracker'!L:L),0))</f>
        <v/>
      </c>
      <c r="L346" s="15" t="n"/>
      <c r="M346" s="15" t="n"/>
      <c r="N346" s="15" t="n"/>
    </row>
    <row r="347">
      <c r="A347" s="15" t="n"/>
      <c r="B347" s="15" t="n"/>
      <c r="C347" s="15" t="n"/>
      <c r="D347" s="15" t="n"/>
      <c r="E347" s="16" t="n"/>
      <c r="F347" s="16" t="n"/>
      <c r="G347" s="16" t="n"/>
      <c r="H347" s="16" t="n"/>
      <c r="I347" s="15" t="n"/>
      <c r="J347" s="15" t="n"/>
      <c r="K347" s="15">
        <f>IF(A347="","",IFERROR(AVERAGEIF('Data - Task Tracker'!B:B,A347,'Data - Task Tracker'!L:L),0))</f>
        <v/>
      </c>
      <c r="L347" s="15" t="n"/>
      <c r="M347" s="15" t="n"/>
      <c r="N347" s="15" t="n"/>
    </row>
    <row r="348">
      <c r="A348" s="15" t="n"/>
      <c r="B348" s="15" t="n"/>
      <c r="C348" s="15" t="n"/>
      <c r="D348" s="15" t="n"/>
      <c r="E348" s="16" t="n"/>
      <c r="F348" s="16" t="n"/>
      <c r="G348" s="16" t="n"/>
      <c r="H348" s="16" t="n"/>
      <c r="I348" s="15" t="n"/>
      <c r="J348" s="15" t="n"/>
      <c r="K348" s="15">
        <f>IF(A348="","",IFERROR(AVERAGEIF('Data - Task Tracker'!B:B,A348,'Data - Task Tracker'!L:L),0))</f>
        <v/>
      </c>
      <c r="L348" s="15" t="n"/>
      <c r="M348" s="15" t="n"/>
      <c r="N348" s="15" t="n"/>
    </row>
    <row r="349">
      <c r="A349" s="15" t="n"/>
      <c r="B349" s="15" t="n"/>
      <c r="C349" s="15" t="n"/>
      <c r="D349" s="15" t="n"/>
      <c r="E349" s="16" t="n"/>
      <c r="F349" s="16" t="n"/>
      <c r="G349" s="16" t="n"/>
      <c r="H349" s="16" t="n"/>
      <c r="I349" s="15" t="n"/>
      <c r="J349" s="15" t="n"/>
      <c r="K349" s="15">
        <f>IF(A349="","",IFERROR(AVERAGEIF('Data - Task Tracker'!B:B,A349,'Data - Task Tracker'!L:L),0))</f>
        <v/>
      </c>
      <c r="L349" s="15" t="n"/>
      <c r="M349" s="15" t="n"/>
      <c r="N349" s="15" t="n"/>
    </row>
    <row r="350">
      <c r="A350" s="15" t="n"/>
      <c r="B350" s="15" t="n"/>
      <c r="C350" s="15" t="n"/>
      <c r="D350" s="15" t="n"/>
      <c r="E350" s="16" t="n"/>
      <c r="F350" s="16" t="n"/>
      <c r="G350" s="16" t="n"/>
      <c r="H350" s="16" t="n"/>
      <c r="I350" s="15" t="n"/>
      <c r="J350" s="15" t="n"/>
      <c r="K350" s="15">
        <f>IF(A350="","",IFERROR(AVERAGEIF('Data - Task Tracker'!B:B,A350,'Data - Task Tracker'!L:L),0))</f>
        <v/>
      </c>
      <c r="L350" s="15" t="n"/>
      <c r="M350" s="15" t="n"/>
      <c r="N350" s="15" t="n"/>
    </row>
    <row r="351">
      <c r="E351" s="27" t="n"/>
      <c r="F351" s="27" t="n"/>
      <c r="G351" s="27" t="n"/>
      <c r="H351" s="27" t="n"/>
    </row>
    <row r="352">
      <c r="E352" s="27" t="n"/>
      <c r="F352" s="27" t="n"/>
      <c r="G352" s="27" t="n"/>
      <c r="H352" s="27" t="n"/>
    </row>
    <row r="353">
      <c r="E353" s="27" t="n"/>
      <c r="F353" s="27" t="n"/>
      <c r="G353" s="27" t="n"/>
      <c r="H353" s="27" t="n"/>
    </row>
    <row r="354">
      <c r="E354" s="27" t="n"/>
      <c r="F354" s="27" t="n"/>
      <c r="G354" s="27" t="n"/>
      <c r="H354" s="27" t="n"/>
    </row>
    <row r="355">
      <c r="E355" s="27" t="n"/>
      <c r="F355" s="27" t="n"/>
      <c r="G355" s="27" t="n"/>
      <c r="H355" s="27" t="n"/>
    </row>
    <row r="356">
      <c r="E356" s="27" t="n"/>
      <c r="F356" s="27" t="n"/>
      <c r="G356" s="27" t="n"/>
      <c r="H356" s="27" t="n"/>
    </row>
    <row r="357">
      <c r="E357" s="27" t="n"/>
      <c r="F357" s="27" t="n"/>
      <c r="G357" s="27" t="n"/>
      <c r="H357" s="27" t="n"/>
    </row>
    <row r="358">
      <c r="E358" s="27" t="n"/>
      <c r="F358" s="27" t="n"/>
      <c r="G358" s="27" t="n"/>
      <c r="H358" s="27" t="n"/>
    </row>
    <row r="359">
      <c r="E359" s="27" t="n"/>
      <c r="F359" s="27" t="n"/>
      <c r="G359" s="27" t="n"/>
      <c r="H359" s="27" t="n"/>
    </row>
    <row r="360">
      <c r="E360" s="27" t="n"/>
      <c r="F360" s="27" t="n"/>
      <c r="G360" s="27" t="n"/>
      <c r="H360" s="27" t="n"/>
    </row>
    <row r="361">
      <c r="E361" s="27" t="n"/>
      <c r="F361" s="27" t="n"/>
      <c r="G361" s="27" t="n"/>
      <c r="H361" s="27" t="n"/>
    </row>
    <row r="362">
      <c r="E362" s="27" t="n"/>
      <c r="F362" s="27" t="n"/>
      <c r="G362" s="27" t="n"/>
      <c r="H362" s="27" t="n"/>
    </row>
    <row r="363">
      <c r="E363" s="27" t="n"/>
      <c r="F363" s="27" t="n"/>
      <c r="G363" s="27" t="n"/>
      <c r="H363" s="27" t="n"/>
    </row>
    <row r="364">
      <c r="E364" s="27" t="n"/>
      <c r="F364" s="27" t="n"/>
      <c r="G364" s="27" t="n"/>
      <c r="H364" s="27" t="n"/>
    </row>
    <row r="365">
      <c r="E365" s="27" t="n"/>
      <c r="F365" s="27" t="n"/>
      <c r="G365" s="27" t="n"/>
      <c r="H365" s="27" t="n"/>
    </row>
    <row r="366">
      <c r="E366" s="27" t="n"/>
      <c r="F366" s="27" t="n"/>
      <c r="G366" s="27" t="n"/>
      <c r="H366" s="27" t="n"/>
    </row>
    <row r="367">
      <c r="E367" s="27" t="n"/>
      <c r="F367" s="27" t="n"/>
      <c r="G367" s="27" t="n"/>
      <c r="H367" s="27" t="n"/>
    </row>
    <row r="368">
      <c r="E368" s="27" t="n"/>
      <c r="F368" s="27" t="n"/>
      <c r="G368" s="27" t="n"/>
      <c r="H368" s="27" t="n"/>
    </row>
    <row r="369">
      <c r="E369" s="27" t="n"/>
      <c r="F369" s="27" t="n"/>
      <c r="G369" s="27" t="n"/>
      <c r="H369" s="27" t="n"/>
    </row>
    <row r="370">
      <c r="E370" s="27" t="n"/>
      <c r="F370" s="27" t="n"/>
      <c r="G370" s="27" t="n"/>
      <c r="H370" s="27" t="n"/>
    </row>
    <row r="371">
      <c r="E371" s="27" t="n"/>
      <c r="F371" s="27" t="n"/>
      <c r="G371" s="27" t="n"/>
      <c r="H371" s="27" t="n"/>
    </row>
    <row r="372">
      <c r="E372" s="27" t="n"/>
      <c r="F372" s="27" t="n"/>
      <c r="G372" s="27" t="n"/>
      <c r="H372" s="27" t="n"/>
    </row>
    <row r="373">
      <c r="E373" s="27" t="n"/>
      <c r="F373" s="27" t="n"/>
      <c r="G373" s="27" t="n"/>
      <c r="H373" s="27" t="n"/>
    </row>
    <row r="374">
      <c r="E374" s="27" t="n"/>
      <c r="F374" s="27" t="n"/>
      <c r="G374" s="27" t="n"/>
      <c r="H374" s="27" t="n"/>
    </row>
    <row r="375">
      <c r="E375" s="27" t="n"/>
      <c r="F375" s="27" t="n"/>
      <c r="G375" s="27" t="n"/>
      <c r="H375" s="27" t="n"/>
    </row>
    <row r="376">
      <c r="E376" s="27" t="n"/>
      <c r="F376" s="27" t="n"/>
      <c r="G376" s="27" t="n"/>
      <c r="H376" s="27" t="n"/>
    </row>
    <row r="377">
      <c r="E377" s="27" t="n"/>
      <c r="F377" s="27" t="n"/>
      <c r="G377" s="27" t="n"/>
      <c r="H377" s="27" t="n"/>
    </row>
    <row r="378">
      <c r="E378" s="27" t="n"/>
      <c r="F378" s="27" t="n"/>
      <c r="G378" s="27" t="n"/>
      <c r="H378" s="27" t="n"/>
    </row>
    <row r="379">
      <c r="E379" s="27" t="n"/>
      <c r="F379" s="27" t="n"/>
      <c r="G379" s="27" t="n"/>
      <c r="H379" s="27" t="n"/>
    </row>
    <row r="380">
      <c r="E380" s="27" t="n"/>
      <c r="F380" s="27" t="n"/>
      <c r="G380" s="27" t="n"/>
      <c r="H380" s="27" t="n"/>
    </row>
    <row r="381">
      <c r="E381" s="27" t="n"/>
      <c r="F381" s="27" t="n"/>
      <c r="G381" s="27" t="n"/>
      <c r="H381" s="27" t="n"/>
    </row>
    <row r="382">
      <c r="E382" s="27" t="n"/>
      <c r="F382" s="27" t="n"/>
      <c r="G382" s="27" t="n"/>
      <c r="H382" s="27" t="n"/>
    </row>
    <row r="383">
      <c r="E383" s="27" t="n"/>
      <c r="F383" s="27" t="n"/>
      <c r="G383" s="27" t="n"/>
      <c r="H383" s="27" t="n"/>
    </row>
    <row r="384">
      <c r="E384" s="27" t="n"/>
      <c r="F384" s="27" t="n"/>
      <c r="G384" s="27" t="n"/>
      <c r="H384" s="27" t="n"/>
    </row>
    <row r="385">
      <c r="E385" s="27" t="n"/>
      <c r="F385" s="27" t="n"/>
      <c r="G385" s="27" t="n"/>
      <c r="H385" s="27" t="n"/>
    </row>
    <row r="386">
      <c r="E386" s="27" t="n"/>
      <c r="F386" s="27" t="n"/>
      <c r="G386" s="27" t="n"/>
      <c r="H386" s="27" t="n"/>
    </row>
    <row r="387">
      <c r="E387" s="27" t="n"/>
      <c r="F387" s="27" t="n"/>
      <c r="G387" s="27" t="n"/>
      <c r="H387" s="27" t="n"/>
    </row>
    <row r="388">
      <c r="E388" s="27" t="n"/>
      <c r="F388" s="27" t="n"/>
      <c r="G388" s="27" t="n"/>
      <c r="H388" s="27" t="n"/>
    </row>
    <row r="389">
      <c r="E389" s="27" t="n"/>
      <c r="F389" s="27" t="n"/>
      <c r="G389" s="27" t="n"/>
      <c r="H389" s="27" t="n"/>
    </row>
    <row r="390">
      <c r="E390" s="27" t="n"/>
      <c r="F390" s="27" t="n"/>
      <c r="G390" s="27" t="n"/>
      <c r="H390" s="27" t="n"/>
    </row>
    <row r="391">
      <c r="E391" s="27" t="n"/>
      <c r="F391" s="27" t="n"/>
      <c r="G391" s="27" t="n"/>
      <c r="H391" s="27" t="n"/>
    </row>
    <row r="392">
      <c r="E392" s="27" t="n"/>
      <c r="F392" s="27" t="n"/>
      <c r="G392" s="27" t="n"/>
      <c r="H392" s="27" t="n"/>
    </row>
    <row r="393">
      <c r="E393" s="27" t="n"/>
      <c r="F393" s="27" t="n"/>
      <c r="G393" s="27" t="n"/>
      <c r="H393" s="27" t="n"/>
    </row>
    <row r="394">
      <c r="E394" s="27" t="n"/>
      <c r="F394" s="27" t="n"/>
      <c r="G394" s="27" t="n"/>
      <c r="H394" s="27" t="n"/>
    </row>
    <row r="395">
      <c r="E395" s="27" t="n"/>
      <c r="F395" s="27" t="n"/>
      <c r="G395" s="27" t="n"/>
      <c r="H395" s="27" t="n"/>
    </row>
    <row r="396">
      <c r="E396" s="27" t="n"/>
      <c r="F396" s="27" t="n"/>
      <c r="G396" s="27" t="n"/>
      <c r="H396" s="27" t="n"/>
    </row>
    <row r="397">
      <c r="E397" s="27" t="n"/>
      <c r="F397" s="27" t="n"/>
      <c r="G397" s="27" t="n"/>
      <c r="H397" s="27" t="n"/>
    </row>
    <row r="398">
      <c r="E398" s="27" t="n"/>
      <c r="F398" s="27" t="n"/>
      <c r="G398" s="27" t="n"/>
      <c r="H398" s="27" t="n"/>
    </row>
    <row r="399">
      <c r="E399" s="27" t="n"/>
      <c r="F399" s="27" t="n"/>
      <c r="G399" s="27" t="n"/>
      <c r="H399" s="27" t="n"/>
    </row>
    <row r="400">
      <c r="E400" s="27" t="n"/>
      <c r="F400" s="27" t="n"/>
      <c r="G400" s="27" t="n"/>
      <c r="H400" s="27" t="n"/>
    </row>
    <row r="401">
      <c r="E401" s="27" t="n"/>
      <c r="F401" s="27" t="n"/>
      <c r="G401" s="27" t="n"/>
      <c r="H401" s="27" t="n"/>
    </row>
    <row r="402">
      <c r="E402" s="27" t="n"/>
      <c r="F402" s="27" t="n"/>
      <c r="G402" s="27" t="n"/>
      <c r="H402" s="27" t="n"/>
    </row>
    <row r="403">
      <c r="E403" s="27" t="n"/>
      <c r="F403" s="27" t="n"/>
      <c r="G403" s="27" t="n"/>
      <c r="H403" s="27" t="n"/>
    </row>
    <row r="404">
      <c r="E404" s="27" t="n"/>
      <c r="F404" s="27" t="n"/>
      <c r="G404" s="27" t="n"/>
      <c r="H404" s="27" t="n"/>
    </row>
    <row r="405">
      <c r="E405" s="27" t="n"/>
      <c r="F405" s="27" t="n"/>
      <c r="G405" s="27" t="n"/>
      <c r="H405" s="27" t="n"/>
    </row>
    <row r="406">
      <c r="E406" s="27" t="n"/>
      <c r="F406" s="27" t="n"/>
      <c r="G406" s="27" t="n"/>
      <c r="H406" s="27" t="n"/>
    </row>
    <row r="407">
      <c r="E407" s="27" t="n"/>
      <c r="F407" s="27" t="n"/>
      <c r="G407" s="27" t="n"/>
      <c r="H407" s="27" t="n"/>
    </row>
    <row r="408">
      <c r="E408" s="27" t="n"/>
      <c r="F408" s="27" t="n"/>
      <c r="G408" s="27" t="n"/>
      <c r="H408" s="27" t="n"/>
    </row>
    <row r="409">
      <c r="E409" s="27" t="n"/>
      <c r="F409" s="27" t="n"/>
      <c r="G409" s="27" t="n"/>
      <c r="H409" s="27" t="n"/>
    </row>
    <row r="410">
      <c r="E410" s="27" t="n"/>
      <c r="F410" s="27" t="n"/>
      <c r="G410" s="27" t="n"/>
      <c r="H410" s="27" t="n"/>
    </row>
    <row r="411">
      <c r="E411" s="27" t="n"/>
      <c r="F411" s="27" t="n"/>
      <c r="G411" s="27" t="n"/>
      <c r="H411" s="27" t="n"/>
    </row>
    <row r="412">
      <c r="E412" s="27" t="n"/>
      <c r="F412" s="27" t="n"/>
      <c r="G412" s="27" t="n"/>
      <c r="H412" s="27" t="n"/>
    </row>
    <row r="413">
      <c r="E413" s="27" t="n"/>
      <c r="F413" s="27" t="n"/>
      <c r="G413" s="27" t="n"/>
      <c r="H413" s="27" t="n"/>
    </row>
    <row r="414">
      <c r="E414" s="27" t="n"/>
      <c r="F414" s="27" t="n"/>
      <c r="G414" s="27" t="n"/>
      <c r="H414" s="27" t="n"/>
    </row>
    <row r="415">
      <c r="E415" s="27" t="n"/>
      <c r="F415" s="27" t="n"/>
      <c r="G415" s="27" t="n"/>
      <c r="H415" s="27" t="n"/>
    </row>
    <row r="416">
      <c r="E416" s="27" t="n"/>
      <c r="F416" s="27" t="n"/>
      <c r="G416" s="27" t="n"/>
      <c r="H416" s="27" t="n"/>
    </row>
    <row r="417">
      <c r="E417" s="27" t="n"/>
      <c r="F417" s="27" t="n"/>
      <c r="G417" s="27" t="n"/>
      <c r="H417" s="27" t="n"/>
    </row>
    <row r="418">
      <c r="E418" s="27" t="n"/>
      <c r="F418" s="27" t="n"/>
      <c r="G418" s="27" t="n"/>
      <c r="H418" s="27" t="n"/>
    </row>
    <row r="419">
      <c r="E419" s="27" t="n"/>
      <c r="F419" s="27" t="n"/>
      <c r="G419" s="27" t="n"/>
      <c r="H419" s="27" t="n"/>
    </row>
    <row r="420">
      <c r="E420" s="27" t="n"/>
      <c r="F420" s="27" t="n"/>
      <c r="G420" s="27" t="n"/>
      <c r="H420" s="27" t="n"/>
    </row>
    <row r="421">
      <c r="E421" s="27" t="n"/>
      <c r="F421" s="27" t="n"/>
      <c r="G421" s="27" t="n"/>
      <c r="H421" s="27" t="n"/>
    </row>
    <row r="422">
      <c r="E422" s="27" t="n"/>
      <c r="F422" s="27" t="n"/>
      <c r="G422" s="27" t="n"/>
      <c r="H422" s="27" t="n"/>
    </row>
    <row r="423">
      <c r="E423" s="27" t="n"/>
      <c r="F423" s="27" t="n"/>
      <c r="G423" s="27" t="n"/>
      <c r="H423" s="27" t="n"/>
    </row>
    <row r="424">
      <c r="E424" s="27" t="n"/>
      <c r="F424" s="27" t="n"/>
      <c r="G424" s="27" t="n"/>
      <c r="H424" s="27" t="n"/>
    </row>
    <row r="425">
      <c r="E425" s="27" t="n"/>
      <c r="F425" s="27" t="n"/>
      <c r="G425" s="27" t="n"/>
      <c r="H425" s="27" t="n"/>
    </row>
    <row r="426">
      <c r="E426" s="27" t="n"/>
      <c r="F426" s="27" t="n"/>
      <c r="G426" s="27" t="n"/>
      <c r="H426" s="27" t="n"/>
    </row>
    <row r="427">
      <c r="E427" s="27" t="n"/>
      <c r="F427" s="27" t="n"/>
      <c r="G427" s="27" t="n"/>
      <c r="H427" s="27" t="n"/>
    </row>
    <row r="428">
      <c r="E428" s="27" t="n"/>
      <c r="F428" s="27" t="n"/>
      <c r="G428" s="27" t="n"/>
      <c r="H428" s="27" t="n"/>
    </row>
    <row r="429">
      <c r="E429" s="27" t="n"/>
      <c r="F429" s="27" t="n"/>
      <c r="G429" s="27" t="n"/>
      <c r="H429" s="27" t="n"/>
    </row>
    <row r="430">
      <c r="E430" s="27" t="n"/>
      <c r="F430" s="27" t="n"/>
      <c r="G430" s="27" t="n"/>
      <c r="H430" s="27" t="n"/>
    </row>
    <row r="431">
      <c r="E431" s="27" t="n"/>
      <c r="F431" s="27" t="n"/>
      <c r="G431" s="27" t="n"/>
      <c r="H431" s="27" t="n"/>
    </row>
    <row r="432">
      <c r="E432" s="27" t="n"/>
      <c r="F432" s="27" t="n"/>
      <c r="G432" s="27" t="n"/>
      <c r="H432" s="27" t="n"/>
    </row>
    <row r="433">
      <c r="E433" s="27" t="n"/>
      <c r="F433" s="27" t="n"/>
      <c r="G433" s="27" t="n"/>
      <c r="H433" s="27" t="n"/>
    </row>
    <row r="434">
      <c r="E434" s="27" t="n"/>
      <c r="F434" s="27" t="n"/>
      <c r="G434" s="27" t="n"/>
      <c r="H434" s="27" t="n"/>
    </row>
    <row r="435">
      <c r="E435" s="27" t="n"/>
      <c r="F435" s="27" t="n"/>
      <c r="G435" s="27" t="n"/>
      <c r="H435" s="27" t="n"/>
    </row>
    <row r="436">
      <c r="E436" s="27" t="n"/>
      <c r="F436" s="27" t="n"/>
      <c r="G436" s="27" t="n"/>
      <c r="H436" s="27" t="n"/>
    </row>
    <row r="437">
      <c r="E437" s="27" t="n"/>
      <c r="F437" s="27" t="n"/>
      <c r="G437" s="27" t="n"/>
      <c r="H437" s="27" t="n"/>
    </row>
    <row r="438">
      <c r="E438" s="27" t="n"/>
      <c r="F438" s="27" t="n"/>
      <c r="G438" s="27" t="n"/>
      <c r="H438" s="27" t="n"/>
    </row>
    <row r="439">
      <c r="E439" s="27" t="n"/>
      <c r="F439" s="27" t="n"/>
      <c r="G439" s="27" t="n"/>
      <c r="H439" s="27" t="n"/>
    </row>
    <row r="440">
      <c r="E440" s="27" t="n"/>
      <c r="F440" s="27" t="n"/>
      <c r="G440" s="27" t="n"/>
      <c r="H440" s="27" t="n"/>
    </row>
    <row r="441">
      <c r="E441" s="27" t="n"/>
      <c r="F441" s="27" t="n"/>
      <c r="G441" s="27" t="n"/>
      <c r="H441" s="27" t="n"/>
    </row>
    <row r="442">
      <c r="E442" s="27" t="n"/>
      <c r="F442" s="27" t="n"/>
      <c r="G442" s="27" t="n"/>
      <c r="H442" s="27" t="n"/>
    </row>
    <row r="443">
      <c r="E443" s="27" t="n"/>
      <c r="F443" s="27" t="n"/>
      <c r="G443" s="27" t="n"/>
      <c r="H443" s="27" t="n"/>
    </row>
    <row r="444">
      <c r="E444" s="27" t="n"/>
      <c r="F444" s="27" t="n"/>
      <c r="G444" s="27" t="n"/>
      <c r="H444" s="27" t="n"/>
    </row>
    <row r="445">
      <c r="E445" s="27" t="n"/>
      <c r="F445" s="27" t="n"/>
      <c r="G445" s="27" t="n"/>
      <c r="H445" s="27" t="n"/>
    </row>
    <row r="446">
      <c r="E446" s="27" t="n"/>
      <c r="F446" s="27" t="n"/>
      <c r="G446" s="27" t="n"/>
      <c r="H446" s="27" t="n"/>
    </row>
    <row r="447">
      <c r="E447" s="27" t="n"/>
      <c r="F447" s="27" t="n"/>
      <c r="G447" s="27" t="n"/>
      <c r="H447" s="27" t="n"/>
    </row>
    <row r="448">
      <c r="E448" s="27" t="n"/>
      <c r="F448" s="27" t="n"/>
      <c r="G448" s="27" t="n"/>
      <c r="H448" s="27" t="n"/>
    </row>
    <row r="449">
      <c r="E449" s="27" t="n"/>
      <c r="F449" s="27" t="n"/>
      <c r="G449" s="27" t="n"/>
      <c r="H449" s="27" t="n"/>
    </row>
    <row r="450">
      <c r="E450" s="27" t="n"/>
      <c r="F450" s="27" t="n"/>
      <c r="G450" s="27" t="n"/>
      <c r="H450" s="27" t="n"/>
    </row>
    <row r="451">
      <c r="E451" s="27" t="n"/>
      <c r="F451" s="27" t="n"/>
      <c r="G451" s="27" t="n"/>
      <c r="H451" s="27" t="n"/>
    </row>
    <row r="452">
      <c r="E452" s="27" t="n"/>
      <c r="F452" s="27" t="n"/>
      <c r="G452" s="27" t="n"/>
      <c r="H452" s="27" t="n"/>
    </row>
    <row r="453">
      <c r="E453" s="27" t="n"/>
      <c r="F453" s="27" t="n"/>
      <c r="G453" s="27" t="n"/>
      <c r="H453" s="27" t="n"/>
    </row>
    <row r="454">
      <c r="E454" s="27" t="n"/>
      <c r="F454" s="27" t="n"/>
      <c r="G454" s="27" t="n"/>
      <c r="H454" s="27" t="n"/>
    </row>
    <row r="455">
      <c r="E455" s="27" t="n"/>
      <c r="F455" s="27" t="n"/>
      <c r="G455" s="27" t="n"/>
      <c r="H455" s="27" t="n"/>
    </row>
    <row r="456">
      <c r="E456" s="27" t="n"/>
      <c r="F456" s="27" t="n"/>
      <c r="G456" s="27" t="n"/>
      <c r="H456" s="27" t="n"/>
    </row>
    <row r="457">
      <c r="E457" s="27" t="n"/>
      <c r="F457" s="27" t="n"/>
      <c r="G457" s="27" t="n"/>
      <c r="H457" s="27" t="n"/>
    </row>
    <row r="458">
      <c r="E458" s="27" t="n"/>
      <c r="F458" s="27" t="n"/>
      <c r="G458" s="27" t="n"/>
      <c r="H458" s="27" t="n"/>
    </row>
    <row r="459">
      <c r="E459" s="27" t="n"/>
      <c r="F459" s="27" t="n"/>
      <c r="G459" s="27" t="n"/>
      <c r="H459" s="27" t="n"/>
    </row>
    <row r="460">
      <c r="E460" s="27" t="n"/>
      <c r="F460" s="27" t="n"/>
      <c r="G460" s="27" t="n"/>
      <c r="H460" s="27" t="n"/>
    </row>
    <row r="461">
      <c r="E461" s="27" t="n"/>
      <c r="F461" s="27" t="n"/>
      <c r="G461" s="27" t="n"/>
      <c r="H461" s="27" t="n"/>
    </row>
    <row r="462">
      <c r="E462" s="27" t="n"/>
      <c r="F462" s="27" t="n"/>
      <c r="G462" s="27" t="n"/>
      <c r="H462" s="27" t="n"/>
    </row>
    <row r="463">
      <c r="E463" s="27" t="n"/>
      <c r="F463" s="27" t="n"/>
      <c r="G463" s="27" t="n"/>
      <c r="H463" s="27" t="n"/>
    </row>
    <row r="464">
      <c r="E464" s="27" t="n"/>
      <c r="F464" s="27" t="n"/>
      <c r="G464" s="27" t="n"/>
      <c r="H464" s="27" t="n"/>
    </row>
    <row r="465">
      <c r="E465" s="27" t="n"/>
      <c r="F465" s="27" t="n"/>
      <c r="G465" s="27" t="n"/>
      <c r="H465" s="27" t="n"/>
    </row>
    <row r="466">
      <c r="E466" s="27" t="n"/>
      <c r="F466" s="27" t="n"/>
      <c r="G466" s="27" t="n"/>
      <c r="H466" s="27" t="n"/>
    </row>
    <row r="467">
      <c r="E467" s="27" t="n"/>
      <c r="F467" s="27" t="n"/>
      <c r="G467" s="27" t="n"/>
      <c r="H467" s="27" t="n"/>
    </row>
    <row r="468">
      <c r="E468" s="27" t="n"/>
      <c r="F468" s="27" t="n"/>
      <c r="G468" s="27" t="n"/>
      <c r="H468" s="27" t="n"/>
    </row>
    <row r="469">
      <c r="E469" s="27" t="n"/>
      <c r="F469" s="27" t="n"/>
      <c r="G469" s="27" t="n"/>
      <c r="H469" s="27" t="n"/>
    </row>
    <row r="470">
      <c r="E470" s="27" t="n"/>
      <c r="F470" s="27" t="n"/>
      <c r="G470" s="27" t="n"/>
      <c r="H470" s="27" t="n"/>
    </row>
    <row r="471">
      <c r="E471" s="27" t="n"/>
      <c r="F471" s="27" t="n"/>
      <c r="G471" s="27" t="n"/>
      <c r="H471" s="27" t="n"/>
    </row>
    <row r="472">
      <c r="E472" s="27" t="n"/>
      <c r="F472" s="27" t="n"/>
      <c r="G472" s="27" t="n"/>
      <c r="H472" s="27" t="n"/>
    </row>
    <row r="473">
      <c r="E473" s="27" t="n"/>
      <c r="F473" s="27" t="n"/>
      <c r="G473" s="27" t="n"/>
      <c r="H473" s="27" t="n"/>
    </row>
    <row r="474">
      <c r="E474" s="27" t="n"/>
      <c r="F474" s="27" t="n"/>
      <c r="G474" s="27" t="n"/>
      <c r="H474" s="27" t="n"/>
    </row>
    <row r="475">
      <c r="E475" s="27" t="n"/>
      <c r="F475" s="27" t="n"/>
      <c r="G475" s="27" t="n"/>
      <c r="H475" s="27" t="n"/>
    </row>
    <row r="476">
      <c r="E476" s="27" t="n"/>
      <c r="F476" s="27" t="n"/>
      <c r="G476" s="27" t="n"/>
      <c r="H476" s="27" t="n"/>
    </row>
    <row r="477">
      <c r="E477" s="27" t="n"/>
      <c r="F477" s="27" t="n"/>
      <c r="G477" s="27" t="n"/>
      <c r="H477" s="27" t="n"/>
    </row>
    <row r="478">
      <c r="E478" s="27" t="n"/>
      <c r="F478" s="27" t="n"/>
      <c r="G478" s="27" t="n"/>
      <c r="H478" s="27" t="n"/>
    </row>
    <row r="479">
      <c r="E479" s="27" t="n"/>
      <c r="F479" s="27" t="n"/>
      <c r="G479" s="27" t="n"/>
      <c r="H479" s="27" t="n"/>
    </row>
    <row r="480">
      <c r="E480" s="27" t="n"/>
      <c r="F480" s="27" t="n"/>
      <c r="G480" s="27" t="n"/>
      <c r="H480" s="27" t="n"/>
    </row>
    <row r="481">
      <c r="E481" s="27" t="n"/>
      <c r="F481" s="27" t="n"/>
      <c r="G481" s="27" t="n"/>
      <c r="H481" s="27" t="n"/>
    </row>
    <row r="482">
      <c r="E482" s="27" t="n"/>
      <c r="F482" s="27" t="n"/>
      <c r="G482" s="27" t="n"/>
      <c r="H482" s="27" t="n"/>
    </row>
    <row r="483">
      <c r="E483" s="27" t="n"/>
      <c r="F483" s="27" t="n"/>
      <c r="G483" s="27" t="n"/>
      <c r="H483" s="27" t="n"/>
    </row>
    <row r="484">
      <c r="E484" s="27" t="n"/>
      <c r="F484" s="27" t="n"/>
      <c r="G484" s="27" t="n"/>
      <c r="H484" s="27" t="n"/>
    </row>
    <row r="485">
      <c r="E485" s="27" t="n"/>
      <c r="F485" s="27" t="n"/>
      <c r="G485" s="27" t="n"/>
      <c r="H485" s="27" t="n"/>
    </row>
    <row r="486">
      <c r="E486" s="27" t="n"/>
      <c r="F486" s="27" t="n"/>
      <c r="G486" s="27" t="n"/>
      <c r="H486" s="27" t="n"/>
    </row>
    <row r="487">
      <c r="E487" s="27" t="n"/>
      <c r="F487" s="27" t="n"/>
      <c r="G487" s="27" t="n"/>
      <c r="H487" s="27" t="n"/>
    </row>
    <row r="488">
      <c r="E488" s="27" t="n"/>
      <c r="F488" s="27" t="n"/>
      <c r="G488" s="27" t="n"/>
      <c r="H488" s="27" t="n"/>
    </row>
    <row r="489">
      <c r="E489" s="27" t="n"/>
      <c r="F489" s="27" t="n"/>
      <c r="G489" s="27" t="n"/>
      <c r="H489" s="27" t="n"/>
    </row>
    <row r="490">
      <c r="E490" s="27" t="n"/>
      <c r="F490" s="27" t="n"/>
      <c r="G490" s="27" t="n"/>
      <c r="H490" s="27" t="n"/>
    </row>
    <row r="491">
      <c r="E491" s="27" t="n"/>
      <c r="F491" s="27" t="n"/>
      <c r="G491" s="27" t="n"/>
      <c r="H491" s="27" t="n"/>
    </row>
    <row r="492">
      <c r="E492" s="27" t="n"/>
      <c r="F492" s="27" t="n"/>
      <c r="G492" s="27" t="n"/>
      <c r="H492" s="27" t="n"/>
    </row>
    <row r="493">
      <c r="E493" s="27" t="n"/>
      <c r="F493" s="27" t="n"/>
      <c r="G493" s="27" t="n"/>
      <c r="H493" s="27" t="n"/>
    </row>
    <row r="494">
      <c r="E494" s="27" t="n"/>
      <c r="F494" s="27" t="n"/>
      <c r="G494" s="27" t="n"/>
      <c r="H494" s="27" t="n"/>
    </row>
    <row r="495">
      <c r="E495" s="27" t="n"/>
      <c r="F495" s="27" t="n"/>
      <c r="G495" s="27" t="n"/>
      <c r="H495" s="27" t="n"/>
    </row>
    <row r="496">
      <c r="E496" s="27" t="n"/>
      <c r="F496" s="27" t="n"/>
      <c r="G496" s="27" t="n"/>
      <c r="H496" s="27" t="n"/>
    </row>
    <row r="497">
      <c r="E497" s="27" t="n"/>
      <c r="F497" s="27" t="n"/>
      <c r="G497" s="27" t="n"/>
      <c r="H497" s="27" t="n"/>
    </row>
    <row r="498">
      <c r="E498" s="27" t="n"/>
      <c r="F498" s="27" t="n"/>
      <c r="G498" s="27" t="n"/>
      <c r="H498" s="27" t="n"/>
    </row>
    <row r="499">
      <c r="E499" s="27" t="n"/>
      <c r="F499" s="27" t="n"/>
      <c r="G499" s="27" t="n"/>
      <c r="H499" s="27" t="n"/>
    </row>
    <row r="500">
      <c r="E500" s="27" t="n"/>
      <c r="F500" s="27" t="n"/>
      <c r="G500" s="27" t="n"/>
      <c r="H500" s="27" t="n"/>
    </row>
    <row r="501">
      <c r="E501" s="27" t="n"/>
      <c r="F501" s="27" t="n"/>
      <c r="G501" s="27" t="n"/>
      <c r="H501" s="27" t="n"/>
    </row>
    <row r="502">
      <c r="E502" s="27" t="n"/>
      <c r="F502" s="27" t="n"/>
      <c r="G502" s="27" t="n"/>
      <c r="H502" s="27" t="n"/>
    </row>
    <row r="503">
      <c r="E503" s="27" t="n"/>
      <c r="F503" s="27" t="n"/>
      <c r="G503" s="27" t="n"/>
      <c r="H503" s="27" t="n"/>
    </row>
    <row r="504">
      <c r="E504" s="27" t="n"/>
      <c r="F504" s="27" t="n"/>
      <c r="G504" s="27" t="n"/>
      <c r="H504" s="27" t="n"/>
    </row>
    <row r="505">
      <c r="E505" s="27" t="n"/>
      <c r="F505" s="27" t="n"/>
      <c r="G505" s="27" t="n"/>
      <c r="H505" s="27" t="n"/>
    </row>
    <row r="506">
      <c r="E506" s="27" t="n"/>
      <c r="F506" s="27" t="n"/>
      <c r="G506" s="27" t="n"/>
      <c r="H506" s="27" t="n"/>
    </row>
    <row r="507">
      <c r="E507" s="27" t="n"/>
      <c r="F507" s="27" t="n"/>
      <c r="G507" s="27" t="n"/>
      <c r="H507" s="27" t="n"/>
    </row>
    <row r="508">
      <c r="E508" s="27" t="n"/>
      <c r="F508" s="27" t="n"/>
      <c r="G508" s="27" t="n"/>
      <c r="H508" s="27" t="n"/>
    </row>
    <row r="509">
      <c r="E509" s="27" t="n"/>
      <c r="F509" s="27" t="n"/>
      <c r="G509" s="27" t="n"/>
      <c r="H509" s="27" t="n"/>
    </row>
    <row r="510">
      <c r="E510" s="27" t="n"/>
      <c r="F510" s="27" t="n"/>
      <c r="G510" s="27" t="n"/>
      <c r="H510" s="27" t="n"/>
    </row>
    <row r="511">
      <c r="E511" s="27" t="n"/>
      <c r="F511" s="27" t="n"/>
      <c r="G511" s="27" t="n"/>
      <c r="H511" s="27" t="n"/>
    </row>
    <row r="512">
      <c r="E512" s="27" t="n"/>
      <c r="F512" s="27" t="n"/>
      <c r="G512" s="27" t="n"/>
      <c r="H512" s="27" t="n"/>
    </row>
    <row r="513">
      <c r="E513" s="27" t="n"/>
      <c r="F513" s="27" t="n"/>
      <c r="G513" s="27" t="n"/>
      <c r="H513" s="27" t="n"/>
    </row>
    <row r="514">
      <c r="E514" s="27" t="n"/>
      <c r="F514" s="27" t="n"/>
      <c r="G514" s="27" t="n"/>
      <c r="H514" s="27" t="n"/>
    </row>
    <row r="515">
      <c r="E515" s="27" t="n"/>
      <c r="F515" s="27" t="n"/>
      <c r="G515" s="27" t="n"/>
      <c r="H515" s="27" t="n"/>
    </row>
    <row r="516">
      <c r="E516" s="27" t="n"/>
      <c r="F516" s="27" t="n"/>
      <c r="G516" s="27" t="n"/>
      <c r="H516" s="27" t="n"/>
    </row>
    <row r="517">
      <c r="E517" s="27" t="n"/>
      <c r="F517" s="27" t="n"/>
      <c r="G517" s="27" t="n"/>
      <c r="H517" s="27" t="n"/>
    </row>
    <row r="518">
      <c r="E518" s="27" t="n"/>
      <c r="F518" s="27" t="n"/>
      <c r="G518" s="27" t="n"/>
      <c r="H518" s="27" t="n"/>
    </row>
    <row r="519">
      <c r="E519" s="27" t="n"/>
      <c r="F519" s="27" t="n"/>
      <c r="G519" s="27" t="n"/>
      <c r="H519" s="27" t="n"/>
    </row>
    <row r="520">
      <c r="E520" s="27" t="n"/>
      <c r="F520" s="27" t="n"/>
      <c r="G520" s="27" t="n"/>
      <c r="H520" s="27" t="n"/>
    </row>
    <row r="521">
      <c r="E521" s="27" t="n"/>
      <c r="F521" s="27" t="n"/>
      <c r="G521" s="27" t="n"/>
      <c r="H521" s="27" t="n"/>
    </row>
    <row r="522">
      <c r="E522" s="27" t="n"/>
      <c r="F522" s="27" t="n"/>
      <c r="G522" s="27" t="n"/>
      <c r="H522" s="27" t="n"/>
    </row>
    <row r="523">
      <c r="E523" s="27" t="n"/>
      <c r="F523" s="27" t="n"/>
      <c r="G523" s="27" t="n"/>
      <c r="H523" s="27" t="n"/>
    </row>
    <row r="524">
      <c r="E524" s="27" t="n"/>
      <c r="F524" s="27" t="n"/>
      <c r="G524" s="27" t="n"/>
      <c r="H524" s="27" t="n"/>
    </row>
    <row r="525">
      <c r="E525" s="27" t="n"/>
      <c r="F525" s="27" t="n"/>
      <c r="G525" s="27" t="n"/>
      <c r="H525" s="27" t="n"/>
    </row>
    <row r="526">
      <c r="E526" s="27" t="n"/>
      <c r="F526" s="27" t="n"/>
      <c r="G526" s="27" t="n"/>
      <c r="H526" s="27" t="n"/>
    </row>
    <row r="527">
      <c r="E527" s="27" t="n"/>
      <c r="F527" s="27" t="n"/>
      <c r="G527" s="27" t="n"/>
      <c r="H527" s="27" t="n"/>
    </row>
    <row r="528">
      <c r="E528" s="27" t="n"/>
      <c r="F528" s="27" t="n"/>
      <c r="G528" s="27" t="n"/>
      <c r="H528" s="27" t="n"/>
    </row>
    <row r="529">
      <c r="E529" s="27" t="n"/>
      <c r="F529" s="27" t="n"/>
      <c r="G529" s="27" t="n"/>
      <c r="H529" s="27" t="n"/>
    </row>
    <row r="530">
      <c r="E530" s="27" t="n"/>
      <c r="F530" s="27" t="n"/>
      <c r="G530" s="27" t="n"/>
      <c r="H530" s="27" t="n"/>
    </row>
    <row r="531">
      <c r="E531" s="27" t="n"/>
      <c r="F531" s="27" t="n"/>
      <c r="G531" s="27" t="n"/>
      <c r="H531" s="27" t="n"/>
    </row>
    <row r="532">
      <c r="E532" s="27" t="n"/>
      <c r="F532" s="27" t="n"/>
      <c r="G532" s="27" t="n"/>
      <c r="H532" s="27" t="n"/>
    </row>
    <row r="533">
      <c r="E533" s="27" t="n"/>
      <c r="F533" s="27" t="n"/>
      <c r="G533" s="27" t="n"/>
      <c r="H533" s="27" t="n"/>
    </row>
    <row r="534">
      <c r="E534" s="27" t="n"/>
      <c r="F534" s="27" t="n"/>
      <c r="G534" s="27" t="n"/>
      <c r="H534" s="27" t="n"/>
    </row>
    <row r="535">
      <c r="E535" s="27" t="n"/>
      <c r="F535" s="27" t="n"/>
      <c r="G535" s="27" t="n"/>
      <c r="H535" s="27" t="n"/>
    </row>
    <row r="536">
      <c r="E536" s="27" t="n"/>
      <c r="F536" s="27" t="n"/>
      <c r="G536" s="27" t="n"/>
      <c r="H536" s="27" t="n"/>
    </row>
    <row r="537">
      <c r="E537" s="27" t="n"/>
      <c r="F537" s="27" t="n"/>
      <c r="G537" s="27" t="n"/>
      <c r="H537" s="27" t="n"/>
    </row>
    <row r="538">
      <c r="E538" s="27" t="n"/>
      <c r="F538" s="27" t="n"/>
      <c r="G538" s="27" t="n"/>
      <c r="H538" s="27" t="n"/>
    </row>
    <row r="539">
      <c r="E539" s="27" t="n"/>
      <c r="F539" s="27" t="n"/>
      <c r="G539" s="27" t="n"/>
      <c r="H539" s="27" t="n"/>
    </row>
    <row r="540">
      <c r="E540" s="27" t="n"/>
      <c r="F540" s="27" t="n"/>
      <c r="G540" s="27" t="n"/>
      <c r="H540" s="27" t="n"/>
    </row>
    <row r="541">
      <c r="E541" s="27" t="n"/>
      <c r="F541" s="27" t="n"/>
      <c r="G541" s="27" t="n"/>
      <c r="H541" s="27" t="n"/>
    </row>
    <row r="542">
      <c r="E542" s="27" t="n"/>
      <c r="F542" s="27" t="n"/>
      <c r="G542" s="27" t="n"/>
      <c r="H542" s="27" t="n"/>
    </row>
    <row r="543">
      <c r="E543" s="27" t="n"/>
      <c r="F543" s="27" t="n"/>
      <c r="G543" s="27" t="n"/>
      <c r="H543" s="27" t="n"/>
    </row>
    <row r="544">
      <c r="E544" s="27" t="n"/>
      <c r="F544" s="27" t="n"/>
      <c r="G544" s="27" t="n"/>
      <c r="H544" s="27" t="n"/>
    </row>
    <row r="545">
      <c r="E545" s="27" t="n"/>
      <c r="F545" s="27" t="n"/>
      <c r="G545" s="27" t="n"/>
      <c r="H545" s="27" t="n"/>
    </row>
    <row r="546">
      <c r="E546" s="27" t="n"/>
      <c r="F546" s="27" t="n"/>
      <c r="G546" s="27" t="n"/>
      <c r="H546" s="27" t="n"/>
    </row>
    <row r="547">
      <c r="E547" s="27" t="n"/>
      <c r="F547" s="27" t="n"/>
      <c r="G547" s="27" t="n"/>
      <c r="H547" s="27" t="n"/>
    </row>
    <row r="548">
      <c r="E548" s="27" t="n"/>
      <c r="F548" s="27" t="n"/>
      <c r="G548" s="27" t="n"/>
      <c r="H548" s="27" t="n"/>
    </row>
    <row r="549">
      <c r="E549" s="27" t="n"/>
      <c r="F549" s="27" t="n"/>
      <c r="G549" s="27" t="n"/>
      <c r="H549" s="27" t="n"/>
    </row>
    <row r="550">
      <c r="E550" s="27" t="n"/>
      <c r="F550" s="27" t="n"/>
      <c r="G550" s="27" t="n"/>
      <c r="H550" s="27" t="n"/>
    </row>
    <row r="551">
      <c r="E551" s="27" t="n"/>
      <c r="F551" s="27" t="n"/>
      <c r="G551" s="27" t="n"/>
      <c r="H551" s="27" t="n"/>
    </row>
    <row r="552">
      <c r="E552" s="27" t="n"/>
      <c r="F552" s="27" t="n"/>
      <c r="G552" s="27" t="n"/>
      <c r="H552" s="27" t="n"/>
    </row>
    <row r="553">
      <c r="E553" s="27" t="n"/>
      <c r="F553" s="27" t="n"/>
      <c r="G553" s="27" t="n"/>
      <c r="H553" s="27" t="n"/>
    </row>
    <row r="554">
      <c r="E554" s="27" t="n"/>
      <c r="F554" s="27" t="n"/>
      <c r="G554" s="27" t="n"/>
      <c r="H554" s="27" t="n"/>
    </row>
    <row r="555">
      <c r="E555" s="27" t="n"/>
      <c r="F555" s="27" t="n"/>
      <c r="G555" s="27" t="n"/>
      <c r="H555" s="27" t="n"/>
    </row>
    <row r="556">
      <c r="E556" s="27" t="n"/>
      <c r="F556" s="27" t="n"/>
      <c r="G556" s="27" t="n"/>
      <c r="H556" s="27" t="n"/>
    </row>
    <row r="557">
      <c r="E557" s="27" t="n"/>
      <c r="F557" s="27" t="n"/>
      <c r="G557" s="27" t="n"/>
      <c r="H557" s="27" t="n"/>
    </row>
    <row r="558">
      <c r="E558" s="27" t="n"/>
      <c r="F558" s="27" t="n"/>
      <c r="G558" s="27" t="n"/>
      <c r="H558" s="27" t="n"/>
    </row>
    <row r="559">
      <c r="E559" s="27" t="n"/>
      <c r="F559" s="27" t="n"/>
      <c r="G559" s="27" t="n"/>
      <c r="H559" s="27" t="n"/>
    </row>
    <row r="560">
      <c r="E560" s="27" t="n"/>
      <c r="F560" s="27" t="n"/>
      <c r="G560" s="27" t="n"/>
      <c r="H560" s="27" t="n"/>
    </row>
    <row r="561">
      <c r="E561" s="27" t="n"/>
      <c r="F561" s="27" t="n"/>
      <c r="G561" s="27" t="n"/>
      <c r="H561" s="27" t="n"/>
    </row>
    <row r="562">
      <c r="E562" s="27" t="n"/>
      <c r="F562" s="27" t="n"/>
      <c r="G562" s="27" t="n"/>
      <c r="H562" s="27" t="n"/>
    </row>
    <row r="563">
      <c r="E563" s="27" t="n"/>
      <c r="F563" s="27" t="n"/>
      <c r="G563" s="27" t="n"/>
      <c r="H563" s="27" t="n"/>
    </row>
    <row r="564">
      <c r="E564" s="27" t="n"/>
      <c r="F564" s="27" t="n"/>
      <c r="G564" s="27" t="n"/>
      <c r="H564" s="27" t="n"/>
    </row>
    <row r="565">
      <c r="E565" s="27" t="n"/>
      <c r="F565" s="27" t="n"/>
      <c r="G565" s="27" t="n"/>
      <c r="H565" s="27" t="n"/>
    </row>
    <row r="566">
      <c r="E566" s="27" t="n"/>
      <c r="F566" s="27" t="n"/>
      <c r="G566" s="27" t="n"/>
      <c r="H566" s="27" t="n"/>
    </row>
    <row r="567">
      <c r="E567" s="27" t="n"/>
      <c r="F567" s="27" t="n"/>
      <c r="G567" s="27" t="n"/>
      <c r="H567" s="27" t="n"/>
    </row>
    <row r="568">
      <c r="E568" s="27" t="n"/>
      <c r="F568" s="27" t="n"/>
      <c r="G568" s="27" t="n"/>
      <c r="H568" s="27" t="n"/>
    </row>
    <row r="569">
      <c r="E569" s="27" t="n"/>
      <c r="F569" s="27" t="n"/>
      <c r="G569" s="27" t="n"/>
      <c r="H569" s="27" t="n"/>
    </row>
    <row r="570">
      <c r="E570" s="27" t="n"/>
      <c r="F570" s="27" t="n"/>
      <c r="G570" s="27" t="n"/>
      <c r="H570" s="27" t="n"/>
    </row>
    <row r="571">
      <c r="E571" s="27" t="n"/>
      <c r="F571" s="27" t="n"/>
      <c r="G571" s="27" t="n"/>
      <c r="H571" s="27" t="n"/>
    </row>
    <row r="572">
      <c r="E572" s="27" t="n"/>
      <c r="F572" s="27" t="n"/>
      <c r="G572" s="27" t="n"/>
      <c r="H572" s="27" t="n"/>
    </row>
    <row r="573">
      <c r="E573" s="27" t="n"/>
      <c r="F573" s="27" t="n"/>
      <c r="G573" s="27" t="n"/>
      <c r="H573" s="27" t="n"/>
    </row>
    <row r="574">
      <c r="E574" s="27" t="n"/>
      <c r="F574" s="27" t="n"/>
      <c r="G574" s="27" t="n"/>
      <c r="H574" s="27" t="n"/>
    </row>
    <row r="575">
      <c r="E575" s="27" t="n"/>
      <c r="F575" s="27" t="n"/>
      <c r="G575" s="27" t="n"/>
      <c r="H575" s="27" t="n"/>
    </row>
    <row r="576">
      <c r="E576" s="27" t="n"/>
      <c r="F576" s="27" t="n"/>
      <c r="G576" s="27" t="n"/>
      <c r="H576" s="27" t="n"/>
    </row>
    <row r="577">
      <c r="E577" s="27" t="n"/>
      <c r="F577" s="27" t="n"/>
      <c r="G577" s="27" t="n"/>
      <c r="H577" s="27" t="n"/>
    </row>
    <row r="578">
      <c r="E578" s="27" t="n"/>
      <c r="F578" s="27" t="n"/>
      <c r="G578" s="27" t="n"/>
      <c r="H578" s="27" t="n"/>
    </row>
    <row r="579">
      <c r="E579" s="27" t="n"/>
      <c r="F579" s="27" t="n"/>
      <c r="G579" s="27" t="n"/>
      <c r="H579" s="27" t="n"/>
    </row>
    <row r="580">
      <c r="E580" s="27" t="n"/>
      <c r="F580" s="27" t="n"/>
      <c r="G580" s="27" t="n"/>
      <c r="H580" s="27" t="n"/>
    </row>
    <row r="581">
      <c r="E581" s="27" t="n"/>
      <c r="F581" s="27" t="n"/>
      <c r="G581" s="27" t="n"/>
      <c r="H581" s="27" t="n"/>
    </row>
    <row r="582">
      <c r="E582" s="27" t="n"/>
      <c r="F582" s="27" t="n"/>
      <c r="G582" s="27" t="n"/>
      <c r="H582" s="27" t="n"/>
    </row>
    <row r="583">
      <c r="E583" s="27" t="n"/>
      <c r="F583" s="27" t="n"/>
      <c r="G583" s="27" t="n"/>
      <c r="H583" s="27" t="n"/>
    </row>
    <row r="584">
      <c r="E584" s="27" t="n"/>
      <c r="F584" s="27" t="n"/>
      <c r="G584" s="27" t="n"/>
      <c r="H584" s="27" t="n"/>
    </row>
    <row r="585">
      <c r="E585" s="27" t="n"/>
      <c r="F585" s="27" t="n"/>
      <c r="G585" s="27" t="n"/>
      <c r="H585" s="27" t="n"/>
    </row>
    <row r="586">
      <c r="E586" s="27" t="n"/>
      <c r="F586" s="27" t="n"/>
      <c r="G586" s="27" t="n"/>
      <c r="H586" s="27" t="n"/>
    </row>
    <row r="587">
      <c r="E587" s="27" t="n"/>
      <c r="F587" s="27" t="n"/>
      <c r="G587" s="27" t="n"/>
      <c r="H587" s="27" t="n"/>
    </row>
    <row r="588">
      <c r="E588" s="27" t="n"/>
      <c r="F588" s="27" t="n"/>
      <c r="G588" s="27" t="n"/>
      <c r="H588" s="27" t="n"/>
    </row>
    <row r="589">
      <c r="E589" s="27" t="n"/>
      <c r="F589" s="27" t="n"/>
      <c r="G589" s="27" t="n"/>
      <c r="H589" s="27" t="n"/>
    </row>
    <row r="590">
      <c r="E590" s="27" t="n"/>
      <c r="F590" s="27" t="n"/>
      <c r="G590" s="27" t="n"/>
      <c r="H590" s="27" t="n"/>
    </row>
    <row r="591">
      <c r="E591" s="27" t="n"/>
      <c r="F591" s="27" t="n"/>
      <c r="G591" s="27" t="n"/>
      <c r="H591" s="27" t="n"/>
    </row>
    <row r="592">
      <c r="E592" s="27" t="n"/>
      <c r="F592" s="27" t="n"/>
      <c r="G592" s="27" t="n"/>
      <c r="H592" s="27" t="n"/>
    </row>
    <row r="593">
      <c r="E593" s="27" t="n"/>
      <c r="F593" s="27" t="n"/>
      <c r="G593" s="27" t="n"/>
      <c r="H593" s="27" t="n"/>
    </row>
    <row r="594">
      <c r="E594" s="27" t="n"/>
      <c r="F594" s="27" t="n"/>
      <c r="G594" s="27" t="n"/>
      <c r="H594" s="27" t="n"/>
    </row>
    <row r="595">
      <c r="E595" s="27" t="n"/>
      <c r="F595" s="27" t="n"/>
      <c r="G595" s="27" t="n"/>
      <c r="H595" s="27" t="n"/>
    </row>
    <row r="596">
      <c r="E596" s="27" t="n"/>
      <c r="F596" s="27" t="n"/>
      <c r="G596" s="27" t="n"/>
      <c r="H596" s="27" t="n"/>
    </row>
    <row r="597">
      <c r="E597" s="27" t="n"/>
      <c r="F597" s="27" t="n"/>
      <c r="G597" s="27" t="n"/>
      <c r="H597" s="27" t="n"/>
    </row>
    <row r="598">
      <c r="E598" s="27" t="n"/>
      <c r="F598" s="27" t="n"/>
      <c r="G598" s="27" t="n"/>
      <c r="H598" s="27" t="n"/>
    </row>
    <row r="599">
      <c r="E599" s="27" t="n"/>
      <c r="F599" s="27" t="n"/>
      <c r="G599" s="27" t="n"/>
      <c r="H599" s="27" t="n"/>
    </row>
    <row r="600">
      <c r="E600" s="27" t="n"/>
      <c r="F600" s="27" t="n"/>
      <c r="G600" s="27" t="n"/>
      <c r="H600" s="27" t="n"/>
    </row>
    <row r="601">
      <c r="E601" s="27" t="n"/>
      <c r="F601" s="27" t="n"/>
      <c r="G601" s="27" t="n"/>
      <c r="H601" s="27" t="n"/>
    </row>
    <row r="602">
      <c r="E602" s="27" t="n"/>
      <c r="F602" s="27" t="n"/>
      <c r="G602" s="27" t="n"/>
      <c r="H602" s="27" t="n"/>
    </row>
    <row r="603">
      <c r="E603" s="27" t="n"/>
      <c r="F603" s="27" t="n"/>
      <c r="G603" s="27" t="n"/>
      <c r="H603" s="27" t="n"/>
    </row>
    <row r="604">
      <c r="E604" s="27" t="n"/>
      <c r="F604" s="27" t="n"/>
      <c r="G604" s="27" t="n"/>
      <c r="H604" s="27" t="n"/>
    </row>
    <row r="605">
      <c r="E605" s="27" t="n"/>
      <c r="F605" s="27" t="n"/>
      <c r="G605" s="27" t="n"/>
      <c r="H605" s="27" t="n"/>
    </row>
    <row r="606">
      <c r="E606" s="27" t="n"/>
      <c r="F606" s="27" t="n"/>
      <c r="G606" s="27" t="n"/>
      <c r="H606" s="27" t="n"/>
    </row>
    <row r="607">
      <c r="E607" s="27" t="n"/>
      <c r="F607" s="27" t="n"/>
      <c r="G607" s="27" t="n"/>
      <c r="H607" s="27" t="n"/>
    </row>
    <row r="608">
      <c r="E608" s="27" t="n"/>
      <c r="F608" s="27" t="n"/>
      <c r="G608" s="27" t="n"/>
      <c r="H608" s="27" t="n"/>
    </row>
    <row r="609">
      <c r="E609" s="27" t="n"/>
      <c r="F609" s="27" t="n"/>
      <c r="G609" s="27" t="n"/>
      <c r="H609" s="27" t="n"/>
    </row>
    <row r="610">
      <c r="E610" s="27" t="n"/>
      <c r="F610" s="27" t="n"/>
      <c r="G610" s="27" t="n"/>
      <c r="H610" s="27" t="n"/>
    </row>
    <row r="611">
      <c r="E611" s="27" t="n"/>
      <c r="F611" s="27" t="n"/>
      <c r="G611" s="27" t="n"/>
      <c r="H611" s="27" t="n"/>
    </row>
    <row r="612">
      <c r="E612" s="27" t="n"/>
      <c r="F612" s="27" t="n"/>
      <c r="G612" s="27" t="n"/>
      <c r="H612" s="27" t="n"/>
    </row>
    <row r="613">
      <c r="E613" s="27" t="n"/>
      <c r="F613" s="27" t="n"/>
      <c r="G613" s="27" t="n"/>
      <c r="H613" s="27" t="n"/>
    </row>
    <row r="614">
      <c r="E614" s="27" t="n"/>
      <c r="F614" s="27" t="n"/>
      <c r="G614" s="27" t="n"/>
      <c r="H614" s="27" t="n"/>
    </row>
    <row r="615">
      <c r="E615" s="27" t="n"/>
      <c r="F615" s="27" t="n"/>
      <c r="G615" s="27" t="n"/>
      <c r="H615" s="27" t="n"/>
    </row>
    <row r="616">
      <c r="E616" s="27" t="n"/>
      <c r="F616" s="27" t="n"/>
      <c r="G616" s="27" t="n"/>
      <c r="H616" s="27" t="n"/>
    </row>
    <row r="617">
      <c r="E617" s="27" t="n"/>
      <c r="F617" s="27" t="n"/>
      <c r="G617" s="27" t="n"/>
      <c r="H617" s="27" t="n"/>
    </row>
    <row r="618">
      <c r="E618" s="27" t="n"/>
      <c r="F618" s="27" t="n"/>
      <c r="G618" s="27" t="n"/>
      <c r="H618" s="27" t="n"/>
    </row>
    <row r="619">
      <c r="E619" s="27" t="n"/>
      <c r="F619" s="27" t="n"/>
      <c r="G619" s="27" t="n"/>
      <c r="H619" s="27" t="n"/>
    </row>
    <row r="620">
      <c r="E620" s="27" t="n"/>
      <c r="F620" s="27" t="n"/>
      <c r="G620" s="27" t="n"/>
      <c r="H620" s="27" t="n"/>
    </row>
    <row r="621">
      <c r="E621" s="27" t="n"/>
      <c r="F621" s="27" t="n"/>
      <c r="G621" s="27" t="n"/>
      <c r="H621" s="27" t="n"/>
    </row>
    <row r="622">
      <c r="E622" s="27" t="n"/>
      <c r="F622" s="27" t="n"/>
      <c r="G622" s="27" t="n"/>
      <c r="H622" s="27" t="n"/>
    </row>
    <row r="623">
      <c r="E623" s="27" t="n"/>
      <c r="F623" s="27" t="n"/>
      <c r="G623" s="27" t="n"/>
      <c r="H623" s="27" t="n"/>
    </row>
    <row r="624">
      <c r="E624" s="27" t="n"/>
      <c r="F624" s="27" t="n"/>
      <c r="G624" s="27" t="n"/>
      <c r="H624" s="27" t="n"/>
    </row>
    <row r="625">
      <c r="E625" s="27" t="n"/>
      <c r="F625" s="27" t="n"/>
      <c r="G625" s="27" t="n"/>
      <c r="H625" s="27" t="n"/>
    </row>
    <row r="626">
      <c r="E626" s="27" t="n"/>
      <c r="F626" s="27" t="n"/>
      <c r="G626" s="27" t="n"/>
      <c r="H626" s="27" t="n"/>
    </row>
    <row r="627">
      <c r="E627" s="27" t="n"/>
      <c r="F627" s="27" t="n"/>
      <c r="G627" s="27" t="n"/>
      <c r="H627" s="27" t="n"/>
    </row>
    <row r="628">
      <c r="E628" s="27" t="n"/>
      <c r="F628" s="27" t="n"/>
      <c r="G628" s="27" t="n"/>
      <c r="H628" s="27" t="n"/>
    </row>
    <row r="629">
      <c r="E629" s="27" t="n"/>
      <c r="F629" s="27" t="n"/>
      <c r="G629" s="27" t="n"/>
      <c r="H629" s="27" t="n"/>
    </row>
    <row r="630">
      <c r="E630" s="27" t="n"/>
      <c r="F630" s="27" t="n"/>
      <c r="G630" s="27" t="n"/>
      <c r="H630" s="27" t="n"/>
    </row>
    <row r="631">
      <c r="E631" s="27" t="n"/>
      <c r="F631" s="27" t="n"/>
      <c r="G631" s="27" t="n"/>
      <c r="H631" s="27" t="n"/>
    </row>
    <row r="632">
      <c r="E632" s="27" t="n"/>
      <c r="F632" s="27" t="n"/>
      <c r="G632" s="27" t="n"/>
      <c r="H632" s="27" t="n"/>
    </row>
    <row r="633">
      <c r="E633" s="27" t="n"/>
      <c r="F633" s="27" t="n"/>
      <c r="G633" s="27" t="n"/>
      <c r="H633" s="27" t="n"/>
    </row>
    <row r="634">
      <c r="E634" s="27" t="n"/>
      <c r="F634" s="27" t="n"/>
      <c r="G634" s="27" t="n"/>
      <c r="H634" s="27" t="n"/>
    </row>
    <row r="635">
      <c r="E635" s="27" t="n"/>
      <c r="F635" s="27" t="n"/>
      <c r="G635" s="27" t="n"/>
      <c r="H635" s="27" t="n"/>
    </row>
    <row r="636">
      <c r="E636" s="27" t="n"/>
      <c r="F636" s="27" t="n"/>
      <c r="G636" s="27" t="n"/>
      <c r="H636" s="27" t="n"/>
    </row>
    <row r="637">
      <c r="E637" s="27" t="n"/>
      <c r="F637" s="27" t="n"/>
      <c r="G637" s="27" t="n"/>
      <c r="H637" s="27" t="n"/>
    </row>
    <row r="638">
      <c r="E638" s="27" t="n"/>
      <c r="F638" s="27" t="n"/>
      <c r="G638" s="27" t="n"/>
      <c r="H638" s="27" t="n"/>
    </row>
    <row r="639">
      <c r="E639" s="27" t="n"/>
      <c r="F639" s="27" t="n"/>
      <c r="G639" s="27" t="n"/>
      <c r="H639" s="27" t="n"/>
    </row>
    <row r="640">
      <c r="E640" s="27" t="n"/>
      <c r="F640" s="27" t="n"/>
      <c r="G640" s="27" t="n"/>
      <c r="H640" s="27" t="n"/>
    </row>
    <row r="641">
      <c r="E641" s="27" t="n"/>
      <c r="F641" s="27" t="n"/>
      <c r="G641" s="27" t="n"/>
      <c r="H641" s="27" t="n"/>
    </row>
    <row r="642">
      <c r="E642" s="27" t="n"/>
      <c r="F642" s="27" t="n"/>
      <c r="G642" s="27" t="n"/>
      <c r="H642" s="27" t="n"/>
    </row>
    <row r="643">
      <c r="E643" s="27" t="n"/>
      <c r="F643" s="27" t="n"/>
      <c r="G643" s="27" t="n"/>
      <c r="H643" s="27" t="n"/>
    </row>
    <row r="644">
      <c r="E644" s="27" t="n"/>
      <c r="F644" s="27" t="n"/>
      <c r="G644" s="27" t="n"/>
      <c r="H644" s="27" t="n"/>
    </row>
    <row r="645">
      <c r="E645" s="27" t="n"/>
      <c r="F645" s="27" t="n"/>
      <c r="G645" s="27" t="n"/>
      <c r="H645" s="27" t="n"/>
    </row>
    <row r="646">
      <c r="E646" s="27" t="n"/>
      <c r="F646" s="27" t="n"/>
      <c r="G646" s="27" t="n"/>
      <c r="H646" s="27" t="n"/>
    </row>
    <row r="647">
      <c r="E647" s="27" t="n"/>
      <c r="F647" s="27" t="n"/>
      <c r="G647" s="27" t="n"/>
      <c r="H647" s="27" t="n"/>
    </row>
    <row r="648">
      <c r="E648" s="27" t="n"/>
      <c r="F648" s="27" t="n"/>
      <c r="G648" s="27" t="n"/>
      <c r="H648" s="27" t="n"/>
    </row>
    <row r="649">
      <c r="E649" s="27" t="n"/>
      <c r="F649" s="27" t="n"/>
      <c r="G649" s="27" t="n"/>
      <c r="H649" s="27" t="n"/>
    </row>
    <row r="650">
      <c r="E650" s="27" t="n"/>
      <c r="F650" s="27" t="n"/>
      <c r="G650" s="27" t="n"/>
      <c r="H650" s="27" t="n"/>
    </row>
    <row r="651">
      <c r="E651" s="27" t="n"/>
      <c r="F651" s="27" t="n"/>
      <c r="G651" s="27" t="n"/>
      <c r="H651" s="27" t="n"/>
    </row>
    <row r="652">
      <c r="E652" s="27" t="n"/>
      <c r="F652" s="27" t="n"/>
      <c r="G652" s="27" t="n"/>
      <c r="H652" s="27" t="n"/>
    </row>
    <row r="653">
      <c r="E653" s="27" t="n"/>
      <c r="F653" s="27" t="n"/>
      <c r="G653" s="27" t="n"/>
      <c r="H653" s="27" t="n"/>
    </row>
    <row r="654">
      <c r="E654" s="27" t="n"/>
      <c r="F654" s="27" t="n"/>
      <c r="G654" s="27" t="n"/>
      <c r="H654" s="27" t="n"/>
    </row>
    <row r="655">
      <c r="E655" s="27" t="n"/>
      <c r="F655" s="27" t="n"/>
      <c r="G655" s="27" t="n"/>
      <c r="H655" s="27" t="n"/>
    </row>
    <row r="656">
      <c r="E656" s="27" t="n"/>
      <c r="F656" s="27" t="n"/>
      <c r="G656" s="27" t="n"/>
      <c r="H656" s="27" t="n"/>
    </row>
    <row r="657">
      <c r="E657" s="27" t="n"/>
      <c r="F657" s="27" t="n"/>
      <c r="G657" s="27" t="n"/>
      <c r="H657" s="27" t="n"/>
    </row>
    <row r="658">
      <c r="E658" s="27" t="n"/>
      <c r="F658" s="27" t="n"/>
      <c r="G658" s="27" t="n"/>
      <c r="H658" s="27" t="n"/>
    </row>
    <row r="659">
      <c r="E659" s="27" t="n"/>
      <c r="F659" s="27" t="n"/>
      <c r="G659" s="27" t="n"/>
      <c r="H659" s="27" t="n"/>
    </row>
    <row r="660">
      <c r="E660" s="27" t="n"/>
      <c r="F660" s="27" t="n"/>
      <c r="G660" s="27" t="n"/>
      <c r="H660" s="27" t="n"/>
    </row>
    <row r="661">
      <c r="E661" s="27" t="n"/>
      <c r="F661" s="27" t="n"/>
      <c r="G661" s="27" t="n"/>
      <c r="H661" s="27" t="n"/>
    </row>
    <row r="662">
      <c r="E662" s="27" t="n"/>
      <c r="F662" s="27" t="n"/>
      <c r="G662" s="27" t="n"/>
      <c r="H662" s="27" t="n"/>
    </row>
    <row r="663">
      <c r="E663" s="27" t="n"/>
      <c r="F663" s="27" t="n"/>
      <c r="G663" s="27" t="n"/>
      <c r="H663" s="27" t="n"/>
    </row>
    <row r="664">
      <c r="E664" s="27" t="n"/>
      <c r="F664" s="27" t="n"/>
      <c r="G664" s="27" t="n"/>
      <c r="H664" s="27" t="n"/>
    </row>
    <row r="665">
      <c r="E665" s="27" t="n"/>
      <c r="F665" s="27" t="n"/>
      <c r="G665" s="27" t="n"/>
      <c r="H665" s="27" t="n"/>
    </row>
    <row r="666">
      <c r="E666" s="27" t="n"/>
      <c r="F666" s="27" t="n"/>
      <c r="G666" s="27" t="n"/>
      <c r="H666" s="27" t="n"/>
    </row>
    <row r="667">
      <c r="E667" s="27" t="n"/>
      <c r="F667" s="27" t="n"/>
      <c r="G667" s="27" t="n"/>
      <c r="H667" s="27" t="n"/>
    </row>
    <row r="668">
      <c r="E668" s="27" t="n"/>
      <c r="F668" s="27" t="n"/>
      <c r="G668" s="27" t="n"/>
      <c r="H668" s="27" t="n"/>
    </row>
    <row r="669">
      <c r="E669" s="27" t="n"/>
      <c r="F669" s="27" t="n"/>
      <c r="G669" s="27" t="n"/>
      <c r="H669" s="27" t="n"/>
    </row>
    <row r="670">
      <c r="E670" s="27" t="n"/>
      <c r="F670" s="27" t="n"/>
      <c r="G670" s="27" t="n"/>
      <c r="H670" s="27" t="n"/>
    </row>
    <row r="671">
      <c r="E671" s="27" t="n"/>
      <c r="F671" s="27" t="n"/>
      <c r="G671" s="27" t="n"/>
      <c r="H671" s="27" t="n"/>
    </row>
    <row r="672">
      <c r="E672" s="27" t="n"/>
      <c r="F672" s="27" t="n"/>
      <c r="G672" s="27" t="n"/>
      <c r="H672" s="27" t="n"/>
    </row>
    <row r="673">
      <c r="E673" s="27" t="n"/>
      <c r="F673" s="27" t="n"/>
      <c r="G673" s="27" t="n"/>
      <c r="H673" s="27" t="n"/>
    </row>
    <row r="674">
      <c r="E674" s="27" t="n"/>
      <c r="F674" s="27" t="n"/>
      <c r="G674" s="27" t="n"/>
      <c r="H674" s="27" t="n"/>
    </row>
    <row r="675">
      <c r="E675" s="27" t="n"/>
      <c r="F675" s="27" t="n"/>
      <c r="G675" s="27" t="n"/>
      <c r="H675" s="27" t="n"/>
    </row>
    <row r="676">
      <c r="E676" s="27" t="n"/>
      <c r="F676" s="27" t="n"/>
      <c r="G676" s="27" t="n"/>
      <c r="H676" s="27" t="n"/>
    </row>
    <row r="677">
      <c r="E677" s="27" t="n"/>
      <c r="F677" s="27" t="n"/>
      <c r="G677" s="27" t="n"/>
      <c r="H677" s="27" t="n"/>
    </row>
    <row r="678">
      <c r="E678" s="27" t="n"/>
      <c r="F678" s="27" t="n"/>
      <c r="G678" s="27" t="n"/>
      <c r="H678" s="27" t="n"/>
    </row>
    <row r="679">
      <c r="E679" s="27" t="n"/>
      <c r="F679" s="27" t="n"/>
      <c r="G679" s="27" t="n"/>
      <c r="H679" s="27" t="n"/>
    </row>
    <row r="680">
      <c r="E680" s="27" t="n"/>
      <c r="F680" s="27" t="n"/>
      <c r="G680" s="27" t="n"/>
      <c r="H680" s="27" t="n"/>
    </row>
    <row r="681">
      <c r="E681" s="27" t="n"/>
      <c r="F681" s="27" t="n"/>
      <c r="G681" s="27" t="n"/>
      <c r="H681" s="27" t="n"/>
    </row>
    <row r="682">
      <c r="E682" s="27" t="n"/>
      <c r="F682" s="27" t="n"/>
      <c r="G682" s="27" t="n"/>
      <c r="H682" s="27" t="n"/>
    </row>
    <row r="683">
      <c r="E683" s="27" t="n"/>
      <c r="F683" s="27" t="n"/>
      <c r="G683" s="27" t="n"/>
      <c r="H683" s="27" t="n"/>
    </row>
    <row r="684">
      <c r="E684" s="27" t="n"/>
      <c r="F684" s="27" t="n"/>
      <c r="G684" s="27" t="n"/>
      <c r="H684" s="27" t="n"/>
    </row>
    <row r="685">
      <c r="E685" s="27" t="n"/>
      <c r="F685" s="27" t="n"/>
      <c r="G685" s="27" t="n"/>
      <c r="H685" s="27" t="n"/>
    </row>
    <row r="686">
      <c r="E686" s="27" t="n"/>
      <c r="F686" s="27" t="n"/>
      <c r="G686" s="27" t="n"/>
      <c r="H686" s="27" t="n"/>
    </row>
    <row r="687">
      <c r="E687" s="27" t="n"/>
      <c r="F687" s="27" t="n"/>
      <c r="G687" s="27" t="n"/>
      <c r="H687" s="27" t="n"/>
    </row>
    <row r="688">
      <c r="E688" s="27" t="n"/>
      <c r="F688" s="27" t="n"/>
      <c r="G688" s="27" t="n"/>
      <c r="H688" s="27" t="n"/>
    </row>
    <row r="689">
      <c r="E689" s="27" t="n"/>
      <c r="F689" s="27" t="n"/>
      <c r="G689" s="27" t="n"/>
      <c r="H689" s="27" t="n"/>
    </row>
    <row r="690">
      <c r="E690" s="27" t="n"/>
      <c r="F690" s="27" t="n"/>
      <c r="G690" s="27" t="n"/>
      <c r="H690" s="27" t="n"/>
    </row>
    <row r="691">
      <c r="E691" s="27" t="n"/>
      <c r="F691" s="27" t="n"/>
      <c r="G691" s="27" t="n"/>
      <c r="H691" s="27" t="n"/>
    </row>
    <row r="692">
      <c r="E692" s="27" t="n"/>
      <c r="F692" s="27" t="n"/>
      <c r="G692" s="27" t="n"/>
      <c r="H692" s="27" t="n"/>
    </row>
    <row r="693">
      <c r="E693" s="27" t="n"/>
      <c r="F693" s="27" t="n"/>
      <c r="G693" s="27" t="n"/>
      <c r="H693" s="27" t="n"/>
    </row>
    <row r="694">
      <c r="E694" s="27" t="n"/>
      <c r="F694" s="27" t="n"/>
      <c r="G694" s="27" t="n"/>
      <c r="H694" s="27" t="n"/>
    </row>
    <row r="695">
      <c r="E695" s="27" t="n"/>
      <c r="F695" s="27" t="n"/>
      <c r="G695" s="27" t="n"/>
      <c r="H695" s="27" t="n"/>
    </row>
    <row r="696">
      <c r="E696" s="27" t="n"/>
      <c r="F696" s="27" t="n"/>
      <c r="G696" s="27" t="n"/>
      <c r="H696" s="27" t="n"/>
    </row>
    <row r="697">
      <c r="E697" s="27" t="n"/>
      <c r="F697" s="27" t="n"/>
      <c r="G697" s="27" t="n"/>
      <c r="H697" s="27" t="n"/>
    </row>
    <row r="698">
      <c r="E698" s="27" t="n"/>
      <c r="F698" s="27" t="n"/>
      <c r="G698" s="27" t="n"/>
      <c r="H698" s="27" t="n"/>
    </row>
    <row r="699">
      <c r="E699" s="27" t="n"/>
      <c r="F699" s="27" t="n"/>
      <c r="G699" s="27" t="n"/>
      <c r="H699" s="27" t="n"/>
    </row>
    <row r="700">
      <c r="E700" s="27" t="n"/>
      <c r="F700" s="27" t="n"/>
      <c r="G700" s="27" t="n"/>
      <c r="H700" s="27" t="n"/>
    </row>
  </sheetData>
  <autoFilter ref="A1:N350"/>
  <dataValidations count="6">
    <dataValidation sqref="A2:A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350" showDropDown="0" showInputMessage="0" showErrorMessage="1" allowBlank="1" errorTitle="Invalid selection" error="Select from dropdown." type="list">
      <formula1>"Not Started,Active,On Hold,Completed,Delayed,Cancelled"</formula1>
    </dataValidation>
    <dataValidation sqref="J2:J350" showDropDown="0" showInputMessage="0" showErrorMessage="1" allowBlank="1" errorTitle="Invalid selection" error="Select from dropdown." type="list">
      <formula1>"Low,Medium,High,Critical"</formula1>
    </dataValidation>
    <dataValidation sqref="L2:L350" showDropDown="0" showInputMessage="0" showErrorMessage="1" allowBlank="1" errorTitle="Invalid selection" error="Select from dropdown." type="list">
      <formula1>"Initiation,Requirements,Design,Development,Testing,UAT,Deployment,Hypercare,Closed"</formula1>
    </dataValidation>
    <dataValidation sqref="M2:M35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0" t="inlineStr">
        <is>
          <t>Task ID</t>
        </is>
      </c>
      <c r="B1" s="10" t="inlineStr">
        <is>
          <t>Project ID</t>
        </is>
      </c>
      <c r="C1" s="10" t="inlineStr">
        <is>
          <t>Module Name</t>
        </is>
      </c>
      <c r="D1" s="10" t="inlineStr">
        <is>
          <t>Task Description</t>
        </is>
      </c>
      <c r="E1" s="10" t="inlineStr">
        <is>
          <t>Assigned To</t>
        </is>
      </c>
      <c r="F1" s="10" t="inlineStr">
        <is>
          <t>Start Date</t>
        </is>
      </c>
      <c r="G1" s="10" t="inlineStr">
        <is>
          <t>Due Date</t>
        </is>
      </c>
      <c r="H1" s="10" t="inlineStr">
        <is>
          <t>Actual Completion Date</t>
        </is>
      </c>
      <c r="I1" s="10" t="inlineStr">
        <is>
          <t>Status</t>
        </is>
      </c>
      <c r="J1" s="10" t="inlineStr">
        <is>
          <t>Priority</t>
        </is>
      </c>
      <c r="K1" s="10" t="inlineStr">
        <is>
          <t>Dependency</t>
        </is>
      </c>
      <c r="L1" s="10" t="inlineStr">
        <is>
          <t>Completion %</t>
        </is>
      </c>
      <c r="M1" s="10" t="inlineStr">
        <is>
          <t>Delay Days</t>
        </is>
      </c>
      <c r="N1" s="10" t="inlineStr">
        <is>
          <t>Remarks</t>
        </is>
      </c>
    </row>
    <row r="2">
      <c r="A2" s="15" t="inlineStr">
        <is>
          <t>TSK-001</t>
        </is>
      </c>
      <c r="B2" s="15" t="inlineStr">
        <is>
          <t>PRJ-001</t>
        </is>
      </c>
      <c r="C2" s="15" t="inlineStr">
        <is>
          <t>Login</t>
        </is>
      </c>
      <c r="D2" s="15" t="inlineStr">
        <is>
          <t>Implement biometric login</t>
        </is>
      </c>
      <c r="E2" s="15" t="inlineStr">
        <is>
          <t>Priya Nair</t>
        </is>
      </c>
      <c r="F2" s="16" t="n">
        <v>46042</v>
      </c>
      <c r="G2" s="16" t="n">
        <v>46091</v>
      </c>
      <c r="H2" s="16" t="n">
        <v>46089</v>
      </c>
      <c r="I2" s="15" t="inlineStr">
        <is>
          <t>Completed</t>
        </is>
      </c>
      <c r="J2" s="15" t="inlineStr">
        <is>
          <t>High</t>
        </is>
      </c>
      <c r="K2" s="15" t="inlineStr"/>
      <c r="L2" s="17" t="n">
        <v>1</v>
      </c>
      <c r="M2" s="15">
        <f>IF(G2="","",MAX(0,IF(H2&lt;&gt;"",H2-G2,IF(I2="Completed",0,TODAY()-G2))))</f>
        <v/>
      </c>
      <c r="N2" s="15" t="inlineStr">
        <is>
          <t>Released</t>
        </is>
      </c>
    </row>
    <row r="3">
      <c r="A3" s="15" t="inlineStr">
        <is>
          <t>TSK-002</t>
        </is>
      </c>
      <c r="B3" s="15" t="inlineStr">
        <is>
          <t>PRJ-001</t>
        </is>
      </c>
      <c r="C3" s="15" t="inlineStr">
        <is>
          <t>Payments</t>
        </is>
      </c>
      <c r="D3" s="15" t="inlineStr">
        <is>
          <t>UPI limit enhancement</t>
        </is>
      </c>
      <c r="E3" s="15" t="inlineStr">
        <is>
          <t>Arjun Patel</t>
        </is>
      </c>
      <c r="F3" s="16" t="n">
        <v>46096</v>
      </c>
      <c r="G3" s="16" t="n">
        <v>46172</v>
      </c>
      <c r="H3" s="16" t="inlineStr"/>
      <c r="I3" s="15" t="inlineStr">
        <is>
          <t>In Progress</t>
        </is>
      </c>
      <c r="J3" s="15" t="inlineStr">
        <is>
          <t>High</t>
        </is>
      </c>
      <c r="K3" s="15" t="inlineStr">
        <is>
          <t>TSK-001</t>
        </is>
      </c>
      <c r="L3" s="17" t="n">
        <v>0.78</v>
      </c>
      <c r="M3" s="15">
        <f>IF(G3="","",MAX(0,IF(H3&lt;&gt;"",H3-G3,IF(I3="Completed",0,TODAY()-G3))))</f>
        <v/>
      </c>
      <c r="N3" s="15" t="inlineStr">
        <is>
          <t>Security review</t>
        </is>
      </c>
    </row>
    <row r="4">
      <c r="A4" s="15" t="inlineStr">
        <is>
          <t>TSK-003</t>
        </is>
      </c>
      <c r="B4" s="15" t="inlineStr">
        <is>
          <t>PRJ-002</t>
        </is>
      </c>
      <c r="C4" s="15" t="inlineStr">
        <is>
          <t>Workflow</t>
        </is>
      </c>
      <c r="D4" s="15" t="inlineStr">
        <is>
          <t>Credit approval rules engine</t>
        </is>
      </c>
      <c r="E4" s="15" t="inlineStr">
        <is>
          <t>Leena Das</t>
        </is>
      </c>
      <c r="F4" s="16" t="n">
        <v>46068</v>
      </c>
      <c r="G4" s="16" t="n">
        <v>46178</v>
      </c>
      <c r="H4" s="16" t="inlineStr"/>
      <c r="I4" s="15" t="inlineStr">
        <is>
          <t>Delayed</t>
        </is>
      </c>
      <c r="J4" s="15" t="inlineStr">
        <is>
          <t>Critical</t>
        </is>
      </c>
      <c r="K4" s="15" t="inlineStr"/>
      <c r="L4" s="17" t="n">
        <v>0.64</v>
      </c>
      <c r="M4" s="15">
        <f>IF(G4="","",MAX(0,IF(H4&lt;&gt;"",H4-G4,IF(I4="Completed",0,TODAY()-G4))))</f>
        <v/>
      </c>
      <c r="N4" s="15" t="inlineStr">
        <is>
          <t>Rule migration</t>
        </is>
      </c>
    </row>
    <row r="5">
      <c r="A5" s="15" t="inlineStr">
        <is>
          <t>TSK-004</t>
        </is>
      </c>
      <c r="B5" s="15" t="inlineStr">
        <is>
          <t>PRJ-002</t>
        </is>
      </c>
      <c r="C5" s="15" t="inlineStr">
        <is>
          <t>Integration</t>
        </is>
      </c>
      <c r="D5" s="15" t="inlineStr">
        <is>
          <t>CBS API integration</t>
        </is>
      </c>
      <c r="E5" s="15" t="inlineStr">
        <is>
          <t>Nikhil Verma</t>
        </is>
      </c>
      <c r="F5" s="16" t="n">
        <v>46082</v>
      </c>
      <c r="G5" s="16" t="n">
        <v>46193</v>
      </c>
      <c r="H5" s="16" t="inlineStr"/>
      <c r="I5" s="15" t="inlineStr">
        <is>
          <t>Blocked</t>
        </is>
      </c>
      <c r="J5" s="15" t="inlineStr">
        <is>
          <t>Critical</t>
        </is>
      </c>
      <c r="K5" s="15" t="inlineStr">
        <is>
          <t>TSK-003</t>
        </is>
      </c>
      <c r="L5" s="17" t="n">
        <v>0.45</v>
      </c>
      <c r="M5" s="15">
        <f>IF(G5="","",MAX(0,IF(H5&lt;&gt;"",H5-G5,IF(I5="Completed",0,TODAY()-G5))))</f>
        <v/>
      </c>
      <c r="N5" s="15" t="inlineStr">
        <is>
          <t>Vendor endpoint pending</t>
        </is>
      </c>
    </row>
    <row r="6">
      <c r="A6" s="15" t="inlineStr">
        <is>
          <t>TSK-005</t>
        </is>
      </c>
      <c r="B6" s="15" t="inlineStr">
        <is>
          <t>PRJ-003</t>
        </is>
      </c>
      <c r="C6" s="15" t="inlineStr">
        <is>
          <t>Reports</t>
        </is>
      </c>
      <c r="D6" s="15" t="inlineStr">
        <is>
          <t>RBI compliance report pack</t>
        </is>
      </c>
      <c r="E6" s="15" t="inlineStr">
        <is>
          <t>Sara Thomas</t>
        </is>
      </c>
      <c r="F6" s="16" t="n">
        <v>45992</v>
      </c>
      <c r="G6" s="16" t="n">
        <v>46122</v>
      </c>
      <c r="H6" s="16" t="n">
        <v>46120</v>
      </c>
      <c r="I6" s="15" t="inlineStr">
        <is>
          <t>Completed</t>
        </is>
      </c>
      <c r="J6" s="15" t="inlineStr">
        <is>
          <t>High</t>
        </is>
      </c>
      <c r="K6" s="15" t="inlineStr"/>
      <c r="L6" s="17" t="n">
        <v>1</v>
      </c>
      <c r="M6" s="15">
        <f>IF(G6="","",MAX(0,IF(H6&lt;&gt;"",H6-G6,IF(I6="Completed",0,TODAY()-G6))))</f>
        <v/>
      </c>
      <c r="N6" s="15" t="inlineStr">
        <is>
          <t>Validated</t>
        </is>
      </c>
    </row>
    <row r="7">
      <c r="A7" s="15" t="inlineStr">
        <is>
          <t>TSK-006</t>
        </is>
      </c>
      <c r="B7" s="15" t="inlineStr">
        <is>
          <t>PRJ-004</t>
        </is>
      </c>
      <c r="C7" s="15" t="inlineStr">
        <is>
          <t>Onboarding</t>
        </is>
      </c>
      <c r="D7" s="15" t="inlineStr">
        <is>
          <t>KYC OCR validation</t>
        </is>
      </c>
      <c r="E7" s="15" t="inlineStr">
        <is>
          <t>Imran Ali</t>
        </is>
      </c>
      <c r="F7" s="16" t="n">
        <v>46113</v>
      </c>
      <c r="G7" s="16" t="n">
        <v>46167</v>
      </c>
      <c r="H7" s="16" t="inlineStr"/>
      <c r="I7" s="15" t="inlineStr">
        <is>
          <t>Delayed</t>
        </is>
      </c>
      <c r="J7" s="15" t="inlineStr">
        <is>
          <t>High</t>
        </is>
      </c>
      <c r="K7" s="15" t="inlineStr"/>
      <c r="L7" s="17" t="n">
        <v>0.7</v>
      </c>
      <c r="M7" s="15">
        <f>IF(G7="","",MAX(0,IF(H7&lt;&gt;"",H7-G7,IF(I7="Completed",0,TODAY()-G7))))</f>
        <v/>
      </c>
      <c r="N7" s="15" t="inlineStr">
        <is>
          <t>Accuracy issue</t>
        </is>
      </c>
    </row>
    <row r="8">
      <c r="A8" s="15" t="inlineStr">
        <is>
          <t>TSK-007</t>
        </is>
      </c>
      <c r="B8" s="15" t="inlineStr">
        <is>
          <t>PRJ-005</t>
        </is>
      </c>
      <c r="C8" s="15" t="inlineStr">
        <is>
          <t>Dashboard</t>
        </is>
      </c>
      <c r="D8" s="15" t="inlineStr">
        <is>
          <t>Treasury exposure view</t>
        </is>
      </c>
      <c r="E8" s="15" t="inlineStr">
        <is>
          <t>Riya Sen</t>
        </is>
      </c>
      <c r="F8" s="16" t="n">
        <v>46127</v>
      </c>
      <c r="G8" s="16" t="n">
        <v>46218</v>
      </c>
      <c r="H8" s="16" t="inlineStr"/>
      <c r="I8" s="15" t="inlineStr">
        <is>
          <t>In Progress</t>
        </is>
      </c>
      <c r="J8" s="15" t="inlineStr">
        <is>
          <t>Medium</t>
        </is>
      </c>
      <c r="K8" s="15" t="inlineStr"/>
      <c r="L8" s="17" t="n">
        <v>0.55</v>
      </c>
      <c r="M8" s="15">
        <f>IF(G8="","",MAX(0,IF(H8&lt;&gt;"",H8-G8,IF(I8="Completed",0,TODAY()-G8))))</f>
        <v/>
      </c>
      <c r="N8" s="15" t="inlineStr">
        <is>
          <t>Design changes</t>
        </is>
      </c>
    </row>
    <row r="9">
      <c r="A9" s="15" t="inlineStr">
        <is>
          <t>TSK-008</t>
        </is>
      </c>
      <c r="B9" s="15" t="inlineStr">
        <is>
          <t>PRJ-006</t>
        </is>
      </c>
      <c r="C9" s="15" t="inlineStr">
        <is>
          <t>Workflow</t>
        </is>
      </c>
      <c r="D9" s="15" t="inlineStr">
        <is>
          <t>Branch ticket workflow</t>
        </is>
      </c>
      <c r="E9" s="15" t="inlineStr">
        <is>
          <t>Priya Nair</t>
        </is>
      </c>
      <c r="F9" s="16" t="n">
        <v>46003</v>
      </c>
      <c r="G9" s="16" t="n">
        <v>46073</v>
      </c>
      <c r="H9" s="16" t="n">
        <v>46071</v>
      </c>
      <c r="I9" s="15" t="inlineStr">
        <is>
          <t>Completed</t>
        </is>
      </c>
      <c r="J9" s="15" t="inlineStr">
        <is>
          <t>Medium</t>
        </is>
      </c>
      <c r="K9" s="15" t="inlineStr"/>
      <c r="L9" s="17" t="n">
        <v>1</v>
      </c>
      <c r="M9" s="15">
        <f>IF(G9="","",MAX(0,IF(H9&lt;&gt;"",H9-G9,IF(I9="Completed",0,TODAY()-G9))))</f>
        <v/>
      </c>
      <c r="N9" s="15" t="inlineStr">
        <is>
          <t>Closed</t>
        </is>
      </c>
    </row>
    <row r="10">
      <c r="A10" s="15" t="inlineStr">
        <is>
          <t>TSK-009</t>
        </is>
      </c>
      <c r="B10" s="15" t="inlineStr">
        <is>
          <t>PRJ-007</t>
        </is>
      </c>
      <c r="C10" s="15" t="inlineStr">
        <is>
          <t>Security</t>
        </is>
      </c>
      <c r="D10" s="15" t="inlineStr">
        <is>
          <t>Fraud rules baseline</t>
        </is>
      </c>
      <c r="E10" s="15" t="inlineStr">
        <is>
          <t>Leena Das</t>
        </is>
      </c>
      <c r="F10" s="16" t="n">
        <v>46185</v>
      </c>
      <c r="G10" s="16" t="n">
        <v>46233</v>
      </c>
      <c r="H10" s="16" t="inlineStr"/>
      <c r="I10" s="15" t="inlineStr">
        <is>
          <t>Not Started</t>
        </is>
      </c>
      <c r="J10" s="15" t="inlineStr">
        <is>
          <t>Critical</t>
        </is>
      </c>
      <c r="K10" s="15" t="inlineStr"/>
      <c r="L10" s="17" t="n">
        <v>0</v>
      </c>
      <c r="M10" s="15">
        <f>IF(G10="","",MAX(0,IF(H10&lt;&gt;"",H10-G10,IF(I10="Completed",0,TODAY()-G10))))</f>
        <v/>
      </c>
      <c r="N10" s="15" t="inlineStr"/>
    </row>
    <row r="11">
      <c r="A11" s="15" t="inlineStr">
        <is>
          <t>TSK-010</t>
        </is>
      </c>
      <c r="B11" s="15" t="inlineStr">
        <is>
          <t>PRJ-008</t>
        </is>
      </c>
      <c r="C11" s="15" t="inlineStr">
        <is>
          <t>Payments</t>
        </is>
      </c>
      <c r="D11" s="15" t="inlineStr">
        <is>
          <t>Corporate payment limits</t>
        </is>
      </c>
      <c r="E11" s="15" t="inlineStr">
        <is>
          <t>Arjun Patel</t>
        </is>
      </c>
      <c r="F11" s="16" t="n">
        <v>46091</v>
      </c>
      <c r="G11" s="16" t="n">
        <v>46203</v>
      </c>
      <c r="H11" s="16" t="inlineStr"/>
      <c r="I11" s="15" t="inlineStr">
        <is>
          <t>On Hold</t>
        </is>
      </c>
      <c r="J11" s="15" t="inlineStr">
        <is>
          <t>Medium</t>
        </is>
      </c>
      <c r="K11" s="15" t="inlineStr"/>
      <c r="L11" s="17" t="n">
        <v>0.25</v>
      </c>
      <c r="M11" s="15">
        <f>IF(G11="","",MAX(0,IF(H11&lt;&gt;"",H11-G11,IF(I11="Completed",0,TODAY()-G11))))</f>
        <v/>
      </c>
      <c r="N11" s="15" t="inlineStr">
        <is>
          <t>Budget hold</t>
        </is>
      </c>
    </row>
    <row r="12">
      <c r="A12" s="15" t="n"/>
      <c r="B12" s="15" t="n"/>
      <c r="C12" s="15" t="n"/>
      <c r="D12" s="15" t="n"/>
      <c r="E12" s="15" t="n"/>
      <c r="F12" s="16" t="n"/>
      <c r="G12" s="16" t="n"/>
      <c r="H12" s="16" t="n"/>
      <c r="I12" s="15" t="n"/>
      <c r="J12" s="15" t="n"/>
      <c r="K12" s="15" t="n"/>
      <c r="L12" s="15" t="n"/>
      <c r="M12" s="15">
        <f>IF(G12="","",MAX(0,IF(H12&lt;&gt;"",H12-G12,IF(I12="Completed",0,TODAY()-G12))))</f>
        <v/>
      </c>
      <c r="N12" s="15" t="n"/>
    </row>
    <row r="13">
      <c r="A13" s="15" t="n"/>
      <c r="B13" s="15" t="n"/>
      <c r="C13" s="15" t="n"/>
      <c r="D13" s="15" t="n"/>
      <c r="E13" s="15" t="n"/>
      <c r="F13" s="16" t="n"/>
      <c r="G13" s="16" t="n"/>
      <c r="H13" s="16" t="n"/>
      <c r="I13" s="15" t="n"/>
      <c r="J13" s="15" t="n"/>
      <c r="K13" s="15" t="n"/>
      <c r="L13" s="15" t="n"/>
      <c r="M13" s="15">
        <f>IF(G13="","",MAX(0,IF(H13&lt;&gt;"",H13-G13,IF(I13="Completed",0,TODAY()-G13))))</f>
        <v/>
      </c>
      <c r="N13" s="15" t="n"/>
    </row>
    <row r="14">
      <c r="A14" s="15" t="n"/>
      <c r="B14" s="15" t="n"/>
      <c r="C14" s="15" t="n"/>
      <c r="D14" s="15" t="n"/>
      <c r="E14" s="15" t="n"/>
      <c r="F14" s="16" t="n"/>
      <c r="G14" s="16" t="n"/>
      <c r="H14" s="16" t="n"/>
      <c r="I14" s="15" t="n"/>
      <c r="J14" s="15" t="n"/>
      <c r="K14" s="15" t="n"/>
      <c r="L14" s="15" t="n"/>
      <c r="M14" s="15">
        <f>IF(G14="","",MAX(0,IF(H14&lt;&gt;"",H14-G14,IF(I14="Completed",0,TODAY()-G14))))</f>
        <v/>
      </c>
      <c r="N14" s="15" t="n"/>
    </row>
    <row r="15">
      <c r="A15" s="15" t="n"/>
      <c r="B15" s="15" t="n"/>
      <c r="C15" s="15" t="n"/>
      <c r="D15" s="15" t="n"/>
      <c r="E15" s="15" t="n"/>
      <c r="F15" s="16" t="n"/>
      <c r="G15" s="16" t="n"/>
      <c r="H15" s="16" t="n"/>
      <c r="I15" s="15" t="n"/>
      <c r="J15" s="15" t="n"/>
      <c r="K15" s="15" t="n"/>
      <c r="L15" s="15" t="n"/>
      <c r="M15" s="15">
        <f>IF(G15="","",MAX(0,IF(H15&lt;&gt;"",H15-G15,IF(I15="Completed",0,TODAY()-G15))))</f>
        <v/>
      </c>
      <c r="N15" s="15" t="n"/>
    </row>
    <row r="16">
      <c r="A16" s="15" t="n"/>
      <c r="B16" s="15" t="n"/>
      <c r="C16" s="15" t="n"/>
      <c r="D16" s="15" t="n"/>
      <c r="E16" s="15" t="n"/>
      <c r="F16" s="16" t="n"/>
      <c r="G16" s="16" t="n"/>
      <c r="H16" s="16" t="n"/>
      <c r="I16" s="15" t="n"/>
      <c r="J16" s="15" t="n"/>
      <c r="K16" s="15" t="n"/>
      <c r="L16" s="15" t="n"/>
      <c r="M16" s="15">
        <f>IF(G16="","",MAX(0,IF(H16&lt;&gt;"",H16-G16,IF(I16="Completed",0,TODAY()-G16))))</f>
        <v/>
      </c>
      <c r="N16" s="15" t="n"/>
    </row>
    <row r="17">
      <c r="A17" s="15" t="n"/>
      <c r="B17" s="15" t="n"/>
      <c r="C17" s="15" t="n"/>
      <c r="D17" s="15" t="n"/>
      <c r="E17" s="15" t="n"/>
      <c r="F17" s="16" t="n"/>
      <c r="G17" s="16" t="n"/>
      <c r="H17" s="16" t="n"/>
      <c r="I17" s="15" t="n"/>
      <c r="J17" s="15" t="n"/>
      <c r="K17" s="15" t="n"/>
      <c r="L17" s="15" t="n"/>
      <c r="M17" s="15">
        <f>IF(G17="","",MAX(0,IF(H17&lt;&gt;"",H17-G17,IF(I17="Completed",0,TODAY()-G17))))</f>
        <v/>
      </c>
      <c r="N17" s="15" t="n"/>
    </row>
    <row r="18">
      <c r="A18" s="15" t="n"/>
      <c r="B18" s="15" t="n"/>
      <c r="C18" s="15" t="n"/>
      <c r="D18" s="15" t="n"/>
      <c r="E18" s="15" t="n"/>
      <c r="F18" s="16" t="n"/>
      <c r="G18" s="16" t="n"/>
      <c r="H18" s="16" t="n"/>
      <c r="I18" s="15" t="n"/>
      <c r="J18" s="15" t="n"/>
      <c r="K18" s="15" t="n"/>
      <c r="L18" s="15" t="n"/>
      <c r="M18" s="15">
        <f>IF(G18="","",MAX(0,IF(H18&lt;&gt;"",H18-G18,IF(I18="Completed",0,TODAY()-G18))))</f>
        <v/>
      </c>
      <c r="N18" s="15" t="n"/>
    </row>
    <row r="19">
      <c r="A19" s="15" t="n"/>
      <c r="B19" s="15" t="n"/>
      <c r="C19" s="15" t="n"/>
      <c r="D19" s="15" t="n"/>
      <c r="E19" s="15" t="n"/>
      <c r="F19" s="16" t="n"/>
      <c r="G19" s="16" t="n"/>
      <c r="H19" s="16" t="n"/>
      <c r="I19" s="15" t="n"/>
      <c r="J19" s="15" t="n"/>
      <c r="K19" s="15" t="n"/>
      <c r="L19" s="15" t="n"/>
      <c r="M19" s="15">
        <f>IF(G19="","",MAX(0,IF(H19&lt;&gt;"",H19-G19,IF(I19="Completed",0,TODAY()-G19))))</f>
        <v/>
      </c>
      <c r="N19" s="15" t="n"/>
    </row>
    <row r="20">
      <c r="A20" s="15" t="n"/>
      <c r="B20" s="15" t="n"/>
      <c r="C20" s="15" t="n"/>
      <c r="D20" s="15" t="n"/>
      <c r="E20" s="15" t="n"/>
      <c r="F20" s="16" t="n"/>
      <c r="G20" s="16" t="n"/>
      <c r="H20" s="16" t="n"/>
      <c r="I20" s="15" t="n"/>
      <c r="J20" s="15" t="n"/>
      <c r="K20" s="15" t="n"/>
      <c r="L20" s="15" t="n"/>
      <c r="M20" s="15">
        <f>IF(G20="","",MAX(0,IF(H20&lt;&gt;"",H20-G20,IF(I20="Completed",0,TODAY()-G20))))</f>
        <v/>
      </c>
      <c r="N20" s="15" t="n"/>
    </row>
    <row r="21">
      <c r="A21" s="15" t="n"/>
      <c r="B21" s="15" t="n"/>
      <c r="C21" s="15" t="n"/>
      <c r="D21" s="15" t="n"/>
      <c r="E21" s="15" t="n"/>
      <c r="F21" s="16" t="n"/>
      <c r="G21" s="16" t="n"/>
      <c r="H21" s="16" t="n"/>
      <c r="I21" s="15" t="n"/>
      <c r="J21" s="15" t="n"/>
      <c r="K21" s="15" t="n"/>
      <c r="L21" s="15" t="n"/>
      <c r="M21" s="15">
        <f>IF(G21="","",MAX(0,IF(H21&lt;&gt;"",H21-G21,IF(I21="Completed",0,TODAY()-G21))))</f>
        <v/>
      </c>
      <c r="N21" s="15" t="n"/>
    </row>
    <row r="22">
      <c r="A22" s="15" t="n"/>
      <c r="B22" s="15" t="n"/>
      <c r="C22" s="15" t="n"/>
      <c r="D22" s="15" t="n"/>
      <c r="E22" s="15" t="n"/>
      <c r="F22" s="16" t="n"/>
      <c r="G22" s="16" t="n"/>
      <c r="H22" s="16" t="n"/>
      <c r="I22" s="15" t="n"/>
      <c r="J22" s="15" t="n"/>
      <c r="K22" s="15" t="n"/>
      <c r="L22" s="15" t="n"/>
      <c r="M22" s="15">
        <f>IF(G22="","",MAX(0,IF(H22&lt;&gt;"",H22-G22,IF(I22="Completed",0,TODAY()-G22))))</f>
        <v/>
      </c>
      <c r="N22" s="15" t="n"/>
    </row>
    <row r="23">
      <c r="A23" s="15" t="n"/>
      <c r="B23" s="15" t="n"/>
      <c r="C23" s="15" t="n"/>
      <c r="D23" s="15" t="n"/>
      <c r="E23" s="15" t="n"/>
      <c r="F23" s="16" t="n"/>
      <c r="G23" s="16" t="n"/>
      <c r="H23" s="16" t="n"/>
      <c r="I23" s="15" t="n"/>
      <c r="J23" s="15" t="n"/>
      <c r="K23" s="15" t="n"/>
      <c r="L23" s="15" t="n"/>
      <c r="M23" s="15">
        <f>IF(G23="","",MAX(0,IF(H23&lt;&gt;"",H23-G23,IF(I23="Completed",0,TODAY()-G23))))</f>
        <v/>
      </c>
      <c r="N23" s="15" t="n"/>
    </row>
    <row r="24">
      <c r="A24" s="15" t="n"/>
      <c r="B24" s="15" t="n"/>
      <c r="C24" s="15" t="n"/>
      <c r="D24" s="15" t="n"/>
      <c r="E24" s="15" t="n"/>
      <c r="F24" s="16" t="n"/>
      <c r="G24" s="16" t="n"/>
      <c r="H24" s="16" t="n"/>
      <c r="I24" s="15" t="n"/>
      <c r="J24" s="15" t="n"/>
      <c r="K24" s="15" t="n"/>
      <c r="L24" s="15" t="n"/>
      <c r="M24" s="15">
        <f>IF(G24="","",MAX(0,IF(H24&lt;&gt;"",H24-G24,IF(I24="Completed",0,TODAY()-G24))))</f>
        <v/>
      </c>
      <c r="N24" s="15" t="n"/>
    </row>
    <row r="25">
      <c r="A25" s="15" t="n"/>
      <c r="B25" s="15" t="n"/>
      <c r="C25" s="15" t="n"/>
      <c r="D25" s="15" t="n"/>
      <c r="E25" s="15" t="n"/>
      <c r="F25" s="16" t="n"/>
      <c r="G25" s="16" t="n"/>
      <c r="H25" s="16" t="n"/>
      <c r="I25" s="15" t="n"/>
      <c r="J25" s="15" t="n"/>
      <c r="K25" s="15" t="n"/>
      <c r="L25" s="15" t="n"/>
      <c r="M25" s="15">
        <f>IF(G25="","",MAX(0,IF(H25&lt;&gt;"",H25-G25,IF(I25="Completed",0,TODAY()-G25))))</f>
        <v/>
      </c>
      <c r="N25" s="15" t="n"/>
    </row>
    <row r="26">
      <c r="A26" s="15" t="n"/>
      <c r="B26" s="15" t="n"/>
      <c r="C26" s="15" t="n"/>
      <c r="D26" s="15" t="n"/>
      <c r="E26" s="15" t="n"/>
      <c r="F26" s="16" t="n"/>
      <c r="G26" s="16" t="n"/>
      <c r="H26" s="16" t="n"/>
      <c r="I26" s="15" t="n"/>
      <c r="J26" s="15" t="n"/>
      <c r="K26" s="15" t="n"/>
      <c r="L26" s="15" t="n"/>
      <c r="M26" s="15">
        <f>IF(G26="","",MAX(0,IF(H26&lt;&gt;"",H26-G26,IF(I26="Completed",0,TODAY()-G26))))</f>
        <v/>
      </c>
      <c r="N26" s="15" t="n"/>
    </row>
    <row r="27">
      <c r="A27" s="15" t="n"/>
      <c r="B27" s="15" t="n"/>
      <c r="C27" s="15" t="n"/>
      <c r="D27" s="15" t="n"/>
      <c r="E27" s="15" t="n"/>
      <c r="F27" s="16" t="n"/>
      <c r="G27" s="16" t="n"/>
      <c r="H27" s="16" t="n"/>
      <c r="I27" s="15" t="n"/>
      <c r="J27" s="15" t="n"/>
      <c r="K27" s="15" t="n"/>
      <c r="L27" s="15" t="n"/>
      <c r="M27" s="15">
        <f>IF(G27="","",MAX(0,IF(H27&lt;&gt;"",H27-G27,IF(I27="Completed",0,TODAY()-G27))))</f>
        <v/>
      </c>
      <c r="N27" s="15" t="n"/>
    </row>
    <row r="28">
      <c r="A28" s="15" t="n"/>
      <c r="B28" s="15" t="n"/>
      <c r="C28" s="15" t="n"/>
      <c r="D28" s="15" t="n"/>
      <c r="E28" s="15" t="n"/>
      <c r="F28" s="16" t="n"/>
      <c r="G28" s="16" t="n"/>
      <c r="H28" s="16" t="n"/>
      <c r="I28" s="15" t="n"/>
      <c r="J28" s="15" t="n"/>
      <c r="K28" s="15" t="n"/>
      <c r="L28" s="15" t="n"/>
      <c r="M28" s="15">
        <f>IF(G28="","",MAX(0,IF(H28&lt;&gt;"",H28-G28,IF(I28="Completed",0,TODAY()-G28))))</f>
        <v/>
      </c>
      <c r="N28" s="15" t="n"/>
    </row>
    <row r="29">
      <c r="A29" s="15" t="n"/>
      <c r="B29" s="15" t="n"/>
      <c r="C29" s="15" t="n"/>
      <c r="D29" s="15" t="n"/>
      <c r="E29" s="15" t="n"/>
      <c r="F29" s="16" t="n"/>
      <c r="G29" s="16" t="n"/>
      <c r="H29" s="16" t="n"/>
      <c r="I29" s="15" t="n"/>
      <c r="J29" s="15" t="n"/>
      <c r="K29" s="15" t="n"/>
      <c r="L29" s="15" t="n"/>
      <c r="M29" s="15">
        <f>IF(G29="","",MAX(0,IF(H29&lt;&gt;"",H29-G29,IF(I29="Completed",0,TODAY()-G29))))</f>
        <v/>
      </c>
      <c r="N29" s="15" t="n"/>
    </row>
    <row r="30">
      <c r="A30" s="15" t="n"/>
      <c r="B30" s="15" t="n"/>
      <c r="C30" s="15" t="n"/>
      <c r="D30" s="15" t="n"/>
      <c r="E30" s="15" t="n"/>
      <c r="F30" s="16" t="n"/>
      <c r="G30" s="16" t="n"/>
      <c r="H30" s="16" t="n"/>
      <c r="I30" s="15" t="n"/>
      <c r="J30" s="15" t="n"/>
      <c r="K30" s="15" t="n"/>
      <c r="L30" s="15" t="n"/>
      <c r="M30" s="15">
        <f>IF(G30="","",MAX(0,IF(H30&lt;&gt;"",H30-G30,IF(I30="Completed",0,TODAY()-G30))))</f>
        <v/>
      </c>
      <c r="N30" s="15" t="n"/>
    </row>
    <row r="31">
      <c r="A31" s="15" t="n"/>
      <c r="B31" s="15" t="n"/>
      <c r="C31" s="15" t="n"/>
      <c r="D31" s="15" t="n"/>
      <c r="E31" s="15" t="n"/>
      <c r="F31" s="16" t="n"/>
      <c r="G31" s="16" t="n"/>
      <c r="H31" s="16" t="n"/>
      <c r="I31" s="15" t="n"/>
      <c r="J31" s="15" t="n"/>
      <c r="K31" s="15" t="n"/>
      <c r="L31" s="15" t="n"/>
      <c r="M31" s="15">
        <f>IF(G31="","",MAX(0,IF(H31&lt;&gt;"",H31-G31,IF(I31="Completed",0,TODAY()-G31))))</f>
        <v/>
      </c>
      <c r="N31" s="15" t="n"/>
    </row>
    <row r="32">
      <c r="A32" s="15" t="n"/>
      <c r="B32" s="15" t="n"/>
      <c r="C32" s="15" t="n"/>
      <c r="D32" s="15" t="n"/>
      <c r="E32" s="15" t="n"/>
      <c r="F32" s="16" t="n"/>
      <c r="G32" s="16" t="n"/>
      <c r="H32" s="16" t="n"/>
      <c r="I32" s="15" t="n"/>
      <c r="J32" s="15" t="n"/>
      <c r="K32" s="15" t="n"/>
      <c r="L32" s="15" t="n"/>
      <c r="M32" s="15">
        <f>IF(G32="","",MAX(0,IF(H32&lt;&gt;"",H32-G32,IF(I32="Completed",0,TODAY()-G32))))</f>
        <v/>
      </c>
      <c r="N32" s="15" t="n"/>
    </row>
    <row r="33">
      <c r="A33" s="15" t="n"/>
      <c r="B33" s="15" t="n"/>
      <c r="C33" s="15" t="n"/>
      <c r="D33" s="15" t="n"/>
      <c r="E33" s="15" t="n"/>
      <c r="F33" s="16" t="n"/>
      <c r="G33" s="16" t="n"/>
      <c r="H33" s="16" t="n"/>
      <c r="I33" s="15" t="n"/>
      <c r="J33" s="15" t="n"/>
      <c r="K33" s="15" t="n"/>
      <c r="L33" s="15" t="n"/>
      <c r="M33" s="15">
        <f>IF(G33="","",MAX(0,IF(H33&lt;&gt;"",H33-G33,IF(I33="Completed",0,TODAY()-G33))))</f>
        <v/>
      </c>
      <c r="N33" s="15" t="n"/>
    </row>
    <row r="34">
      <c r="A34" s="15" t="n"/>
      <c r="B34" s="15" t="n"/>
      <c r="C34" s="15" t="n"/>
      <c r="D34" s="15" t="n"/>
      <c r="E34" s="15" t="n"/>
      <c r="F34" s="16" t="n"/>
      <c r="G34" s="16" t="n"/>
      <c r="H34" s="16" t="n"/>
      <c r="I34" s="15" t="n"/>
      <c r="J34" s="15" t="n"/>
      <c r="K34" s="15" t="n"/>
      <c r="L34" s="15" t="n"/>
      <c r="M34" s="15">
        <f>IF(G34="","",MAX(0,IF(H34&lt;&gt;"",H34-G34,IF(I34="Completed",0,TODAY()-G34))))</f>
        <v/>
      </c>
      <c r="N34" s="15" t="n"/>
    </row>
    <row r="35">
      <c r="A35" s="15" t="n"/>
      <c r="B35" s="15" t="n"/>
      <c r="C35" s="15" t="n"/>
      <c r="D35" s="15" t="n"/>
      <c r="E35" s="15" t="n"/>
      <c r="F35" s="16" t="n"/>
      <c r="G35" s="16" t="n"/>
      <c r="H35" s="16" t="n"/>
      <c r="I35" s="15" t="n"/>
      <c r="J35" s="15" t="n"/>
      <c r="K35" s="15" t="n"/>
      <c r="L35" s="15" t="n"/>
      <c r="M35" s="15">
        <f>IF(G35="","",MAX(0,IF(H35&lt;&gt;"",H35-G35,IF(I35="Completed",0,TODAY()-G35))))</f>
        <v/>
      </c>
      <c r="N35" s="15" t="n"/>
    </row>
    <row r="36">
      <c r="A36" s="15" t="n"/>
      <c r="B36" s="15" t="n"/>
      <c r="C36" s="15" t="n"/>
      <c r="D36" s="15" t="n"/>
      <c r="E36" s="15" t="n"/>
      <c r="F36" s="16" t="n"/>
      <c r="G36" s="16" t="n"/>
      <c r="H36" s="16" t="n"/>
      <c r="I36" s="15" t="n"/>
      <c r="J36" s="15" t="n"/>
      <c r="K36" s="15" t="n"/>
      <c r="L36" s="15" t="n"/>
      <c r="M36" s="15">
        <f>IF(G36="","",MAX(0,IF(H36&lt;&gt;"",H36-G36,IF(I36="Completed",0,TODAY()-G36))))</f>
        <v/>
      </c>
      <c r="N36" s="15" t="n"/>
    </row>
    <row r="37">
      <c r="A37" s="15" t="n"/>
      <c r="B37" s="15" t="n"/>
      <c r="C37" s="15" t="n"/>
      <c r="D37" s="15" t="n"/>
      <c r="E37" s="15" t="n"/>
      <c r="F37" s="16" t="n"/>
      <c r="G37" s="16" t="n"/>
      <c r="H37" s="16" t="n"/>
      <c r="I37" s="15" t="n"/>
      <c r="J37" s="15" t="n"/>
      <c r="K37" s="15" t="n"/>
      <c r="L37" s="15" t="n"/>
      <c r="M37" s="15">
        <f>IF(G37="","",MAX(0,IF(H37&lt;&gt;"",H37-G37,IF(I37="Completed",0,TODAY()-G37))))</f>
        <v/>
      </c>
      <c r="N37" s="15" t="n"/>
    </row>
    <row r="38">
      <c r="A38" s="15" t="n"/>
      <c r="B38" s="15" t="n"/>
      <c r="C38" s="15" t="n"/>
      <c r="D38" s="15" t="n"/>
      <c r="E38" s="15" t="n"/>
      <c r="F38" s="16" t="n"/>
      <c r="G38" s="16" t="n"/>
      <c r="H38" s="16" t="n"/>
      <c r="I38" s="15" t="n"/>
      <c r="J38" s="15" t="n"/>
      <c r="K38" s="15" t="n"/>
      <c r="L38" s="15" t="n"/>
      <c r="M38" s="15">
        <f>IF(G38="","",MAX(0,IF(H38&lt;&gt;"",H38-G38,IF(I38="Completed",0,TODAY()-G38))))</f>
        <v/>
      </c>
      <c r="N38" s="15" t="n"/>
    </row>
    <row r="39">
      <c r="A39" s="15" t="n"/>
      <c r="B39" s="15" t="n"/>
      <c r="C39" s="15" t="n"/>
      <c r="D39" s="15" t="n"/>
      <c r="E39" s="15" t="n"/>
      <c r="F39" s="16" t="n"/>
      <c r="G39" s="16" t="n"/>
      <c r="H39" s="16" t="n"/>
      <c r="I39" s="15" t="n"/>
      <c r="J39" s="15" t="n"/>
      <c r="K39" s="15" t="n"/>
      <c r="L39" s="15" t="n"/>
      <c r="M39" s="15">
        <f>IF(G39="","",MAX(0,IF(H39&lt;&gt;"",H39-G39,IF(I39="Completed",0,TODAY()-G39))))</f>
        <v/>
      </c>
      <c r="N39" s="15" t="n"/>
    </row>
    <row r="40">
      <c r="A40" s="15" t="n"/>
      <c r="B40" s="15" t="n"/>
      <c r="C40" s="15" t="n"/>
      <c r="D40" s="15" t="n"/>
      <c r="E40" s="15" t="n"/>
      <c r="F40" s="16" t="n"/>
      <c r="G40" s="16" t="n"/>
      <c r="H40" s="16" t="n"/>
      <c r="I40" s="15" t="n"/>
      <c r="J40" s="15" t="n"/>
      <c r="K40" s="15" t="n"/>
      <c r="L40" s="15" t="n"/>
      <c r="M40" s="15">
        <f>IF(G40="","",MAX(0,IF(H40&lt;&gt;"",H40-G40,IF(I40="Completed",0,TODAY()-G40))))</f>
        <v/>
      </c>
      <c r="N40" s="15" t="n"/>
    </row>
    <row r="41">
      <c r="A41" s="15" t="n"/>
      <c r="B41" s="15" t="n"/>
      <c r="C41" s="15" t="n"/>
      <c r="D41" s="15" t="n"/>
      <c r="E41" s="15" t="n"/>
      <c r="F41" s="16" t="n"/>
      <c r="G41" s="16" t="n"/>
      <c r="H41" s="16" t="n"/>
      <c r="I41" s="15" t="n"/>
      <c r="J41" s="15" t="n"/>
      <c r="K41" s="15" t="n"/>
      <c r="L41" s="15" t="n"/>
      <c r="M41" s="15">
        <f>IF(G41="","",MAX(0,IF(H41&lt;&gt;"",H41-G41,IF(I41="Completed",0,TODAY()-G41))))</f>
        <v/>
      </c>
      <c r="N41" s="15" t="n"/>
    </row>
    <row r="42">
      <c r="A42" s="15" t="n"/>
      <c r="B42" s="15" t="n"/>
      <c r="C42" s="15" t="n"/>
      <c r="D42" s="15" t="n"/>
      <c r="E42" s="15" t="n"/>
      <c r="F42" s="16" t="n"/>
      <c r="G42" s="16" t="n"/>
      <c r="H42" s="16" t="n"/>
      <c r="I42" s="15" t="n"/>
      <c r="J42" s="15" t="n"/>
      <c r="K42" s="15" t="n"/>
      <c r="L42" s="15" t="n"/>
      <c r="M42" s="15">
        <f>IF(G42="","",MAX(0,IF(H42&lt;&gt;"",H42-G42,IF(I42="Completed",0,TODAY()-G42))))</f>
        <v/>
      </c>
      <c r="N42" s="15" t="n"/>
    </row>
    <row r="43">
      <c r="A43" s="15" t="n"/>
      <c r="B43" s="15" t="n"/>
      <c r="C43" s="15" t="n"/>
      <c r="D43" s="15" t="n"/>
      <c r="E43" s="15" t="n"/>
      <c r="F43" s="16" t="n"/>
      <c r="G43" s="16" t="n"/>
      <c r="H43" s="16" t="n"/>
      <c r="I43" s="15" t="n"/>
      <c r="J43" s="15" t="n"/>
      <c r="K43" s="15" t="n"/>
      <c r="L43" s="15" t="n"/>
      <c r="M43" s="15">
        <f>IF(G43="","",MAX(0,IF(H43&lt;&gt;"",H43-G43,IF(I43="Completed",0,TODAY()-G43))))</f>
        <v/>
      </c>
      <c r="N43" s="15" t="n"/>
    </row>
    <row r="44">
      <c r="A44" s="15" t="n"/>
      <c r="B44" s="15" t="n"/>
      <c r="C44" s="15" t="n"/>
      <c r="D44" s="15" t="n"/>
      <c r="E44" s="15" t="n"/>
      <c r="F44" s="16" t="n"/>
      <c r="G44" s="16" t="n"/>
      <c r="H44" s="16" t="n"/>
      <c r="I44" s="15" t="n"/>
      <c r="J44" s="15" t="n"/>
      <c r="K44" s="15" t="n"/>
      <c r="L44" s="15" t="n"/>
      <c r="M44" s="15">
        <f>IF(G44="","",MAX(0,IF(H44&lt;&gt;"",H44-G44,IF(I44="Completed",0,TODAY()-G44))))</f>
        <v/>
      </c>
      <c r="N44" s="15" t="n"/>
    </row>
    <row r="45">
      <c r="A45" s="15" t="n"/>
      <c r="B45" s="15" t="n"/>
      <c r="C45" s="15" t="n"/>
      <c r="D45" s="15" t="n"/>
      <c r="E45" s="15" t="n"/>
      <c r="F45" s="16" t="n"/>
      <c r="G45" s="16" t="n"/>
      <c r="H45" s="16" t="n"/>
      <c r="I45" s="15" t="n"/>
      <c r="J45" s="15" t="n"/>
      <c r="K45" s="15" t="n"/>
      <c r="L45" s="15" t="n"/>
      <c r="M45" s="15">
        <f>IF(G45="","",MAX(0,IF(H45&lt;&gt;"",H45-G45,IF(I45="Completed",0,TODAY()-G45))))</f>
        <v/>
      </c>
      <c r="N45" s="15" t="n"/>
    </row>
    <row r="46">
      <c r="A46" s="15" t="n"/>
      <c r="B46" s="15" t="n"/>
      <c r="C46" s="15" t="n"/>
      <c r="D46" s="15" t="n"/>
      <c r="E46" s="15" t="n"/>
      <c r="F46" s="16" t="n"/>
      <c r="G46" s="16" t="n"/>
      <c r="H46" s="16" t="n"/>
      <c r="I46" s="15" t="n"/>
      <c r="J46" s="15" t="n"/>
      <c r="K46" s="15" t="n"/>
      <c r="L46" s="15" t="n"/>
      <c r="M46" s="15">
        <f>IF(G46="","",MAX(0,IF(H46&lt;&gt;"",H46-G46,IF(I46="Completed",0,TODAY()-G46))))</f>
        <v/>
      </c>
      <c r="N46" s="15" t="n"/>
    </row>
    <row r="47">
      <c r="A47" s="15" t="n"/>
      <c r="B47" s="15" t="n"/>
      <c r="C47" s="15" t="n"/>
      <c r="D47" s="15" t="n"/>
      <c r="E47" s="15" t="n"/>
      <c r="F47" s="16" t="n"/>
      <c r="G47" s="16" t="n"/>
      <c r="H47" s="16" t="n"/>
      <c r="I47" s="15" t="n"/>
      <c r="J47" s="15" t="n"/>
      <c r="K47" s="15" t="n"/>
      <c r="L47" s="15" t="n"/>
      <c r="M47" s="15">
        <f>IF(G47="","",MAX(0,IF(H47&lt;&gt;"",H47-G47,IF(I47="Completed",0,TODAY()-G47))))</f>
        <v/>
      </c>
      <c r="N47" s="15" t="n"/>
    </row>
    <row r="48">
      <c r="A48" s="15" t="n"/>
      <c r="B48" s="15" t="n"/>
      <c r="C48" s="15" t="n"/>
      <c r="D48" s="15" t="n"/>
      <c r="E48" s="15" t="n"/>
      <c r="F48" s="16" t="n"/>
      <c r="G48" s="16" t="n"/>
      <c r="H48" s="16" t="n"/>
      <c r="I48" s="15" t="n"/>
      <c r="J48" s="15" t="n"/>
      <c r="K48" s="15" t="n"/>
      <c r="L48" s="15" t="n"/>
      <c r="M48" s="15">
        <f>IF(G48="","",MAX(0,IF(H48&lt;&gt;"",H48-G48,IF(I48="Completed",0,TODAY()-G48))))</f>
        <v/>
      </c>
      <c r="N48" s="15" t="n"/>
    </row>
    <row r="49">
      <c r="A49" s="15" t="n"/>
      <c r="B49" s="15" t="n"/>
      <c r="C49" s="15" t="n"/>
      <c r="D49" s="15" t="n"/>
      <c r="E49" s="15" t="n"/>
      <c r="F49" s="16" t="n"/>
      <c r="G49" s="16" t="n"/>
      <c r="H49" s="16" t="n"/>
      <c r="I49" s="15" t="n"/>
      <c r="J49" s="15" t="n"/>
      <c r="K49" s="15" t="n"/>
      <c r="L49" s="15" t="n"/>
      <c r="M49" s="15">
        <f>IF(G49="","",MAX(0,IF(H49&lt;&gt;"",H49-G49,IF(I49="Completed",0,TODAY()-G49))))</f>
        <v/>
      </c>
      <c r="N49" s="15" t="n"/>
    </row>
    <row r="50">
      <c r="A50" s="15" t="n"/>
      <c r="B50" s="15" t="n"/>
      <c r="C50" s="15" t="n"/>
      <c r="D50" s="15" t="n"/>
      <c r="E50" s="15" t="n"/>
      <c r="F50" s="16" t="n"/>
      <c r="G50" s="16" t="n"/>
      <c r="H50" s="16" t="n"/>
      <c r="I50" s="15" t="n"/>
      <c r="J50" s="15" t="n"/>
      <c r="K50" s="15" t="n"/>
      <c r="L50" s="15" t="n"/>
      <c r="M50" s="15">
        <f>IF(G50="","",MAX(0,IF(H50&lt;&gt;"",H50-G50,IF(I50="Completed",0,TODAY()-G50))))</f>
        <v/>
      </c>
      <c r="N50" s="15" t="n"/>
    </row>
    <row r="51">
      <c r="A51" s="15" t="n"/>
      <c r="B51" s="15" t="n"/>
      <c r="C51" s="15" t="n"/>
      <c r="D51" s="15" t="n"/>
      <c r="E51" s="15" t="n"/>
      <c r="F51" s="16" t="n"/>
      <c r="G51" s="16" t="n"/>
      <c r="H51" s="16" t="n"/>
      <c r="I51" s="15" t="n"/>
      <c r="J51" s="15" t="n"/>
      <c r="K51" s="15" t="n"/>
      <c r="L51" s="15" t="n"/>
      <c r="M51" s="15">
        <f>IF(G51="","",MAX(0,IF(H51&lt;&gt;"",H51-G51,IF(I51="Completed",0,TODAY()-G51))))</f>
        <v/>
      </c>
      <c r="N51" s="15" t="n"/>
    </row>
    <row r="52">
      <c r="A52" s="15" t="n"/>
      <c r="B52" s="15" t="n"/>
      <c r="C52" s="15" t="n"/>
      <c r="D52" s="15" t="n"/>
      <c r="E52" s="15" t="n"/>
      <c r="F52" s="16" t="n"/>
      <c r="G52" s="16" t="n"/>
      <c r="H52" s="16" t="n"/>
      <c r="I52" s="15" t="n"/>
      <c r="J52" s="15" t="n"/>
      <c r="K52" s="15" t="n"/>
      <c r="L52" s="15" t="n"/>
      <c r="M52" s="15">
        <f>IF(G52="","",MAX(0,IF(H52&lt;&gt;"",H52-G52,IF(I52="Completed",0,TODAY()-G52))))</f>
        <v/>
      </c>
      <c r="N52" s="15" t="n"/>
    </row>
    <row r="53">
      <c r="A53" s="15" t="n"/>
      <c r="B53" s="15" t="n"/>
      <c r="C53" s="15" t="n"/>
      <c r="D53" s="15" t="n"/>
      <c r="E53" s="15" t="n"/>
      <c r="F53" s="16" t="n"/>
      <c r="G53" s="16" t="n"/>
      <c r="H53" s="16" t="n"/>
      <c r="I53" s="15" t="n"/>
      <c r="J53" s="15" t="n"/>
      <c r="K53" s="15" t="n"/>
      <c r="L53" s="15" t="n"/>
      <c r="M53" s="15">
        <f>IF(G53="","",MAX(0,IF(H53&lt;&gt;"",H53-G53,IF(I53="Completed",0,TODAY()-G53))))</f>
        <v/>
      </c>
      <c r="N53" s="15" t="n"/>
    </row>
    <row r="54">
      <c r="A54" s="15" t="n"/>
      <c r="B54" s="15" t="n"/>
      <c r="C54" s="15" t="n"/>
      <c r="D54" s="15" t="n"/>
      <c r="E54" s="15" t="n"/>
      <c r="F54" s="16" t="n"/>
      <c r="G54" s="16" t="n"/>
      <c r="H54" s="16" t="n"/>
      <c r="I54" s="15" t="n"/>
      <c r="J54" s="15" t="n"/>
      <c r="K54" s="15" t="n"/>
      <c r="L54" s="15" t="n"/>
      <c r="M54" s="15">
        <f>IF(G54="","",MAX(0,IF(H54&lt;&gt;"",H54-G54,IF(I54="Completed",0,TODAY()-G54))))</f>
        <v/>
      </c>
      <c r="N54" s="15" t="n"/>
    </row>
    <row r="55">
      <c r="A55" s="15" t="n"/>
      <c r="B55" s="15" t="n"/>
      <c r="C55" s="15" t="n"/>
      <c r="D55" s="15" t="n"/>
      <c r="E55" s="15" t="n"/>
      <c r="F55" s="16" t="n"/>
      <c r="G55" s="16" t="n"/>
      <c r="H55" s="16" t="n"/>
      <c r="I55" s="15" t="n"/>
      <c r="J55" s="15" t="n"/>
      <c r="K55" s="15" t="n"/>
      <c r="L55" s="15" t="n"/>
      <c r="M55" s="15">
        <f>IF(G55="","",MAX(0,IF(H55&lt;&gt;"",H55-G55,IF(I55="Completed",0,TODAY()-G55))))</f>
        <v/>
      </c>
      <c r="N55" s="15" t="n"/>
    </row>
    <row r="56">
      <c r="A56" s="15" t="n"/>
      <c r="B56" s="15" t="n"/>
      <c r="C56" s="15" t="n"/>
      <c r="D56" s="15" t="n"/>
      <c r="E56" s="15" t="n"/>
      <c r="F56" s="16" t="n"/>
      <c r="G56" s="16" t="n"/>
      <c r="H56" s="16" t="n"/>
      <c r="I56" s="15" t="n"/>
      <c r="J56" s="15" t="n"/>
      <c r="K56" s="15" t="n"/>
      <c r="L56" s="15" t="n"/>
      <c r="M56" s="15">
        <f>IF(G56="","",MAX(0,IF(H56&lt;&gt;"",H56-G56,IF(I56="Completed",0,TODAY()-G56))))</f>
        <v/>
      </c>
      <c r="N56" s="15" t="n"/>
    </row>
    <row r="57">
      <c r="A57" s="15" t="n"/>
      <c r="B57" s="15" t="n"/>
      <c r="C57" s="15" t="n"/>
      <c r="D57" s="15" t="n"/>
      <c r="E57" s="15" t="n"/>
      <c r="F57" s="16" t="n"/>
      <c r="G57" s="16" t="n"/>
      <c r="H57" s="16" t="n"/>
      <c r="I57" s="15" t="n"/>
      <c r="J57" s="15" t="n"/>
      <c r="K57" s="15" t="n"/>
      <c r="L57" s="15" t="n"/>
      <c r="M57" s="15">
        <f>IF(G57="","",MAX(0,IF(H57&lt;&gt;"",H57-G57,IF(I57="Completed",0,TODAY()-G57))))</f>
        <v/>
      </c>
      <c r="N57" s="15" t="n"/>
    </row>
    <row r="58">
      <c r="A58" s="15" t="n"/>
      <c r="B58" s="15" t="n"/>
      <c r="C58" s="15" t="n"/>
      <c r="D58" s="15" t="n"/>
      <c r="E58" s="15" t="n"/>
      <c r="F58" s="16" t="n"/>
      <c r="G58" s="16" t="n"/>
      <c r="H58" s="16" t="n"/>
      <c r="I58" s="15" t="n"/>
      <c r="J58" s="15" t="n"/>
      <c r="K58" s="15" t="n"/>
      <c r="L58" s="15" t="n"/>
      <c r="M58" s="15">
        <f>IF(G58="","",MAX(0,IF(H58&lt;&gt;"",H58-G58,IF(I58="Completed",0,TODAY()-G58))))</f>
        <v/>
      </c>
      <c r="N58" s="15" t="n"/>
    </row>
    <row r="59">
      <c r="A59" s="15" t="n"/>
      <c r="B59" s="15" t="n"/>
      <c r="C59" s="15" t="n"/>
      <c r="D59" s="15" t="n"/>
      <c r="E59" s="15" t="n"/>
      <c r="F59" s="16" t="n"/>
      <c r="G59" s="16" t="n"/>
      <c r="H59" s="16" t="n"/>
      <c r="I59" s="15" t="n"/>
      <c r="J59" s="15" t="n"/>
      <c r="K59" s="15" t="n"/>
      <c r="L59" s="15" t="n"/>
      <c r="M59" s="15">
        <f>IF(G59="","",MAX(0,IF(H59&lt;&gt;"",H59-G59,IF(I59="Completed",0,TODAY()-G59))))</f>
        <v/>
      </c>
      <c r="N59" s="15" t="n"/>
    </row>
    <row r="60">
      <c r="A60" s="15" t="n"/>
      <c r="B60" s="15" t="n"/>
      <c r="C60" s="15" t="n"/>
      <c r="D60" s="15" t="n"/>
      <c r="E60" s="15" t="n"/>
      <c r="F60" s="16" t="n"/>
      <c r="G60" s="16" t="n"/>
      <c r="H60" s="16" t="n"/>
      <c r="I60" s="15" t="n"/>
      <c r="J60" s="15" t="n"/>
      <c r="K60" s="15" t="n"/>
      <c r="L60" s="15" t="n"/>
      <c r="M60" s="15">
        <f>IF(G60="","",MAX(0,IF(H60&lt;&gt;"",H60-G60,IF(I60="Completed",0,TODAY()-G60))))</f>
        <v/>
      </c>
      <c r="N60" s="15" t="n"/>
    </row>
    <row r="61">
      <c r="A61" s="15" t="n"/>
      <c r="B61" s="15" t="n"/>
      <c r="C61" s="15" t="n"/>
      <c r="D61" s="15" t="n"/>
      <c r="E61" s="15" t="n"/>
      <c r="F61" s="16" t="n"/>
      <c r="G61" s="16" t="n"/>
      <c r="H61" s="16" t="n"/>
      <c r="I61" s="15" t="n"/>
      <c r="J61" s="15" t="n"/>
      <c r="K61" s="15" t="n"/>
      <c r="L61" s="15" t="n"/>
      <c r="M61" s="15">
        <f>IF(G61="","",MAX(0,IF(H61&lt;&gt;"",H61-G61,IF(I61="Completed",0,TODAY()-G61))))</f>
        <v/>
      </c>
      <c r="N61" s="15" t="n"/>
    </row>
    <row r="62">
      <c r="A62" s="15" t="n"/>
      <c r="B62" s="15" t="n"/>
      <c r="C62" s="15" t="n"/>
      <c r="D62" s="15" t="n"/>
      <c r="E62" s="15" t="n"/>
      <c r="F62" s="16" t="n"/>
      <c r="G62" s="16" t="n"/>
      <c r="H62" s="16" t="n"/>
      <c r="I62" s="15" t="n"/>
      <c r="J62" s="15" t="n"/>
      <c r="K62" s="15" t="n"/>
      <c r="L62" s="15" t="n"/>
      <c r="M62" s="15">
        <f>IF(G62="","",MAX(0,IF(H62&lt;&gt;"",H62-G62,IF(I62="Completed",0,TODAY()-G62))))</f>
        <v/>
      </c>
      <c r="N62" s="15" t="n"/>
    </row>
    <row r="63">
      <c r="A63" s="15" t="n"/>
      <c r="B63" s="15" t="n"/>
      <c r="C63" s="15" t="n"/>
      <c r="D63" s="15" t="n"/>
      <c r="E63" s="15" t="n"/>
      <c r="F63" s="16" t="n"/>
      <c r="G63" s="16" t="n"/>
      <c r="H63" s="16" t="n"/>
      <c r="I63" s="15" t="n"/>
      <c r="J63" s="15" t="n"/>
      <c r="K63" s="15" t="n"/>
      <c r="L63" s="15" t="n"/>
      <c r="M63" s="15">
        <f>IF(G63="","",MAX(0,IF(H63&lt;&gt;"",H63-G63,IF(I63="Completed",0,TODAY()-G63))))</f>
        <v/>
      </c>
      <c r="N63" s="15" t="n"/>
    </row>
    <row r="64">
      <c r="A64" s="15" t="n"/>
      <c r="B64" s="15" t="n"/>
      <c r="C64" s="15" t="n"/>
      <c r="D64" s="15" t="n"/>
      <c r="E64" s="15" t="n"/>
      <c r="F64" s="16" t="n"/>
      <c r="G64" s="16" t="n"/>
      <c r="H64" s="16" t="n"/>
      <c r="I64" s="15" t="n"/>
      <c r="J64" s="15" t="n"/>
      <c r="K64" s="15" t="n"/>
      <c r="L64" s="15" t="n"/>
      <c r="M64" s="15">
        <f>IF(G64="","",MAX(0,IF(H64&lt;&gt;"",H64-G64,IF(I64="Completed",0,TODAY()-G64))))</f>
        <v/>
      </c>
      <c r="N64" s="15" t="n"/>
    </row>
    <row r="65">
      <c r="A65" s="15" t="n"/>
      <c r="B65" s="15" t="n"/>
      <c r="C65" s="15" t="n"/>
      <c r="D65" s="15" t="n"/>
      <c r="E65" s="15" t="n"/>
      <c r="F65" s="16" t="n"/>
      <c r="G65" s="16" t="n"/>
      <c r="H65" s="16" t="n"/>
      <c r="I65" s="15" t="n"/>
      <c r="J65" s="15" t="n"/>
      <c r="K65" s="15" t="n"/>
      <c r="L65" s="15" t="n"/>
      <c r="M65" s="15">
        <f>IF(G65="","",MAX(0,IF(H65&lt;&gt;"",H65-G65,IF(I65="Completed",0,TODAY()-G65))))</f>
        <v/>
      </c>
      <c r="N65" s="15" t="n"/>
    </row>
    <row r="66">
      <c r="A66" s="15" t="n"/>
      <c r="B66" s="15" t="n"/>
      <c r="C66" s="15" t="n"/>
      <c r="D66" s="15" t="n"/>
      <c r="E66" s="15" t="n"/>
      <c r="F66" s="16" t="n"/>
      <c r="G66" s="16" t="n"/>
      <c r="H66" s="16" t="n"/>
      <c r="I66" s="15" t="n"/>
      <c r="J66" s="15" t="n"/>
      <c r="K66" s="15" t="n"/>
      <c r="L66" s="15" t="n"/>
      <c r="M66" s="15">
        <f>IF(G66="","",MAX(0,IF(H66&lt;&gt;"",H66-G66,IF(I66="Completed",0,TODAY()-G66))))</f>
        <v/>
      </c>
      <c r="N66" s="15" t="n"/>
    </row>
    <row r="67">
      <c r="A67" s="15" t="n"/>
      <c r="B67" s="15" t="n"/>
      <c r="C67" s="15" t="n"/>
      <c r="D67" s="15" t="n"/>
      <c r="E67" s="15" t="n"/>
      <c r="F67" s="16" t="n"/>
      <c r="G67" s="16" t="n"/>
      <c r="H67" s="16" t="n"/>
      <c r="I67" s="15" t="n"/>
      <c r="J67" s="15" t="n"/>
      <c r="K67" s="15" t="n"/>
      <c r="L67" s="15" t="n"/>
      <c r="M67" s="15">
        <f>IF(G67="","",MAX(0,IF(H67&lt;&gt;"",H67-G67,IF(I67="Completed",0,TODAY()-G67))))</f>
        <v/>
      </c>
      <c r="N67" s="15" t="n"/>
    </row>
    <row r="68">
      <c r="A68" s="15" t="n"/>
      <c r="B68" s="15" t="n"/>
      <c r="C68" s="15" t="n"/>
      <c r="D68" s="15" t="n"/>
      <c r="E68" s="15" t="n"/>
      <c r="F68" s="16" t="n"/>
      <c r="G68" s="16" t="n"/>
      <c r="H68" s="16" t="n"/>
      <c r="I68" s="15" t="n"/>
      <c r="J68" s="15" t="n"/>
      <c r="K68" s="15" t="n"/>
      <c r="L68" s="15" t="n"/>
      <c r="M68" s="15">
        <f>IF(G68="","",MAX(0,IF(H68&lt;&gt;"",H68-G68,IF(I68="Completed",0,TODAY()-G68))))</f>
        <v/>
      </c>
      <c r="N68" s="15" t="n"/>
    </row>
    <row r="69">
      <c r="A69" s="15" t="n"/>
      <c r="B69" s="15" t="n"/>
      <c r="C69" s="15" t="n"/>
      <c r="D69" s="15" t="n"/>
      <c r="E69" s="15" t="n"/>
      <c r="F69" s="16" t="n"/>
      <c r="G69" s="16" t="n"/>
      <c r="H69" s="16" t="n"/>
      <c r="I69" s="15" t="n"/>
      <c r="J69" s="15" t="n"/>
      <c r="K69" s="15" t="n"/>
      <c r="L69" s="15" t="n"/>
      <c r="M69" s="15">
        <f>IF(G69="","",MAX(0,IF(H69&lt;&gt;"",H69-G69,IF(I69="Completed",0,TODAY()-G69))))</f>
        <v/>
      </c>
      <c r="N69" s="15" t="n"/>
    </row>
    <row r="70">
      <c r="A70" s="15" t="n"/>
      <c r="B70" s="15" t="n"/>
      <c r="C70" s="15" t="n"/>
      <c r="D70" s="15" t="n"/>
      <c r="E70" s="15" t="n"/>
      <c r="F70" s="16" t="n"/>
      <c r="G70" s="16" t="n"/>
      <c r="H70" s="16" t="n"/>
      <c r="I70" s="15" t="n"/>
      <c r="J70" s="15" t="n"/>
      <c r="K70" s="15" t="n"/>
      <c r="L70" s="15" t="n"/>
      <c r="M70" s="15">
        <f>IF(G70="","",MAX(0,IF(H70&lt;&gt;"",H70-G70,IF(I70="Completed",0,TODAY()-G70))))</f>
        <v/>
      </c>
      <c r="N70" s="15" t="n"/>
    </row>
    <row r="71">
      <c r="A71" s="15" t="n"/>
      <c r="B71" s="15" t="n"/>
      <c r="C71" s="15" t="n"/>
      <c r="D71" s="15" t="n"/>
      <c r="E71" s="15" t="n"/>
      <c r="F71" s="16" t="n"/>
      <c r="G71" s="16" t="n"/>
      <c r="H71" s="16" t="n"/>
      <c r="I71" s="15" t="n"/>
      <c r="J71" s="15" t="n"/>
      <c r="K71" s="15" t="n"/>
      <c r="L71" s="15" t="n"/>
      <c r="M71" s="15">
        <f>IF(G71="","",MAX(0,IF(H71&lt;&gt;"",H71-G71,IF(I71="Completed",0,TODAY()-G71))))</f>
        <v/>
      </c>
      <c r="N71" s="15" t="n"/>
    </row>
    <row r="72">
      <c r="A72" s="15" t="n"/>
      <c r="B72" s="15" t="n"/>
      <c r="C72" s="15" t="n"/>
      <c r="D72" s="15" t="n"/>
      <c r="E72" s="15" t="n"/>
      <c r="F72" s="16" t="n"/>
      <c r="G72" s="16" t="n"/>
      <c r="H72" s="16" t="n"/>
      <c r="I72" s="15" t="n"/>
      <c r="J72" s="15" t="n"/>
      <c r="K72" s="15" t="n"/>
      <c r="L72" s="15" t="n"/>
      <c r="M72" s="15">
        <f>IF(G72="","",MAX(0,IF(H72&lt;&gt;"",H72-G72,IF(I72="Completed",0,TODAY()-G72))))</f>
        <v/>
      </c>
      <c r="N72" s="15" t="n"/>
    </row>
    <row r="73">
      <c r="A73" s="15" t="n"/>
      <c r="B73" s="15" t="n"/>
      <c r="C73" s="15" t="n"/>
      <c r="D73" s="15" t="n"/>
      <c r="E73" s="15" t="n"/>
      <c r="F73" s="16" t="n"/>
      <c r="G73" s="16" t="n"/>
      <c r="H73" s="16" t="n"/>
      <c r="I73" s="15" t="n"/>
      <c r="J73" s="15" t="n"/>
      <c r="K73" s="15" t="n"/>
      <c r="L73" s="15" t="n"/>
      <c r="M73" s="15">
        <f>IF(G73="","",MAX(0,IF(H73&lt;&gt;"",H73-G73,IF(I73="Completed",0,TODAY()-G73))))</f>
        <v/>
      </c>
      <c r="N73" s="15" t="n"/>
    </row>
    <row r="74">
      <c r="A74" s="15" t="n"/>
      <c r="B74" s="15" t="n"/>
      <c r="C74" s="15" t="n"/>
      <c r="D74" s="15" t="n"/>
      <c r="E74" s="15" t="n"/>
      <c r="F74" s="16" t="n"/>
      <c r="G74" s="16" t="n"/>
      <c r="H74" s="16" t="n"/>
      <c r="I74" s="15" t="n"/>
      <c r="J74" s="15" t="n"/>
      <c r="K74" s="15" t="n"/>
      <c r="L74" s="15" t="n"/>
      <c r="M74" s="15">
        <f>IF(G74="","",MAX(0,IF(H74&lt;&gt;"",H74-G74,IF(I74="Completed",0,TODAY()-G74))))</f>
        <v/>
      </c>
      <c r="N74" s="15" t="n"/>
    </row>
    <row r="75">
      <c r="A75" s="15" t="n"/>
      <c r="B75" s="15" t="n"/>
      <c r="C75" s="15" t="n"/>
      <c r="D75" s="15" t="n"/>
      <c r="E75" s="15" t="n"/>
      <c r="F75" s="16" t="n"/>
      <c r="G75" s="16" t="n"/>
      <c r="H75" s="16" t="n"/>
      <c r="I75" s="15" t="n"/>
      <c r="J75" s="15" t="n"/>
      <c r="K75" s="15" t="n"/>
      <c r="L75" s="15" t="n"/>
      <c r="M75" s="15">
        <f>IF(G75="","",MAX(0,IF(H75&lt;&gt;"",H75-G75,IF(I75="Completed",0,TODAY()-G75))))</f>
        <v/>
      </c>
      <c r="N75" s="15" t="n"/>
    </row>
    <row r="76">
      <c r="A76" s="15" t="n"/>
      <c r="B76" s="15" t="n"/>
      <c r="C76" s="15" t="n"/>
      <c r="D76" s="15" t="n"/>
      <c r="E76" s="15" t="n"/>
      <c r="F76" s="16" t="n"/>
      <c r="G76" s="16" t="n"/>
      <c r="H76" s="16" t="n"/>
      <c r="I76" s="15" t="n"/>
      <c r="J76" s="15" t="n"/>
      <c r="K76" s="15" t="n"/>
      <c r="L76" s="15" t="n"/>
      <c r="M76" s="15">
        <f>IF(G76="","",MAX(0,IF(H76&lt;&gt;"",H76-G76,IF(I76="Completed",0,TODAY()-G76))))</f>
        <v/>
      </c>
      <c r="N76" s="15" t="n"/>
    </row>
    <row r="77">
      <c r="A77" s="15" t="n"/>
      <c r="B77" s="15" t="n"/>
      <c r="C77" s="15" t="n"/>
      <c r="D77" s="15" t="n"/>
      <c r="E77" s="15" t="n"/>
      <c r="F77" s="16" t="n"/>
      <c r="G77" s="16" t="n"/>
      <c r="H77" s="16" t="n"/>
      <c r="I77" s="15" t="n"/>
      <c r="J77" s="15" t="n"/>
      <c r="K77" s="15" t="n"/>
      <c r="L77" s="15" t="n"/>
      <c r="M77" s="15">
        <f>IF(G77="","",MAX(0,IF(H77&lt;&gt;"",H77-G77,IF(I77="Completed",0,TODAY()-G77))))</f>
        <v/>
      </c>
      <c r="N77" s="15" t="n"/>
    </row>
    <row r="78">
      <c r="A78" s="15" t="n"/>
      <c r="B78" s="15" t="n"/>
      <c r="C78" s="15" t="n"/>
      <c r="D78" s="15" t="n"/>
      <c r="E78" s="15" t="n"/>
      <c r="F78" s="16" t="n"/>
      <c r="G78" s="16" t="n"/>
      <c r="H78" s="16" t="n"/>
      <c r="I78" s="15" t="n"/>
      <c r="J78" s="15" t="n"/>
      <c r="K78" s="15" t="n"/>
      <c r="L78" s="15" t="n"/>
      <c r="M78" s="15">
        <f>IF(G78="","",MAX(0,IF(H78&lt;&gt;"",H78-G78,IF(I78="Completed",0,TODAY()-G78))))</f>
        <v/>
      </c>
      <c r="N78" s="15" t="n"/>
    </row>
    <row r="79">
      <c r="A79" s="15" t="n"/>
      <c r="B79" s="15" t="n"/>
      <c r="C79" s="15" t="n"/>
      <c r="D79" s="15" t="n"/>
      <c r="E79" s="15" t="n"/>
      <c r="F79" s="16" t="n"/>
      <c r="G79" s="16" t="n"/>
      <c r="H79" s="16" t="n"/>
      <c r="I79" s="15" t="n"/>
      <c r="J79" s="15" t="n"/>
      <c r="K79" s="15" t="n"/>
      <c r="L79" s="15" t="n"/>
      <c r="M79" s="15">
        <f>IF(G79="","",MAX(0,IF(H79&lt;&gt;"",H79-G79,IF(I79="Completed",0,TODAY()-G79))))</f>
        <v/>
      </c>
      <c r="N79" s="15" t="n"/>
    </row>
    <row r="80">
      <c r="A80" s="15" t="n"/>
      <c r="B80" s="15" t="n"/>
      <c r="C80" s="15" t="n"/>
      <c r="D80" s="15" t="n"/>
      <c r="E80" s="15" t="n"/>
      <c r="F80" s="16" t="n"/>
      <c r="G80" s="16" t="n"/>
      <c r="H80" s="16" t="n"/>
      <c r="I80" s="15" t="n"/>
      <c r="J80" s="15" t="n"/>
      <c r="K80" s="15" t="n"/>
      <c r="L80" s="15" t="n"/>
      <c r="M80" s="15">
        <f>IF(G80="","",MAX(0,IF(H80&lt;&gt;"",H80-G80,IF(I80="Completed",0,TODAY()-G80))))</f>
        <v/>
      </c>
      <c r="N80" s="15" t="n"/>
    </row>
    <row r="81">
      <c r="A81" s="15" t="n"/>
      <c r="B81" s="15" t="n"/>
      <c r="C81" s="15" t="n"/>
      <c r="D81" s="15" t="n"/>
      <c r="E81" s="15" t="n"/>
      <c r="F81" s="16" t="n"/>
      <c r="G81" s="16" t="n"/>
      <c r="H81" s="16" t="n"/>
      <c r="I81" s="15" t="n"/>
      <c r="J81" s="15" t="n"/>
      <c r="K81" s="15" t="n"/>
      <c r="L81" s="15" t="n"/>
      <c r="M81" s="15">
        <f>IF(G81="","",MAX(0,IF(H81&lt;&gt;"",H81-G81,IF(I81="Completed",0,TODAY()-G81))))</f>
        <v/>
      </c>
      <c r="N81" s="15" t="n"/>
    </row>
    <row r="82">
      <c r="A82" s="15" t="n"/>
      <c r="B82" s="15" t="n"/>
      <c r="C82" s="15" t="n"/>
      <c r="D82" s="15" t="n"/>
      <c r="E82" s="15" t="n"/>
      <c r="F82" s="16" t="n"/>
      <c r="G82" s="16" t="n"/>
      <c r="H82" s="16" t="n"/>
      <c r="I82" s="15" t="n"/>
      <c r="J82" s="15" t="n"/>
      <c r="K82" s="15" t="n"/>
      <c r="L82" s="15" t="n"/>
      <c r="M82" s="15">
        <f>IF(G82="","",MAX(0,IF(H82&lt;&gt;"",H82-G82,IF(I82="Completed",0,TODAY()-G82))))</f>
        <v/>
      </c>
      <c r="N82" s="15" t="n"/>
    </row>
    <row r="83">
      <c r="A83" s="15" t="n"/>
      <c r="B83" s="15" t="n"/>
      <c r="C83" s="15" t="n"/>
      <c r="D83" s="15" t="n"/>
      <c r="E83" s="15" t="n"/>
      <c r="F83" s="16" t="n"/>
      <c r="G83" s="16" t="n"/>
      <c r="H83" s="16" t="n"/>
      <c r="I83" s="15" t="n"/>
      <c r="J83" s="15" t="n"/>
      <c r="K83" s="15" t="n"/>
      <c r="L83" s="15" t="n"/>
      <c r="M83" s="15">
        <f>IF(G83="","",MAX(0,IF(H83&lt;&gt;"",H83-G83,IF(I83="Completed",0,TODAY()-G83))))</f>
        <v/>
      </c>
      <c r="N83" s="15" t="n"/>
    </row>
    <row r="84">
      <c r="A84" s="15" t="n"/>
      <c r="B84" s="15" t="n"/>
      <c r="C84" s="15" t="n"/>
      <c r="D84" s="15" t="n"/>
      <c r="E84" s="15" t="n"/>
      <c r="F84" s="16" t="n"/>
      <c r="G84" s="16" t="n"/>
      <c r="H84" s="16" t="n"/>
      <c r="I84" s="15" t="n"/>
      <c r="J84" s="15" t="n"/>
      <c r="K84" s="15" t="n"/>
      <c r="L84" s="15" t="n"/>
      <c r="M84" s="15">
        <f>IF(G84="","",MAX(0,IF(H84&lt;&gt;"",H84-G84,IF(I84="Completed",0,TODAY()-G84))))</f>
        <v/>
      </c>
      <c r="N84" s="15" t="n"/>
    </row>
    <row r="85">
      <c r="A85" s="15" t="n"/>
      <c r="B85" s="15" t="n"/>
      <c r="C85" s="15" t="n"/>
      <c r="D85" s="15" t="n"/>
      <c r="E85" s="15" t="n"/>
      <c r="F85" s="16" t="n"/>
      <c r="G85" s="16" t="n"/>
      <c r="H85" s="16" t="n"/>
      <c r="I85" s="15" t="n"/>
      <c r="J85" s="15" t="n"/>
      <c r="K85" s="15" t="n"/>
      <c r="L85" s="15" t="n"/>
      <c r="M85" s="15">
        <f>IF(G85="","",MAX(0,IF(H85&lt;&gt;"",H85-G85,IF(I85="Completed",0,TODAY()-G85))))</f>
        <v/>
      </c>
      <c r="N85" s="15" t="n"/>
    </row>
    <row r="86">
      <c r="A86" s="15" t="n"/>
      <c r="B86" s="15" t="n"/>
      <c r="C86" s="15" t="n"/>
      <c r="D86" s="15" t="n"/>
      <c r="E86" s="15" t="n"/>
      <c r="F86" s="16" t="n"/>
      <c r="G86" s="16" t="n"/>
      <c r="H86" s="16" t="n"/>
      <c r="I86" s="15" t="n"/>
      <c r="J86" s="15" t="n"/>
      <c r="K86" s="15" t="n"/>
      <c r="L86" s="15" t="n"/>
      <c r="M86" s="15">
        <f>IF(G86="","",MAX(0,IF(H86&lt;&gt;"",H86-G86,IF(I86="Completed",0,TODAY()-G86))))</f>
        <v/>
      </c>
      <c r="N86" s="15" t="n"/>
    </row>
    <row r="87">
      <c r="A87" s="15" t="n"/>
      <c r="B87" s="15" t="n"/>
      <c r="C87" s="15" t="n"/>
      <c r="D87" s="15" t="n"/>
      <c r="E87" s="15" t="n"/>
      <c r="F87" s="16" t="n"/>
      <c r="G87" s="16" t="n"/>
      <c r="H87" s="16" t="n"/>
      <c r="I87" s="15" t="n"/>
      <c r="J87" s="15" t="n"/>
      <c r="K87" s="15" t="n"/>
      <c r="L87" s="15" t="n"/>
      <c r="M87" s="15">
        <f>IF(G87="","",MAX(0,IF(H87&lt;&gt;"",H87-G87,IF(I87="Completed",0,TODAY()-G87))))</f>
        <v/>
      </c>
      <c r="N87" s="15" t="n"/>
    </row>
    <row r="88">
      <c r="A88" s="15" t="n"/>
      <c r="B88" s="15" t="n"/>
      <c r="C88" s="15" t="n"/>
      <c r="D88" s="15" t="n"/>
      <c r="E88" s="15" t="n"/>
      <c r="F88" s="16" t="n"/>
      <c r="G88" s="16" t="n"/>
      <c r="H88" s="16" t="n"/>
      <c r="I88" s="15" t="n"/>
      <c r="J88" s="15" t="n"/>
      <c r="K88" s="15" t="n"/>
      <c r="L88" s="15" t="n"/>
      <c r="M88" s="15">
        <f>IF(G88="","",MAX(0,IF(H88&lt;&gt;"",H88-G88,IF(I88="Completed",0,TODAY()-G88))))</f>
        <v/>
      </c>
      <c r="N88" s="15" t="n"/>
    </row>
    <row r="89">
      <c r="A89" s="15" t="n"/>
      <c r="B89" s="15" t="n"/>
      <c r="C89" s="15" t="n"/>
      <c r="D89" s="15" t="n"/>
      <c r="E89" s="15" t="n"/>
      <c r="F89" s="16" t="n"/>
      <c r="G89" s="16" t="n"/>
      <c r="H89" s="16" t="n"/>
      <c r="I89" s="15" t="n"/>
      <c r="J89" s="15" t="n"/>
      <c r="K89" s="15" t="n"/>
      <c r="L89" s="15" t="n"/>
      <c r="M89" s="15">
        <f>IF(G89="","",MAX(0,IF(H89&lt;&gt;"",H89-G89,IF(I89="Completed",0,TODAY()-G89))))</f>
        <v/>
      </c>
      <c r="N89" s="15" t="n"/>
    </row>
    <row r="90">
      <c r="A90" s="15" t="n"/>
      <c r="B90" s="15" t="n"/>
      <c r="C90" s="15" t="n"/>
      <c r="D90" s="15" t="n"/>
      <c r="E90" s="15" t="n"/>
      <c r="F90" s="16" t="n"/>
      <c r="G90" s="16" t="n"/>
      <c r="H90" s="16" t="n"/>
      <c r="I90" s="15" t="n"/>
      <c r="J90" s="15" t="n"/>
      <c r="K90" s="15" t="n"/>
      <c r="L90" s="15" t="n"/>
      <c r="M90" s="15">
        <f>IF(G90="","",MAX(0,IF(H90&lt;&gt;"",H90-G90,IF(I90="Completed",0,TODAY()-G90))))</f>
        <v/>
      </c>
      <c r="N90" s="15" t="n"/>
    </row>
    <row r="91">
      <c r="A91" s="15" t="n"/>
      <c r="B91" s="15" t="n"/>
      <c r="C91" s="15" t="n"/>
      <c r="D91" s="15" t="n"/>
      <c r="E91" s="15" t="n"/>
      <c r="F91" s="16" t="n"/>
      <c r="G91" s="16" t="n"/>
      <c r="H91" s="16" t="n"/>
      <c r="I91" s="15" t="n"/>
      <c r="J91" s="15" t="n"/>
      <c r="K91" s="15" t="n"/>
      <c r="L91" s="15" t="n"/>
      <c r="M91" s="15">
        <f>IF(G91="","",MAX(0,IF(H91&lt;&gt;"",H91-G91,IF(I91="Completed",0,TODAY()-G91))))</f>
        <v/>
      </c>
      <c r="N91" s="15" t="n"/>
    </row>
    <row r="92">
      <c r="A92" s="15" t="n"/>
      <c r="B92" s="15" t="n"/>
      <c r="C92" s="15" t="n"/>
      <c r="D92" s="15" t="n"/>
      <c r="E92" s="15" t="n"/>
      <c r="F92" s="16" t="n"/>
      <c r="G92" s="16" t="n"/>
      <c r="H92" s="16" t="n"/>
      <c r="I92" s="15" t="n"/>
      <c r="J92" s="15" t="n"/>
      <c r="K92" s="15" t="n"/>
      <c r="L92" s="15" t="n"/>
      <c r="M92" s="15">
        <f>IF(G92="","",MAX(0,IF(H92&lt;&gt;"",H92-G92,IF(I92="Completed",0,TODAY()-G92))))</f>
        <v/>
      </c>
      <c r="N92" s="15" t="n"/>
    </row>
    <row r="93">
      <c r="A93" s="15" t="n"/>
      <c r="B93" s="15" t="n"/>
      <c r="C93" s="15" t="n"/>
      <c r="D93" s="15" t="n"/>
      <c r="E93" s="15" t="n"/>
      <c r="F93" s="16" t="n"/>
      <c r="G93" s="16" t="n"/>
      <c r="H93" s="16" t="n"/>
      <c r="I93" s="15" t="n"/>
      <c r="J93" s="15" t="n"/>
      <c r="K93" s="15" t="n"/>
      <c r="L93" s="15" t="n"/>
      <c r="M93" s="15">
        <f>IF(G93="","",MAX(0,IF(H93&lt;&gt;"",H93-G93,IF(I93="Completed",0,TODAY()-G93))))</f>
        <v/>
      </c>
      <c r="N93" s="15" t="n"/>
    </row>
    <row r="94">
      <c r="A94" s="15" t="n"/>
      <c r="B94" s="15" t="n"/>
      <c r="C94" s="15" t="n"/>
      <c r="D94" s="15" t="n"/>
      <c r="E94" s="15" t="n"/>
      <c r="F94" s="16" t="n"/>
      <c r="G94" s="16" t="n"/>
      <c r="H94" s="16" t="n"/>
      <c r="I94" s="15" t="n"/>
      <c r="J94" s="15" t="n"/>
      <c r="K94" s="15" t="n"/>
      <c r="L94" s="15" t="n"/>
      <c r="M94" s="15">
        <f>IF(G94="","",MAX(0,IF(H94&lt;&gt;"",H94-G94,IF(I94="Completed",0,TODAY()-G94))))</f>
        <v/>
      </c>
      <c r="N94" s="15" t="n"/>
    </row>
    <row r="95">
      <c r="A95" s="15" t="n"/>
      <c r="B95" s="15" t="n"/>
      <c r="C95" s="15" t="n"/>
      <c r="D95" s="15" t="n"/>
      <c r="E95" s="15" t="n"/>
      <c r="F95" s="16" t="n"/>
      <c r="G95" s="16" t="n"/>
      <c r="H95" s="16" t="n"/>
      <c r="I95" s="15" t="n"/>
      <c r="J95" s="15" t="n"/>
      <c r="K95" s="15" t="n"/>
      <c r="L95" s="15" t="n"/>
      <c r="M95" s="15">
        <f>IF(G95="","",MAX(0,IF(H95&lt;&gt;"",H95-G95,IF(I95="Completed",0,TODAY()-G95))))</f>
        <v/>
      </c>
      <c r="N95" s="15" t="n"/>
    </row>
    <row r="96">
      <c r="A96" s="15" t="n"/>
      <c r="B96" s="15" t="n"/>
      <c r="C96" s="15" t="n"/>
      <c r="D96" s="15" t="n"/>
      <c r="E96" s="15" t="n"/>
      <c r="F96" s="16" t="n"/>
      <c r="G96" s="16" t="n"/>
      <c r="H96" s="16" t="n"/>
      <c r="I96" s="15" t="n"/>
      <c r="J96" s="15" t="n"/>
      <c r="K96" s="15" t="n"/>
      <c r="L96" s="15" t="n"/>
      <c r="M96" s="15">
        <f>IF(G96="","",MAX(0,IF(H96&lt;&gt;"",H96-G96,IF(I96="Completed",0,TODAY()-G96))))</f>
        <v/>
      </c>
      <c r="N96" s="15" t="n"/>
    </row>
    <row r="97">
      <c r="A97" s="15" t="n"/>
      <c r="B97" s="15" t="n"/>
      <c r="C97" s="15" t="n"/>
      <c r="D97" s="15" t="n"/>
      <c r="E97" s="15" t="n"/>
      <c r="F97" s="16" t="n"/>
      <c r="G97" s="16" t="n"/>
      <c r="H97" s="16" t="n"/>
      <c r="I97" s="15" t="n"/>
      <c r="J97" s="15" t="n"/>
      <c r="K97" s="15" t="n"/>
      <c r="L97" s="15" t="n"/>
      <c r="M97" s="15">
        <f>IF(G97="","",MAX(0,IF(H97&lt;&gt;"",H97-G97,IF(I97="Completed",0,TODAY()-G97))))</f>
        <v/>
      </c>
      <c r="N97" s="15" t="n"/>
    </row>
    <row r="98">
      <c r="A98" s="15" t="n"/>
      <c r="B98" s="15" t="n"/>
      <c r="C98" s="15" t="n"/>
      <c r="D98" s="15" t="n"/>
      <c r="E98" s="15" t="n"/>
      <c r="F98" s="16" t="n"/>
      <c r="G98" s="16" t="n"/>
      <c r="H98" s="16" t="n"/>
      <c r="I98" s="15" t="n"/>
      <c r="J98" s="15" t="n"/>
      <c r="K98" s="15" t="n"/>
      <c r="L98" s="15" t="n"/>
      <c r="M98" s="15">
        <f>IF(G98="","",MAX(0,IF(H98&lt;&gt;"",H98-G98,IF(I98="Completed",0,TODAY()-G98))))</f>
        <v/>
      </c>
      <c r="N98" s="15" t="n"/>
    </row>
    <row r="99">
      <c r="A99" s="15" t="n"/>
      <c r="B99" s="15" t="n"/>
      <c r="C99" s="15" t="n"/>
      <c r="D99" s="15" t="n"/>
      <c r="E99" s="15" t="n"/>
      <c r="F99" s="16" t="n"/>
      <c r="G99" s="16" t="n"/>
      <c r="H99" s="16" t="n"/>
      <c r="I99" s="15" t="n"/>
      <c r="J99" s="15" t="n"/>
      <c r="K99" s="15" t="n"/>
      <c r="L99" s="15" t="n"/>
      <c r="M99" s="15">
        <f>IF(G99="","",MAX(0,IF(H99&lt;&gt;"",H99-G99,IF(I99="Completed",0,TODAY()-G99))))</f>
        <v/>
      </c>
      <c r="N99" s="15" t="n"/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6" t="n"/>
      <c r="I100" s="15" t="n"/>
      <c r="J100" s="15" t="n"/>
      <c r="K100" s="15" t="n"/>
      <c r="L100" s="15" t="n"/>
      <c r="M100" s="15">
        <f>IF(G100="","",MAX(0,IF(H100&lt;&gt;"",H100-G100,IF(I100="Completed",0,TODAY()-G100))))</f>
        <v/>
      </c>
      <c r="N100" s="15" t="n"/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6" t="n"/>
      <c r="I101" s="15" t="n"/>
      <c r="J101" s="15" t="n"/>
      <c r="K101" s="15" t="n"/>
      <c r="L101" s="15" t="n"/>
      <c r="M101" s="15">
        <f>IF(G101="","",MAX(0,IF(H101&lt;&gt;"",H101-G101,IF(I101="Completed",0,TODAY()-G101))))</f>
        <v/>
      </c>
      <c r="N101" s="15" t="n"/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6" t="n"/>
      <c r="I102" s="15" t="n"/>
      <c r="J102" s="15" t="n"/>
      <c r="K102" s="15" t="n"/>
      <c r="L102" s="15" t="n"/>
      <c r="M102" s="15">
        <f>IF(G102="","",MAX(0,IF(H102&lt;&gt;"",H102-G102,IF(I102="Completed",0,TODAY()-G102))))</f>
        <v/>
      </c>
      <c r="N102" s="15" t="n"/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6" t="n"/>
      <c r="I103" s="15" t="n"/>
      <c r="J103" s="15" t="n"/>
      <c r="K103" s="15" t="n"/>
      <c r="L103" s="15" t="n"/>
      <c r="M103" s="15">
        <f>IF(G103="","",MAX(0,IF(H103&lt;&gt;"",H103-G103,IF(I103="Completed",0,TODAY()-G103))))</f>
        <v/>
      </c>
      <c r="N103" s="15" t="n"/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6" t="n"/>
      <c r="I104" s="15" t="n"/>
      <c r="J104" s="15" t="n"/>
      <c r="K104" s="15" t="n"/>
      <c r="L104" s="15" t="n"/>
      <c r="M104" s="15">
        <f>IF(G104="","",MAX(0,IF(H104&lt;&gt;"",H104-G104,IF(I104="Completed",0,TODAY()-G104))))</f>
        <v/>
      </c>
      <c r="N104" s="15" t="n"/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6" t="n"/>
      <c r="I105" s="15" t="n"/>
      <c r="J105" s="15" t="n"/>
      <c r="K105" s="15" t="n"/>
      <c r="L105" s="15" t="n"/>
      <c r="M105" s="15">
        <f>IF(G105="","",MAX(0,IF(H105&lt;&gt;"",H105-G105,IF(I105="Completed",0,TODAY()-G105))))</f>
        <v/>
      </c>
      <c r="N105" s="15" t="n"/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6" t="n"/>
      <c r="I106" s="15" t="n"/>
      <c r="J106" s="15" t="n"/>
      <c r="K106" s="15" t="n"/>
      <c r="L106" s="15" t="n"/>
      <c r="M106" s="15">
        <f>IF(G106="","",MAX(0,IF(H106&lt;&gt;"",H106-G106,IF(I106="Completed",0,TODAY()-G106))))</f>
        <v/>
      </c>
      <c r="N106" s="15" t="n"/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6" t="n"/>
      <c r="I107" s="15" t="n"/>
      <c r="J107" s="15" t="n"/>
      <c r="K107" s="15" t="n"/>
      <c r="L107" s="15" t="n"/>
      <c r="M107" s="15">
        <f>IF(G107="","",MAX(0,IF(H107&lt;&gt;"",H107-G107,IF(I107="Completed",0,TODAY()-G107))))</f>
        <v/>
      </c>
      <c r="N107" s="15" t="n"/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6" t="n"/>
      <c r="I108" s="15" t="n"/>
      <c r="J108" s="15" t="n"/>
      <c r="K108" s="15" t="n"/>
      <c r="L108" s="15" t="n"/>
      <c r="M108" s="15">
        <f>IF(G108="","",MAX(0,IF(H108&lt;&gt;"",H108-G108,IF(I108="Completed",0,TODAY()-G108))))</f>
        <v/>
      </c>
      <c r="N108" s="15" t="n"/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6" t="n"/>
      <c r="I109" s="15" t="n"/>
      <c r="J109" s="15" t="n"/>
      <c r="K109" s="15" t="n"/>
      <c r="L109" s="15" t="n"/>
      <c r="M109" s="15">
        <f>IF(G109="","",MAX(0,IF(H109&lt;&gt;"",H109-G109,IF(I109="Completed",0,TODAY()-G109))))</f>
        <v/>
      </c>
      <c r="N109" s="15" t="n"/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6" t="n"/>
      <c r="I110" s="15" t="n"/>
      <c r="J110" s="15" t="n"/>
      <c r="K110" s="15" t="n"/>
      <c r="L110" s="15" t="n"/>
      <c r="M110" s="15">
        <f>IF(G110="","",MAX(0,IF(H110&lt;&gt;"",H110-G110,IF(I110="Completed",0,TODAY()-G110))))</f>
        <v/>
      </c>
      <c r="N110" s="15" t="n"/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6" t="n"/>
      <c r="I111" s="15" t="n"/>
      <c r="J111" s="15" t="n"/>
      <c r="K111" s="15" t="n"/>
      <c r="L111" s="15" t="n"/>
      <c r="M111" s="15">
        <f>IF(G111="","",MAX(0,IF(H111&lt;&gt;"",H111-G111,IF(I111="Completed",0,TODAY()-G111))))</f>
        <v/>
      </c>
      <c r="N111" s="15" t="n"/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6" t="n"/>
      <c r="I112" s="15" t="n"/>
      <c r="J112" s="15" t="n"/>
      <c r="K112" s="15" t="n"/>
      <c r="L112" s="15" t="n"/>
      <c r="M112" s="15">
        <f>IF(G112="","",MAX(0,IF(H112&lt;&gt;"",H112-G112,IF(I112="Completed",0,TODAY()-G112))))</f>
        <v/>
      </c>
      <c r="N112" s="15" t="n"/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6" t="n"/>
      <c r="I113" s="15" t="n"/>
      <c r="J113" s="15" t="n"/>
      <c r="K113" s="15" t="n"/>
      <c r="L113" s="15" t="n"/>
      <c r="M113" s="15">
        <f>IF(G113="","",MAX(0,IF(H113&lt;&gt;"",H113-G113,IF(I113="Completed",0,TODAY()-G113))))</f>
        <v/>
      </c>
      <c r="N113" s="15" t="n"/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6" t="n"/>
      <c r="I114" s="15" t="n"/>
      <c r="J114" s="15" t="n"/>
      <c r="K114" s="15" t="n"/>
      <c r="L114" s="15" t="n"/>
      <c r="M114" s="15">
        <f>IF(G114="","",MAX(0,IF(H114&lt;&gt;"",H114-G114,IF(I114="Completed",0,TODAY()-G114))))</f>
        <v/>
      </c>
      <c r="N114" s="15" t="n"/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6" t="n"/>
      <c r="I115" s="15" t="n"/>
      <c r="J115" s="15" t="n"/>
      <c r="K115" s="15" t="n"/>
      <c r="L115" s="15" t="n"/>
      <c r="M115" s="15">
        <f>IF(G115="","",MAX(0,IF(H115&lt;&gt;"",H115-G115,IF(I115="Completed",0,TODAY()-G115))))</f>
        <v/>
      </c>
      <c r="N115" s="15" t="n"/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6" t="n"/>
      <c r="I116" s="15" t="n"/>
      <c r="J116" s="15" t="n"/>
      <c r="K116" s="15" t="n"/>
      <c r="L116" s="15" t="n"/>
      <c r="M116" s="15">
        <f>IF(G116="","",MAX(0,IF(H116&lt;&gt;"",H116-G116,IF(I116="Completed",0,TODAY()-G116))))</f>
        <v/>
      </c>
      <c r="N116" s="15" t="n"/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6" t="n"/>
      <c r="I117" s="15" t="n"/>
      <c r="J117" s="15" t="n"/>
      <c r="K117" s="15" t="n"/>
      <c r="L117" s="15" t="n"/>
      <c r="M117" s="15">
        <f>IF(G117="","",MAX(0,IF(H117&lt;&gt;"",H117-G117,IF(I117="Completed",0,TODAY()-G117))))</f>
        <v/>
      </c>
      <c r="N117" s="15" t="n"/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6" t="n"/>
      <c r="I118" s="15" t="n"/>
      <c r="J118" s="15" t="n"/>
      <c r="K118" s="15" t="n"/>
      <c r="L118" s="15" t="n"/>
      <c r="M118" s="15">
        <f>IF(G118="","",MAX(0,IF(H118&lt;&gt;"",H118-G118,IF(I118="Completed",0,TODAY()-G118))))</f>
        <v/>
      </c>
      <c r="N118" s="15" t="n"/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6" t="n"/>
      <c r="I119" s="15" t="n"/>
      <c r="J119" s="15" t="n"/>
      <c r="K119" s="15" t="n"/>
      <c r="L119" s="15" t="n"/>
      <c r="M119" s="15">
        <f>IF(G119="","",MAX(0,IF(H119&lt;&gt;"",H119-G119,IF(I119="Completed",0,TODAY()-G119))))</f>
        <v/>
      </c>
      <c r="N119" s="15" t="n"/>
    </row>
    <row r="120">
      <c r="A120" s="15" t="n"/>
      <c r="B120" s="15" t="n"/>
      <c r="C120" s="15" t="n"/>
      <c r="D120" s="15" t="n"/>
      <c r="E120" s="15" t="n"/>
      <c r="F120" s="16" t="n"/>
      <c r="G120" s="16" t="n"/>
      <c r="H120" s="16" t="n"/>
      <c r="I120" s="15" t="n"/>
      <c r="J120" s="15" t="n"/>
      <c r="K120" s="15" t="n"/>
      <c r="L120" s="15" t="n"/>
      <c r="M120" s="15">
        <f>IF(G120="","",MAX(0,IF(H120&lt;&gt;"",H120-G120,IF(I120="Completed",0,TODAY()-G120))))</f>
        <v/>
      </c>
      <c r="N120" s="15" t="n"/>
    </row>
    <row r="121">
      <c r="A121" s="15" t="n"/>
      <c r="B121" s="15" t="n"/>
      <c r="C121" s="15" t="n"/>
      <c r="D121" s="15" t="n"/>
      <c r="E121" s="15" t="n"/>
      <c r="F121" s="16" t="n"/>
      <c r="G121" s="16" t="n"/>
      <c r="H121" s="16" t="n"/>
      <c r="I121" s="15" t="n"/>
      <c r="J121" s="15" t="n"/>
      <c r="K121" s="15" t="n"/>
      <c r="L121" s="15" t="n"/>
      <c r="M121" s="15">
        <f>IF(G121="","",MAX(0,IF(H121&lt;&gt;"",H121-G121,IF(I121="Completed",0,TODAY()-G121))))</f>
        <v/>
      </c>
      <c r="N121" s="15" t="n"/>
    </row>
    <row r="122">
      <c r="A122" s="15" t="n"/>
      <c r="B122" s="15" t="n"/>
      <c r="C122" s="15" t="n"/>
      <c r="D122" s="15" t="n"/>
      <c r="E122" s="15" t="n"/>
      <c r="F122" s="16" t="n"/>
      <c r="G122" s="16" t="n"/>
      <c r="H122" s="16" t="n"/>
      <c r="I122" s="15" t="n"/>
      <c r="J122" s="15" t="n"/>
      <c r="K122" s="15" t="n"/>
      <c r="L122" s="15" t="n"/>
      <c r="M122" s="15">
        <f>IF(G122="","",MAX(0,IF(H122&lt;&gt;"",H122-G122,IF(I122="Completed",0,TODAY()-G122))))</f>
        <v/>
      </c>
      <c r="N122" s="15" t="n"/>
    </row>
    <row r="123">
      <c r="A123" s="15" t="n"/>
      <c r="B123" s="15" t="n"/>
      <c r="C123" s="15" t="n"/>
      <c r="D123" s="15" t="n"/>
      <c r="E123" s="15" t="n"/>
      <c r="F123" s="16" t="n"/>
      <c r="G123" s="16" t="n"/>
      <c r="H123" s="16" t="n"/>
      <c r="I123" s="15" t="n"/>
      <c r="J123" s="15" t="n"/>
      <c r="K123" s="15" t="n"/>
      <c r="L123" s="15" t="n"/>
      <c r="M123" s="15">
        <f>IF(G123="","",MAX(0,IF(H123&lt;&gt;"",H123-G123,IF(I123="Completed",0,TODAY()-G123))))</f>
        <v/>
      </c>
      <c r="N123" s="15" t="n"/>
    </row>
    <row r="124">
      <c r="A124" s="15" t="n"/>
      <c r="B124" s="15" t="n"/>
      <c r="C124" s="15" t="n"/>
      <c r="D124" s="15" t="n"/>
      <c r="E124" s="15" t="n"/>
      <c r="F124" s="16" t="n"/>
      <c r="G124" s="16" t="n"/>
      <c r="H124" s="16" t="n"/>
      <c r="I124" s="15" t="n"/>
      <c r="J124" s="15" t="n"/>
      <c r="K124" s="15" t="n"/>
      <c r="L124" s="15" t="n"/>
      <c r="M124" s="15">
        <f>IF(G124="","",MAX(0,IF(H124&lt;&gt;"",H124-G124,IF(I124="Completed",0,TODAY()-G124))))</f>
        <v/>
      </c>
      <c r="N124" s="15" t="n"/>
    </row>
    <row r="125">
      <c r="A125" s="15" t="n"/>
      <c r="B125" s="15" t="n"/>
      <c r="C125" s="15" t="n"/>
      <c r="D125" s="15" t="n"/>
      <c r="E125" s="15" t="n"/>
      <c r="F125" s="16" t="n"/>
      <c r="G125" s="16" t="n"/>
      <c r="H125" s="16" t="n"/>
      <c r="I125" s="15" t="n"/>
      <c r="J125" s="15" t="n"/>
      <c r="K125" s="15" t="n"/>
      <c r="L125" s="15" t="n"/>
      <c r="M125" s="15">
        <f>IF(G125="","",MAX(0,IF(H125&lt;&gt;"",H125-G125,IF(I125="Completed",0,TODAY()-G125))))</f>
        <v/>
      </c>
      <c r="N125" s="15" t="n"/>
    </row>
    <row r="126">
      <c r="A126" s="15" t="n"/>
      <c r="B126" s="15" t="n"/>
      <c r="C126" s="15" t="n"/>
      <c r="D126" s="15" t="n"/>
      <c r="E126" s="15" t="n"/>
      <c r="F126" s="16" t="n"/>
      <c r="G126" s="16" t="n"/>
      <c r="H126" s="16" t="n"/>
      <c r="I126" s="15" t="n"/>
      <c r="J126" s="15" t="n"/>
      <c r="K126" s="15" t="n"/>
      <c r="L126" s="15" t="n"/>
      <c r="M126" s="15">
        <f>IF(G126="","",MAX(0,IF(H126&lt;&gt;"",H126-G126,IF(I126="Completed",0,TODAY()-G126))))</f>
        <v/>
      </c>
      <c r="N126" s="15" t="n"/>
    </row>
    <row r="127">
      <c r="A127" s="15" t="n"/>
      <c r="B127" s="15" t="n"/>
      <c r="C127" s="15" t="n"/>
      <c r="D127" s="15" t="n"/>
      <c r="E127" s="15" t="n"/>
      <c r="F127" s="16" t="n"/>
      <c r="G127" s="16" t="n"/>
      <c r="H127" s="16" t="n"/>
      <c r="I127" s="15" t="n"/>
      <c r="J127" s="15" t="n"/>
      <c r="K127" s="15" t="n"/>
      <c r="L127" s="15" t="n"/>
      <c r="M127" s="15">
        <f>IF(G127="","",MAX(0,IF(H127&lt;&gt;"",H127-G127,IF(I127="Completed",0,TODAY()-G127))))</f>
        <v/>
      </c>
      <c r="N127" s="15" t="n"/>
    </row>
    <row r="128">
      <c r="A128" s="15" t="n"/>
      <c r="B128" s="15" t="n"/>
      <c r="C128" s="15" t="n"/>
      <c r="D128" s="15" t="n"/>
      <c r="E128" s="15" t="n"/>
      <c r="F128" s="16" t="n"/>
      <c r="G128" s="16" t="n"/>
      <c r="H128" s="16" t="n"/>
      <c r="I128" s="15" t="n"/>
      <c r="J128" s="15" t="n"/>
      <c r="K128" s="15" t="n"/>
      <c r="L128" s="15" t="n"/>
      <c r="M128" s="15">
        <f>IF(G128="","",MAX(0,IF(H128&lt;&gt;"",H128-G128,IF(I128="Completed",0,TODAY()-G128))))</f>
        <v/>
      </c>
      <c r="N128" s="15" t="n"/>
    </row>
    <row r="129">
      <c r="A129" s="15" t="n"/>
      <c r="B129" s="15" t="n"/>
      <c r="C129" s="15" t="n"/>
      <c r="D129" s="15" t="n"/>
      <c r="E129" s="15" t="n"/>
      <c r="F129" s="16" t="n"/>
      <c r="G129" s="16" t="n"/>
      <c r="H129" s="16" t="n"/>
      <c r="I129" s="15" t="n"/>
      <c r="J129" s="15" t="n"/>
      <c r="K129" s="15" t="n"/>
      <c r="L129" s="15" t="n"/>
      <c r="M129" s="15">
        <f>IF(G129="","",MAX(0,IF(H129&lt;&gt;"",H129-G129,IF(I129="Completed",0,TODAY()-G129))))</f>
        <v/>
      </c>
      <c r="N129" s="15" t="n"/>
    </row>
    <row r="130">
      <c r="A130" s="15" t="n"/>
      <c r="B130" s="15" t="n"/>
      <c r="C130" s="15" t="n"/>
      <c r="D130" s="15" t="n"/>
      <c r="E130" s="15" t="n"/>
      <c r="F130" s="16" t="n"/>
      <c r="G130" s="16" t="n"/>
      <c r="H130" s="16" t="n"/>
      <c r="I130" s="15" t="n"/>
      <c r="J130" s="15" t="n"/>
      <c r="K130" s="15" t="n"/>
      <c r="L130" s="15" t="n"/>
      <c r="M130" s="15">
        <f>IF(G130="","",MAX(0,IF(H130&lt;&gt;"",H130-G130,IF(I130="Completed",0,TODAY()-G130))))</f>
        <v/>
      </c>
      <c r="N130" s="15" t="n"/>
    </row>
    <row r="131">
      <c r="A131" s="15" t="n"/>
      <c r="B131" s="15" t="n"/>
      <c r="C131" s="15" t="n"/>
      <c r="D131" s="15" t="n"/>
      <c r="E131" s="15" t="n"/>
      <c r="F131" s="16" t="n"/>
      <c r="G131" s="16" t="n"/>
      <c r="H131" s="16" t="n"/>
      <c r="I131" s="15" t="n"/>
      <c r="J131" s="15" t="n"/>
      <c r="K131" s="15" t="n"/>
      <c r="L131" s="15" t="n"/>
      <c r="M131" s="15">
        <f>IF(G131="","",MAX(0,IF(H131&lt;&gt;"",H131-G131,IF(I131="Completed",0,TODAY()-G131))))</f>
        <v/>
      </c>
      <c r="N131" s="15" t="n"/>
    </row>
    <row r="132">
      <c r="A132" s="15" t="n"/>
      <c r="B132" s="15" t="n"/>
      <c r="C132" s="15" t="n"/>
      <c r="D132" s="15" t="n"/>
      <c r="E132" s="15" t="n"/>
      <c r="F132" s="16" t="n"/>
      <c r="G132" s="16" t="n"/>
      <c r="H132" s="16" t="n"/>
      <c r="I132" s="15" t="n"/>
      <c r="J132" s="15" t="n"/>
      <c r="K132" s="15" t="n"/>
      <c r="L132" s="15" t="n"/>
      <c r="M132" s="15">
        <f>IF(G132="","",MAX(0,IF(H132&lt;&gt;"",H132-G132,IF(I132="Completed",0,TODAY()-G132))))</f>
        <v/>
      </c>
      <c r="N132" s="15" t="n"/>
    </row>
    <row r="133">
      <c r="A133" s="15" t="n"/>
      <c r="B133" s="15" t="n"/>
      <c r="C133" s="15" t="n"/>
      <c r="D133" s="15" t="n"/>
      <c r="E133" s="15" t="n"/>
      <c r="F133" s="16" t="n"/>
      <c r="G133" s="16" t="n"/>
      <c r="H133" s="16" t="n"/>
      <c r="I133" s="15" t="n"/>
      <c r="J133" s="15" t="n"/>
      <c r="K133" s="15" t="n"/>
      <c r="L133" s="15" t="n"/>
      <c r="M133" s="15">
        <f>IF(G133="","",MAX(0,IF(H133&lt;&gt;"",H133-G133,IF(I133="Completed",0,TODAY()-G133))))</f>
        <v/>
      </c>
      <c r="N133" s="15" t="n"/>
    </row>
    <row r="134">
      <c r="A134" s="15" t="n"/>
      <c r="B134" s="15" t="n"/>
      <c r="C134" s="15" t="n"/>
      <c r="D134" s="15" t="n"/>
      <c r="E134" s="15" t="n"/>
      <c r="F134" s="16" t="n"/>
      <c r="G134" s="16" t="n"/>
      <c r="H134" s="16" t="n"/>
      <c r="I134" s="15" t="n"/>
      <c r="J134" s="15" t="n"/>
      <c r="K134" s="15" t="n"/>
      <c r="L134" s="15" t="n"/>
      <c r="M134" s="15">
        <f>IF(G134="","",MAX(0,IF(H134&lt;&gt;"",H134-G134,IF(I134="Completed",0,TODAY()-G134))))</f>
        <v/>
      </c>
      <c r="N134" s="15" t="n"/>
    </row>
    <row r="135">
      <c r="A135" s="15" t="n"/>
      <c r="B135" s="15" t="n"/>
      <c r="C135" s="15" t="n"/>
      <c r="D135" s="15" t="n"/>
      <c r="E135" s="15" t="n"/>
      <c r="F135" s="16" t="n"/>
      <c r="G135" s="16" t="n"/>
      <c r="H135" s="16" t="n"/>
      <c r="I135" s="15" t="n"/>
      <c r="J135" s="15" t="n"/>
      <c r="K135" s="15" t="n"/>
      <c r="L135" s="15" t="n"/>
      <c r="M135" s="15">
        <f>IF(G135="","",MAX(0,IF(H135&lt;&gt;"",H135-G135,IF(I135="Completed",0,TODAY()-G135))))</f>
        <v/>
      </c>
      <c r="N135" s="15" t="n"/>
    </row>
    <row r="136">
      <c r="A136" s="15" t="n"/>
      <c r="B136" s="15" t="n"/>
      <c r="C136" s="15" t="n"/>
      <c r="D136" s="15" t="n"/>
      <c r="E136" s="15" t="n"/>
      <c r="F136" s="16" t="n"/>
      <c r="G136" s="16" t="n"/>
      <c r="H136" s="16" t="n"/>
      <c r="I136" s="15" t="n"/>
      <c r="J136" s="15" t="n"/>
      <c r="K136" s="15" t="n"/>
      <c r="L136" s="15" t="n"/>
      <c r="M136" s="15">
        <f>IF(G136="","",MAX(0,IF(H136&lt;&gt;"",H136-G136,IF(I136="Completed",0,TODAY()-G136))))</f>
        <v/>
      </c>
      <c r="N136" s="15" t="n"/>
    </row>
    <row r="137">
      <c r="A137" s="15" t="n"/>
      <c r="B137" s="15" t="n"/>
      <c r="C137" s="15" t="n"/>
      <c r="D137" s="15" t="n"/>
      <c r="E137" s="15" t="n"/>
      <c r="F137" s="16" t="n"/>
      <c r="G137" s="16" t="n"/>
      <c r="H137" s="16" t="n"/>
      <c r="I137" s="15" t="n"/>
      <c r="J137" s="15" t="n"/>
      <c r="K137" s="15" t="n"/>
      <c r="L137" s="15" t="n"/>
      <c r="M137" s="15">
        <f>IF(G137="","",MAX(0,IF(H137&lt;&gt;"",H137-G137,IF(I137="Completed",0,TODAY()-G137))))</f>
        <v/>
      </c>
      <c r="N137" s="15" t="n"/>
    </row>
    <row r="138">
      <c r="A138" s="15" t="n"/>
      <c r="B138" s="15" t="n"/>
      <c r="C138" s="15" t="n"/>
      <c r="D138" s="15" t="n"/>
      <c r="E138" s="15" t="n"/>
      <c r="F138" s="16" t="n"/>
      <c r="G138" s="16" t="n"/>
      <c r="H138" s="16" t="n"/>
      <c r="I138" s="15" t="n"/>
      <c r="J138" s="15" t="n"/>
      <c r="K138" s="15" t="n"/>
      <c r="L138" s="15" t="n"/>
      <c r="M138" s="15">
        <f>IF(G138="","",MAX(0,IF(H138&lt;&gt;"",H138-G138,IF(I138="Completed",0,TODAY()-G138))))</f>
        <v/>
      </c>
      <c r="N138" s="15" t="n"/>
    </row>
    <row r="139">
      <c r="A139" s="15" t="n"/>
      <c r="B139" s="15" t="n"/>
      <c r="C139" s="15" t="n"/>
      <c r="D139" s="15" t="n"/>
      <c r="E139" s="15" t="n"/>
      <c r="F139" s="16" t="n"/>
      <c r="G139" s="16" t="n"/>
      <c r="H139" s="16" t="n"/>
      <c r="I139" s="15" t="n"/>
      <c r="J139" s="15" t="n"/>
      <c r="K139" s="15" t="n"/>
      <c r="L139" s="15" t="n"/>
      <c r="M139" s="15">
        <f>IF(G139="","",MAX(0,IF(H139&lt;&gt;"",H139-G139,IF(I139="Completed",0,TODAY()-G139))))</f>
        <v/>
      </c>
      <c r="N139" s="15" t="n"/>
    </row>
    <row r="140">
      <c r="A140" s="15" t="n"/>
      <c r="B140" s="15" t="n"/>
      <c r="C140" s="15" t="n"/>
      <c r="D140" s="15" t="n"/>
      <c r="E140" s="15" t="n"/>
      <c r="F140" s="16" t="n"/>
      <c r="G140" s="16" t="n"/>
      <c r="H140" s="16" t="n"/>
      <c r="I140" s="15" t="n"/>
      <c r="J140" s="15" t="n"/>
      <c r="K140" s="15" t="n"/>
      <c r="L140" s="15" t="n"/>
      <c r="M140" s="15">
        <f>IF(G140="","",MAX(0,IF(H140&lt;&gt;"",H140-G140,IF(I140="Completed",0,TODAY()-G140))))</f>
        <v/>
      </c>
      <c r="N140" s="15" t="n"/>
    </row>
    <row r="141">
      <c r="A141" s="15" t="n"/>
      <c r="B141" s="15" t="n"/>
      <c r="C141" s="15" t="n"/>
      <c r="D141" s="15" t="n"/>
      <c r="E141" s="15" t="n"/>
      <c r="F141" s="16" t="n"/>
      <c r="G141" s="16" t="n"/>
      <c r="H141" s="16" t="n"/>
      <c r="I141" s="15" t="n"/>
      <c r="J141" s="15" t="n"/>
      <c r="K141" s="15" t="n"/>
      <c r="L141" s="15" t="n"/>
      <c r="M141" s="15">
        <f>IF(G141="","",MAX(0,IF(H141&lt;&gt;"",H141-G141,IF(I141="Completed",0,TODAY()-G141))))</f>
        <v/>
      </c>
      <c r="N141" s="15" t="n"/>
    </row>
    <row r="142">
      <c r="A142" s="15" t="n"/>
      <c r="B142" s="15" t="n"/>
      <c r="C142" s="15" t="n"/>
      <c r="D142" s="15" t="n"/>
      <c r="E142" s="15" t="n"/>
      <c r="F142" s="16" t="n"/>
      <c r="G142" s="16" t="n"/>
      <c r="H142" s="16" t="n"/>
      <c r="I142" s="15" t="n"/>
      <c r="J142" s="15" t="n"/>
      <c r="K142" s="15" t="n"/>
      <c r="L142" s="15" t="n"/>
      <c r="M142" s="15">
        <f>IF(G142="","",MAX(0,IF(H142&lt;&gt;"",H142-G142,IF(I142="Completed",0,TODAY()-G142))))</f>
        <v/>
      </c>
      <c r="N142" s="15" t="n"/>
    </row>
    <row r="143">
      <c r="A143" s="15" t="n"/>
      <c r="B143" s="15" t="n"/>
      <c r="C143" s="15" t="n"/>
      <c r="D143" s="15" t="n"/>
      <c r="E143" s="15" t="n"/>
      <c r="F143" s="16" t="n"/>
      <c r="G143" s="16" t="n"/>
      <c r="H143" s="16" t="n"/>
      <c r="I143" s="15" t="n"/>
      <c r="J143" s="15" t="n"/>
      <c r="K143" s="15" t="n"/>
      <c r="L143" s="15" t="n"/>
      <c r="M143" s="15">
        <f>IF(G143="","",MAX(0,IF(H143&lt;&gt;"",H143-G143,IF(I143="Completed",0,TODAY()-G143))))</f>
        <v/>
      </c>
      <c r="N143" s="15" t="n"/>
    </row>
    <row r="144">
      <c r="A144" s="15" t="n"/>
      <c r="B144" s="15" t="n"/>
      <c r="C144" s="15" t="n"/>
      <c r="D144" s="15" t="n"/>
      <c r="E144" s="15" t="n"/>
      <c r="F144" s="16" t="n"/>
      <c r="G144" s="16" t="n"/>
      <c r="H144" s="16" t="n"/>
      <c r="I144" s="15" t="n"/>
      <c r="J144" s="15" t="n"/>
      <c r="K144" s="15" t="n"/>
      <c r="L144" s="15" t="n"/>
      <c r="M144" s="15">
        <f>IF(G144="","",MAX(0,IF(H144&lt;&gt;"",H144-G144,IF(I144="Completed",0,TODAY()-G144))))</f>
        <v/>
      </c>
      <c r="N144" s="15" t="n"/>
    </row>
    <row r="145">
      <c r="A145" s="15" t="n"/>
      <c r="B145" s="15" t="n"/>
      <c r="C145" s="15" t="n"/>
      <c r="D145" s="15" t="n"/>
      <c r="E145" s="15" t="n"/>
      <c r="F145" s="16" t="n"/>
      <c r="G145" s="16" t="n"/>
      <c r="H145" s="16" t="n"/>
      <c r="I145" s="15" t="n"/>
      <c r="J145" s="15" t="n"/>
      <c r="K145" s="15" t="n"/>
      <c r="L145" s="15" t="n"/>
      <c r="M145" s="15">
        <f>IF(G145="","",MAX(0,IF(H145&lt;&gt;"",H145-G145,IF(I145="Completed",0,TODAY()-G145))))</f>
        <v/>
      </c>
      <c r="N145" s="15" t="n"/>
    </row>
    <row r="146">
      <c r="A146" s="15" t="n"/>
      <c r="B146" s="15" t="n"/>
      <c r="C146" s="15" t="n"/>
      <c r="D146" s="15" t="n"/>
      <c r="E146" s="15" t="n"/>
      <c r="F146" s="16" t="n"/>
      <c r="G146" s="16" t="n"/>
      <c r="H146" s="16" t="n"/>
      <c r="I146" s="15" t="n"/>
      <c r="J146" s="15" t="n"/>
      <c r="K146" s="15" t="n"/>
      <c r="L146" s="15" t="n"/>
      <c r="M146" s="15">
        <f>IF(G146="","",MAX(0,IF(H146&lt;&gt;"",H146-G146,IF(I146="Completed",0,TODAY()-G146))))</f>
        <v/>
      </c>
      <c r="N146" s="15" t="n"/>
    </row>
    <row r="147">
      <c r="A147" s="15" t="n"/>
      <c r="B147" s="15" t="n"/>
      <c r="C147" s="15" t="n"/>
      <c r="D147" s="15" t="n"/>
      <c r="E147" s="15" t="n"/>
      <c r="F147" s="16" t="n"/>
      <c r="G147" s="16" t="n"/>
      <c r="H147" s="16" t="n"/>
      <c r="I147" s="15" t="n"/>
      <c r="J147" s="15" t="n"/>
      <c r="K147" s="15" t="n"/>
      <c r="L147" s="15" t="n"/>
      <c r="M147" s="15">
        <f>IF(G147="","",MAX(0,IF(H147&lt;&gt;"",H147-G147,IF(I147="Completed",0,TODAY()-G147))))</f>
        <v/>
      </c>
      <c r="N147" s="15" t="n"/>
    </row>
    <row r="148">
      <c r="A148" s="15" t="n"/>
      <c r="B148" s="15" t="n"/>
      <c r="C148" s="15" t="n"/>
      <c r="D148" s="15" t="n"/>
      <c r="E148" s="15" t="n"/>
      <c r="F148" s="16" t="n"/>
      <c r="G148" s="16" t="n"/>
      <c r="H148" s="16" t="n"/>
      <c r="I148" s="15" t="n"/>
      <c r="J148" s="15" t="n"/>
      <c r="K148" s="15" t="n"/>
      <c r="L148" s="15" t="n"/>
      <c r="M148" s="15">
        <f>IF(G148="","",MAX(0,IF(H148&lt;&gt;"",H148-G148,IF(I148="Completed",0,TODAY()-G148))))</f>
        <v/>
      </c>
      <c r="N148" s="15" t="n"/>
    </row>
    <row r="149">
      <c r="A149" s="15" t="n"/>
      <c r="B149" s="15" t="n"/>
      <c r="C149" s="15" t="n"/>
      <c r="D149" s="15" t="n"/>
      <c r="E149" s="15" t="n"/>
      <c r="F149" s="16" t="n"/>
      <c r="G149" s="16" t="n"/>
      <c r="H149" s="16" t="n"/>
      <c r="I149" s="15" t="n"/>
      <c r="J149" s="15" t="n"/>
      <c r="K149" s="15" t="n"/>
      <c r="L149" s="15" t="n"/>
      <c r="M149" s="15">
        <f>IF(G149="","",MAX(0,IF(H149&lt;&gt;"",H149-G149,IF(I149="Completed",0,TODAY()-G149))))</f>
        <v/>
      </c>
      <c r="N149" s="15" t="n"/>
    </row>
    <row r="150">
      <c r="A150" s="15" t="n"/>
      <c r="B150" s="15" t="n"/>
      <c r="C150" s="15" t="n"/>
      <c r="D150" s="15" t="n"/>
      <c r="E150" s="15" t="n"/>
      <c r="F150" s="16" t="n"/>
      <c r="G150" s="16" t="n"/>
      <c r="H150" s="16" t="n"/>
      <c r="I150" s="15" t="n"/>
      <c r="J150" s="15" t="n"/>
      <c r="K150" s="15" t="n"/>
      <c r="L150" s="15" t="n"/>
      <c r="M150" s="15">
        <f>IF(G150="","",MAX(0,IF(H150&lt;&gt;"",H150-G150,IF(I150="Completed",0,TODAY()-G150))))</f>
        <v/>
      </c>
      <c r="N150" s="15" t="n"/>
    </row>
    <row r="151">
      <c r="A151" s="15" t="n"/>
      <c r="B151" s="15" t="n"/>
      <c r="C151" s="15" t="n"/>
      <c r="D151" s="15" t="n"/>
      <c r="E151" s="15" t="n"/>
      <c r="F151" s="16" t="n"/>
      <c r="G151" s="16" t="n"/>
      <c r="H151" s="16" t="n"/>
      <c r="I151" s="15" t="n"/>
      <c r="J151" s="15" t="n"/>
      <c r="K151" s="15" t="n"/>
      <c r="L151" s="15" t="n"/>
      <c r="M151" s="15">
        <f>IF(G151="","",MAX(0,IF(H151&lt;&gt;"",H151-G151,IF(I151="Completed",0,TODAY()-G151))))</f>
        <v/>
      </c>
      <c r="N151" s="15" t="n"/>
    </row>
    <row r="152">
      <c r="A152" s="15" t="n"/>
      <c r="B152" s="15" t="n"/>
      <c r="C152" s="15" t="n"/>
      <c r="D152" s="15" t="n"/>
      <c r="E152" s="15" t="n"/>
      <c r="F152" s="16" t="n"/>
      <c r="G152" s="16" t="n"/>
      <c r="H152" s="16" t="n"/>
      <c r="I152" s="15" t="n"/>
      <c r="J152" s="15" t="n"/>
      <c r="K152" s="15" t="n"/>
      <c r="L152" s="15" t="n"/>
      <c r="M152" s="15">
        <f>IF(G152="","",MAX(0,IF(H152&lt;&gt;"",H152-G152,IF(I152="Completed",0,TODAY()-G152))))</f>
        <v/>
      </c>
      <c r="N152" s="15" t="n"/>
    </row>
    <row r="153">
      <c r="A153" s="15" t="n"/>
      <c r="B153" s="15" t="n"/>
      <c r="C153" s="15" t="n"/>
      <c r="D153" s="15" t="n"/>
      <c r="E153" s="15" t="n"/>
      <c r="F153" s="16" t="n"/>
      <c r="G153" s="16" t="n"/>
      <c r="H153" s="16" t="n"/>
      <c r="I153" s="15" t="n"/>
      <c r="J153" s="15" t="n"/>
      <c r="K153" s="15" t="n"/>
      <c r="L153" s="15" t="n"/>
      <c r="M153" s="15">
        <f>IF(G153="","",MAX(0,IF(H153&lt;&gt;"",H153-G153,IF(I153="Completed",0,TODAY()-G153))))</f>
        <v/>
      </c>
      <c r="N153" s="15" t="n"/>
    </row>
    <row r="154">
      <c r="A154" s="15" t="n"/>
      <c r="B154" s="15" t="n"/>
      <c r="C154" s="15" t="n"/>
      <c r="D154" s="15" t="n"/>
      <c r="E154" s="15" t="n"/>
      <c r="F154" s="16" t="n"/>
      <c r="G154" s="16" t="n"/>
      <c r="H154" s="16" t="n"/>
      <c r="I154" s="15" t="n"/>
      <c r="J154" s="15" t="n"/>
      <c r="K154" s="15" t="n"/>
      <c r="L154" s="15" t="n"/>
      <c r="M154" s="15">
        <f>IF(G154="","",MAX(0,IF(H154&lt;&gt;"",H154-G154,IF(I154="Completed",0,TODAY()-G154))))</f>
        <v/>
      </c>
      <c r="N154" s="15" t="n"/>
    </row>
    <row r="155">
      <c r="A155" s="15" t="n"/>
      <c r="B155" s="15" t="n"/>
      <c r="C155" s="15" t="n"/>
      <c r="D155" s="15" t="n"/>
      <c r="E155" s="15" t="n"/>
      <c r="F155" s="16" t="n"/>
      <c r="G155" s="16" t="n"/>
      <c r="H155" s="16" t="n"/>
      <c r="I155" s="15" t="n"/>
      <c r="J155" s="15" t="n"/>
      <c r="K155" s="15" t="n"/>
      <c r="L155" s="15" t="n"/>
      <c r="M155" s="15">
        <f>IF(G155="","",MAX(0,IF(H155&lt;&gt;"",H155-G155,IF(I155="Completed",0,TODAY()-G155))))</f>
        <v/>
      </c>
      <c r="N155" s="15" t="n"/>
    </row>
    <row r="156">
      <c r="A156" s="15" t="n"/>
      <c r="B156" s="15" t="n"/>
      <c r="C156" s="15" t="n"/>
      <c r="D156" s="15" t="n"/>
      <c r="E156" s="15" t="n"/>
      <c r="F156" s="16" t="n"/>
      <c r="G156" s="16" t="n"/>
      <c r="H156" s="16" t="n"/>
      <c r="I156" s="15" t="n"/>
      <c r="J156" s="15" t="n"/>
      <c r="K156" s="15" t="n"/>
      <c r="L156" s="15" t="n"/>
      <c r="M156" s="15">
        <f>IF(G156="","",MAX(0,IF(H156&lt;&gt;"",H156-G156,IF(I156="Completed",0,TODAY()-G156))))</f>
        <v/>
      </c>
      <c r="N156" s="15" t="n"/>
    </row>
    <row r="157">
      <c r="A157" s="15" t="n"/>
      <c r="B157" s="15" t="n"/>
      <c r="C157" s="15" t="n"/>
      <c r="D157" s="15" t="n"/>
      <c r="E157" s="15" t="n"/>
      <c r="F157" s="16" t="n"/>
      <c r="G157" s="16" t="n"/>
      <c r="H157" s="16" t="n"/>
      <c r="I157" s="15" t="n"/>
      <c r="J157" s="15" t="n"/>
      <c r="K157" s="15" t="n"/>
      <c r="L157" s="15" t="n"/>
      <c r="M157" s="15">
        <f>IF(G157="","",MAX(0,IF(H157&lt;&gt;"",H157-G157,IF(I157="Completed",0,TODAY()-G157))))</f>
        <v/>
      </c>
      <c r="N157" s="15" t="n"/>
    </row>
    <row r="158">
      <c r="A158" s="15" t="n"/>
      <c r="B158" s="15" t="n"/>
      <c r="C158" s="15" t="n"/>
      <c r="D158" s="15" t="n"/>
      <c r="E158" s="15" t="n"/>
      <c r="F158" s="16" t="n"/>
      <c r="G158" s="16" t="n"/>
      <c r="H158" s="16" t="n"/>
      <c r="I158" s="15" t="n"/>
      <c r="J158" s="15" t="n"/>
      <c r="K158" s="15" t="n"/>
      <c r="L158" s="15" t="n"/>
      <c r="M158" s="15">
        <f>IF(G158="","",MAX(0,IF(H158&lt;&gt;"",H158-G158,IF(I158="Completed",0,TODAY()-G158))))</f>
        <v/>
      </c>
      <c r="N158" s="15" t="n"/>
    </row>
    <row r="159">
      <c r="A159" s="15" t="n"/>
      <c r="B159" s="15" t="n"/>
      <c r="C159" s="15" t="n"/>
      <c r="D159" s="15" t="n"/>
      <c r="E159" s="15" t="n"/>
      <c r="F159" s="16" t="n"/>
      <c r="G159" s="16" t="n"/>
      <c r="H159" s="16" t="n"/>
      <c r="I159" s="15" t="n"/>
      <c r="J159" s="15" t="n"/>
      <c r="K159" s="15" t="n"/>
      <c r="L159" s="15" t="n"/>
      <c r="M159" s="15">
        <f>IF(G159="","",MAX(0,IF(H159&lt;&gt;"",H159-G159,IF(I159="Completed",0,TODAY()-G159))))</f>
        <v/>
      </c>
      <c r="N159" s="15" t="n"/>
    </row>
    <row r="160">
      <c r="A160" s="15" t="n"/>
      <c r="B160" s="15" t="n"/>
      <c r="C160" s="15" t="n"/>
      <c r="D160" s="15" t="n"/>
      <c r="E160" s="15" t="n"/>
      <c r="F160" s="16" t="n"/>
      <c r="G160" s="16" t="n"/>
      <c r="H160" s="16" t="n"/>
      <c r="I160" s="15" t="n"/>
      <c r="J160" s="15" t="n"/>
      <c r="K160" s="15" t="n"/>
      <c r="L160" s="15" t="n"/>
      <c r="M160" s="15">
        <f>IF(G160="","",MAX(0,IF(H160&lt;&gt;"",H160-G160,IF(I160="Completed",0,TODAY()-G160))))</f>
        <v/>
      </c>
      <c r="N160" s="15" t="n"/>
    </row>
    <row r="161">
      <c r="A161" s="15" t="n"/>
      <c r="B161" s="15" t="n"/>
      <c r="C161" s="15" t="n"/>
      <c r="D161" s="15" t="n"/>
      <c r="E161" s="15" t="n"/>
      <c r="F161" s="16" t="n"/>
      <c r="G161" s="16" t="n"/>
      <c r="H161" s="16" t="n"/>
      <c r="I161" s="15" t="n"/>
      <c r="J161" s="15" t="n"/>
      <c r="K161" s="15" t="n"/>
      <c r="L161" s="15" t="n"/>
      <c r="M161" s="15">
        <f>IF(G161="","",MAX(0,IF(H161&lt;&gt;"",H161-G161,IF(I161="Completed",0,TODAY()-G161))))</f>
        <v/>
      </c>
      <c r="N161" s="15" t="n"/>
    </row>
    <row r="162">
      <c r="A162" s="15" t="n"/>
      <c r="B162" s="15" t="n"/>
      <c r="C162" s="15" t="n"/>
      <c r="D162" s="15" t="n"/>
      <c r="E162" s="15" t="n"/>
      <c r="F162" s="16" t="n"/>
      <c r="G162" s="16" t="n"/>
      <c r="H162" s="16" t="n"/>
      <c r="I162" s="15" t="n"/>
      <c r="J162" s="15" t="n"/>
      <c r="K162" s="15" t="n"/>
      <c r="L162" s="15" t="n"/>
      <c r="M162" s="15">
        <f>IF(G162="","",MAX(0,IF(H162&lt;&gt;"",H162-G162,IF(I162="Completed",0,TODAY()-G162))))</f>
        <v/>
      </c>
      <c r="N162" s="15" t="n"/>
    </row>
    <row r="163">
      <c r="A163" s="15" t="n"/>
      <c r="B163" s="15" t="n"/>
      <c r="C163" s="15" t="n"/>
      <c r="D163" s="15" t="n"/>
      <c r="E163" s="15" t="n"/>
      <c r="F163" s="16" t="n"/>
      <c r="G163" s="16" t="n"/>
      <c r="H163" s="16" t="n"/>
      <c r="I163" s="15" t="n"/>
      <c r="J163" s="15" t="n"/>
      <c r="K163" s="15" t="n"/>
      <c r="L163" s="15" t="n"/>
      <c r="M163" s="15">
        <f>IF(G163="","",MAX(0,IF(H163&lt;&gt;"",H163-G163,IF(I163="Completed",0,TODAY()-G163))))</f>
        <v/>
      </c>
      <c r="N163" s="15" t="n"/>
    </row>
    <row r="164">
      <c r="A164" s="15" t="n"/>
      <c r="B164" s="15" t="n"/>
      <c r="C164" s="15" t="n"/>
      <c r="D164" s="15" t="n"/>
      <c r="E164" s="15" t="n"/>
      <c r="F164" s="16" t="n"/>
      <c r="G164" s="16" t="n"/>
      <c r="H164" s="16" t="n"/>
      <c r="I164" s="15" t="n"/>
      <c r="J164" s="15" t="n"/>
      <c r="K164" s="15" t="n"/>
      <c r="L164" s="15" t="n"/>
      <c r="M164" s="15">
        <f>IF(G164="","",MAX(0,IF(H164&lt;&gt;"",H164-G164,IF(I164="Completed",0,TODAY()-G164))))</f>
        <v/>
      </c>
      <c r="N164" s="15" t="n"/>
    </row>
    <row r="165">
      <c r="A165" s="15" t="n"/>
      <c r="B165" s="15" t="n"/>
      <c r="C165" s="15" t="n"/>
      <c r="D165" s="15" t="n"/>
      <c r="E165" s="15" t="n"/>
      <c r="F165" s="16" t="n"/>
      <c r="G165" s="16" t="n"/>
      <c r="H165" s="16" t="n"/>
      <c r="I165" s="15" t="n"/>
      <c r="J165" s="15" t="n"/>
      <c r="K165" s="15" t="n"/>
      <c r="L165" s="15" t="n"/>
      <c r="M165" s="15">
        <f>IF(G165="","",MAX(0,IF(H165&lt;&gt;"",H165-G165,IF(I165="Completed",0,TODAY()-G165))))</f>
        <v/>
      </c>
      <c r="N165" s="15" t="n"/>
    </row>
    <row r="166">
      <c r="A166" s="15" t="n"/>
      <c r="B166" s="15" t="n"/>
      <c r="C166" s="15" t="n"/>
      <c r="D166" s="15" t="n"/>
      <c r="E166" s="15" t="n"/>
      <c r="F166" s="16" t="n"/>
      <c r="G166" s="16" t="n"/>
      <c r="H166" s="16" t="n"/>
      <c r="I166" s="15" t="n"/>
      <c r="J166" s="15" t="n"/>
      <c r="K166" s="15" t="n"/>
      <c r="L166" s="15" t="n"/>
      <c r="M166" s="15">
        <f>IF(G166="","",MAX(0,IF(H166&lt;&gt;"",H166-G166,IF(I166="Completed",0,TODAY()-G166))))</f>
        <v/>
      </c>
      <c r="N166" s="15" t="n"/>
    </row>
    <row r="167">
      <c r="A167" s="15" t="n"/>
      <c r="B167" s="15" t="n"/>
      <c r="C167" s="15" t="n"/>
      <c r="D167" s="15" t="n"/>
      <c r="E167" s="15" t="n"/>
      <c r="F167" s="16" t="n"/>
      <c r="G167" s="16" t="n"/>
      <c r="H167" s="16" t="n"/>
      <c r="I167" s="15" t="n"/>
      <c r="J167" s="15" t="n"/>
      <c r="K167" s="15" t="n"/>
      <c r="L167" s="15" t="n"/>
      <c r="M167" s="15">
        <f>IF(G167="","",MAX(0,IF(H167&lt;&gt;"",H167-G167,IF(I167="Completed",0,TODAY()-G167))))</f>
        <v/>
      </c>
      <c r="N167" s="15" t="n"/>
    </row>
    <row r="168">
      <c r="A168" s="15" t="n"/>
      <c r="B168" s="15" t="n"/>
      <c r="C168" s="15" t="n"/>
      <c r="D168" s="15" t="n"/>
      <c r="E168" s="15" t="n"/>
      <c r="F168" s="16" t="n"/>
      <c r="G168" s="16" t="n"/>
      <c r="H168" s="16" t="n"/>
      <c r="I168" s="15" t="n"/>
      <c r="J168" s="15" t="n"/>
      <c r="K168" s="15" t="n"/>
      <c r="L168" s="15" t="n"/>
      <c r="M168" s="15">
        <f>IF(G168="","",MAX(0,IF(H168&lt;&gt;"",H168-G168,IF(I168="Completed",0,TODAY()-G168))))</f>
        <v/>
      </c>
      <c r="N168" s="15" t="n"/>
    </row>
    <row r="169">
      <c r="A169" s="15" t="n"/>
      <c r="B169" s="15" t="n"/>
      <c r="C169" s="15" t="n"/>
      <c r="D169" s="15" t="n"/>
      <c r="E169" s="15" t="n"/>
      <c r="F169" s="16" t="n"/>
      <c r="G169" s="16" t="n"/>
      <c r="H169" s="16" t="n"/>
      <c r="I169" s="15" t="n"/>
      <c r="J169" s="15" t="n"/>
      <c r="K169" s="15" t="n"/>
      <c r="L169" s="15" t="n"/>
      <c r="M169" s="15">
        <f>IF(G169="","",MAX(0,IF(H169&lt;&gt;"",H169-G169,IF(I169="Completed",0,TODAY()-G169))))</f>
        <v/>
      </c>
      <c r="N169" s="15" t="n"/>
    </row>
    <row r="170">
      <c r="A170" s="15" t="n"/>
      <c r="B170" s="15" t="n"/>
      <c r="C170" s="15" t="n"/>
      <c r="D170" s="15" t="n"/>
      <c r="E170" s="15" t="n"/>
      <c r="F170" s="16" t="n"/>
      <c r="G170" s="16" t="n"/>
      <c r="H170" s="16" t="n"/>
      <c r="I170" s="15" t="n"/>
      <c r="J170" s="15" t="n"/>
      <c r="K170" s="15" t="n"/>
      <c r="L170" s="15" t="n"/>
      <c r="M170" s="15">
        <f>IF(G170="","",MAX(0,IF(H170&lt;&gt;"",H170-G170,IF(I170="Completed",0,TODAY()-G170))))</f>
        <v/>
      </c>
      <c r="N170" s="15" t="n"/>
    </row>
    <row r="171">
      <c r="A171" s="15" t="n"/>
      <c r="B171" s="15" t="n"/>
      <c r="C171" s="15" t="n"/>
      <c r="D171" s="15" t="n"/>
      <c r="E171" s="15" t="n"/>
      <c r="F171" s="16" t="n"/>
      <c r="G171" s="16" t="n"/>
      <c r="H171" s="16" t="n"/>
      <c r="I171" s="15" t="n"/>
      <c r="J171" s="15" t="n"/>
      <c r="K171" s="15" t="n"/>
      <c r="L171" s="15" t="n"/>
      <c r="M171" s="15">
        <f>IF(G171="","",MAX(0,IF(H171&lt;&gt;"",H171-G171,IF(I171="Completed",0,TODAY()-G171))))</f>
        <v/>
      </c>
      <c r="N171" s="15" t="n"/>
    </row>
    <row r="172">
      <c r="A172" s="15" t="n"/>
      <c r="B172" s="15" t="n"/>
      <c r="C172" s="15" t="n"/>
      <c r="D172" s="15" t="n"/>
      <c r="E172" s="15" t="n"/>
      <c r="F172" s="16" t="n"/>
      <c r="G172" s="16" t="n"/>
      <c r="H172" s="16" t="n"/>
      <c r="I172" s="15" t="n"/>
      <c r="J172" s="15" t="n"/>
      <c r="K172" s="15" t="n"/>
      <c r="L172" s="15" t="n"/>
      <c r="M172" s="15">
        <f>IF(G172="","",MAX(0,IF(H172&lt;&gt;"",H172-G172,IF(I172="Completed",0,TODAY()-G172))))</f>
        <v/>
      </c>
      <c r="N172" s="15" t="n"/>
    </row>
    <row r="173">
      <c r="A173" s="15" t="n"/>
      <c r="B173" s="15" t="n"/>
      <c r="C173" s="15" t="n"/>
      <c r="D173" s="15" t="n"/>
      <c r="E173" s="15" t="n"/>
      <c r="F173" s="16" t="n"/>
      <c r="G173" s="16" t="n"/>
      <c r="H173" s="16" t="n"/>
      <c r="I173" s="15" t="n"/>
      <c r="J173" s="15" t="n"/>
      <c r="K173" s="15" t="n"/>
      <c r="L173" s="15" t="n"/>
      <c r="M173" s="15">
        <f>IF(G173="","",MAX(0,IF(H173&lt;&gt;"",H173-G173,IF(I173="Completed",0,TODAY()-G173))))</f>
        <v/>
      </c>
      <c r="N173" s="15" t="n"/>
    </row>
    <row r="174">
      <c r="A174" s="15" t="n"/>
      <c r="B174" s="15" t="n"/>
      <c r="C174" s="15" t="n"/>
      <c r="D174" s="15" t="n"/>
      <c r="E174" s="15" t="n"/>
      <c r="F174" s="16" t="n"/>
      <c r="G174" s="16" t="n"/>
      <c r="H174" s="16" t="n"/>
      <c r="I174" s="15" t="n"/>
      <c r="J174" s="15" t="n"/>
      <c r="K174" s="15" t="n"/>
      <c r="L174" s="15" t="n"/>
      <c r="M174" s="15">
        <f>IF(G174="","",MAX(0,IF(H174&lt;&gt;"",H174-G174,IF(I174="Completed",0,TODAY()-G174))))</f>
        <v/>
      </c>
      <c r="N174" s="15" t="n"/>
    </row>
    <row r="175">
      <c r="A175" s="15" t="n"/>
      <c r="B175" s="15" t="n"/>
      <c r="C175" s="15" t="n"/>
      <c r="D175" s="15" t="n"/>
      <c r="E175" s="15" t="n"/>
      <c r="F175" s="16" t="n"/>
      <c r="G175" s="16" t="n"/>
      <c r="H175" s="16" t="n"/>
      <c r="I175" s="15" t="n"/>
      <c r="J175" s="15" t="n"/>
      <c r="K175" s="15" t="n"/>
      <c r="L175" s="15" t="n"/>
      <c r="M175" s="15">
        <f>IF(G175="","",MAX(0,IF(H175&lt;&gt;"",H175-G175,IF(I175="Completed",0,TODAY()-G175))))</f>
        <v/>
      </c>
      <c r="N175" s="15" t="n"/>
    </row>
    <row r="176">
      <c r="A176" s="15" t="n"/>
      <c r="B176" s="15" t="n"/>
      <c r="C176" s="15" t="n"/>
      <c r="D176" s="15" t="n"/>
      <c r="E176" s="15" t="n"/>
      <c r="F176" s="16" t="n"/>
      <c r="G176" s="16" t="n"/>
      <c r="H176" s="16" t="n"/>
      <c r="I176" s="15" t="n"/>
      <c r="J176" s="15" t="n"/>
      <c r="K176" s="15" t="n"/>
      <c r="L176" s="15" t="n"/>
      <c r="M176" s="15">
        <f>IF(G176="","",MAX(0,IF(H176&lt;&gt;"",H176-G176,IF(I176="Completed",0,TODAY()-G176))))</f>
        <v/>
      </c>
      <c r="N176" s="15" t="n"/>
    </row>
    <row r="177">
      <c r="A177" s="15" t="n"/>
      <c r="B177" s="15" t="n"/>
      <c r="C177" s="15" t="n"/>
      <c r="D177" s="15" t="n"/>
      <c r="E177" s="15" t="n"/>
      <c r="F177" s="16" t="n"/>
      <c r="G177" s="16" t="n"/>
      <c r="H177" s="16" t="n"/>
      <c r="I177" s="15" t="n"/>
      <c r="J177" s="15" t="n"/>
      <c r="K177" s="15" t="n"/>
      <c r="L177" s="15" t="n"/>
      <c r="M177" s="15">
        <f>IF(G177="","",MAX(0,IF(H177&lt;&gt;"",H177-G177,IF(I177="Completed",0,TODAY()-G177))))</f>
        <v/>
      </c>
      <c r="N177" s="15" t="n"/>
    </row>
    <row r="178">
      <c r="A178" s="15" t="n"/>
      <c r="B178" s="15" t="n"/>
      <c r="C178" s="15" t="n"/>
      <c r="D178" s="15" t="n"/>
      <c r="E178" s="15" t="n"/>
      <c r="F178" s="16" t="n"/>
      <c r="G178" s="16" t="n"/>
      <c r="H178" s="16" t="n"/>
      <c r="I178" s="15" t="n"/>
      <c r="J178" s="15" t="n"/>
      <c r="K178" s="15" t="n"/>
      <c r="L178" s="15" t="n"/>
      <c r="M178" s="15">
        <f>IF(G178="","",MAX(0,IF(H178&lt;&gt;"",H178-G178,IF(I178="Completed",0,TODAY()-G178))))</f>
        <v/>
      </c>
      <c r="N178" s="15" t="n"/>
    </row>
    <row r="179">
      <c r="A179" s="15" t="n"/>
      <c r="B179" s="15" t="n"/>
      <c r="C179" s="15" t="n"/>
      <c r="D179" s="15" t="n"/>
      <c r="E179" s="15" t="n"/>
      <c r="F179" s="16" t="n"/>
      <c r="G179" s="16" t="n"/>
      <c r="H179" s="16" t="n"/>
      <c r="I179" s="15" t="n"/>
      <c r="J179" s="15" t="n"/>
      <c r="K179" s="15" t="n"/>
      <c r="L179" s="15" t="n"/>
      <c r="M179" s="15">
        <f>IF(G179="","",MAX(0,IF(H179&lt;&gt;"",H179-G179,IF(I179="Completed",0,TODAY()-G179))))</f>
        <v/>
      </c>
      <c r="N179" s="15" t="n"/>
    </row>
    <row r="180">
      <c r="A180" s="15" t="n"/>
      <c r="B180" s="15" t="n"/>
      <c r="C180" s="15" t="n"/>
      <c r="D180" s="15" t="n"/>
      <c r="E180" s="15" t="n"/>
      <c r="F180" s="16" t="n"/>
      <c r="G180" s="16" t="n"/>
      <c r="H180" s="16" t="n"/>
      <c r="I180" s="15" t="n"/>
      <c r="J180" s="15" t="n"/>
      <c r="K180" s="15" t="n"/>
      <c r="L180" s="15" t="n"/>
      <c r="M180" s="15">
        <f>IF(G180="","",MAX(0,IF(H180&lt;&gt;"",H180-G180,IF(I180="Completed",0,TODAY()-G180))))</f>
        <v/>
      </c>
      <c r="N180" s="15" t="n"/>
    </row>
    <row r="181">
      <c r="A181" s="15" t="n"/>
      <c r="B181" s="15" t="n"/>
      <c r="C181" s="15" t="n"/>
      <c r="D181" s="15" t="n"/>
      <c r="E181" s="15" t="n"/>
      <c r="F181" s="16" t="n"/>
      <c r="G181" s="16" t="n"/>
      <c r="H181" s="16" t="n"/>
      <c r="I181" s="15" t="n"/>
      <c r="J181" s="15" t="n"/>
      <c r="K181" s="15" t="n"/>
      <c r="L181" s="15" t="n"/>
      <c r="M181" s="15">
        <f>IF(G181="","",MAX(0,IF(H181&lt;&gt;"",H181-G181,IF(I181="Completed",0,TODAY()-G181))))</f>
        <v/>
      </c>
      <c r="N181" s="15" t="n"/>
    </row>
    <row r="182">
      <c r="A182" s="15" t="n"/>
      <c r="B182" s="15" t="n"/>
      <c r="C182" s="15" t="n"/>
      <c r="D182" s="15" t="n"/>
      <c r="E182" s="15" t="n"/>
      <c r="F182" s="16" t="n"/>
      <c r="G182" s="16" t="n"/>
      <c r="H182" s="16" t="n"/>
      <c r="I182" s="15" t="n"/>
      <c r="J182" s="15" t="n"/>
      <c r="K182" s="15" t="n"/>
      <c r="L182" s="15" t="n"/>
      <c r="M182" s="15">
        <f>IF(G182="","",MAX(0,IF(H182&lt;&gt;"",H182-G182,IF(I182="Completed",0,TODAY()-G182))))</f>
        <v/>
      </c>
      <c r="N182" s="15" t="n"/>
    </row>
    <row r="183">
      <c r="A183" s="15" t="n"/>
      <c r="B183" s="15" t="n"/>
      <c r="C183" s="15" t="n"/>
      <c r="D183" s="15" t="n"/>
      <c r="E183" s="15" t="n"/>
      <c r="F183" s="16" t="n"/>
      <c r="G183" s="16" t="n"/>
      <c r="H183" s="16" t="n"/>
      <c r="I183" s="15" t="n"/>
      <c r="J183" s="15" t="n"/>
      <c r="K183" s="15" t="n"/>
      <c r="L183" s="15" t="n"/>
      <c r="M183" s="15">
        <f>IF(G183="","",MAX(0,IF(H183&lt;&gt;"",H183-G183,IF(I183="Completed",0,TODAY()-G183))))</f>
        <v/>
      </c>
      <c r="N183" s="15" t="n"/>
    </row>
    <row r="184">
      <c r="A184" s="15" t="n"/>
      <c r="B184" s="15" t="n"/>
      <c r="C184" s="15" t="n"/>
      <c r="D184" s="15" t="n"/>
      <c r="E184" s="15" t="n"/>
      <c r="F184" s="16" t="n"/>
      <c r="G184" s="16" t="n"/>
      <c r="H184" s="16" t="n"/>
      <c r="I184" s="15" t="n"/>
      <c r="J184" s="15" t="n"/>
      <c r="K184" s="15" t="n"/>
      <c r="L184" s="15" t="n"/>
      <c r="M184" s="15">
        <f>IF(G184="","",MAX(0,IF(H184&lt;&gt;"",H184-G184,IF(I184="Completed",0,TODAY()-G184))))</f>
        <v/>
      </c>
      <c r="N184" s="15" t="n"/>
    </row>
    <row r="185">
      <c r="A185" s="15" t="n"/>
      <c r="B185" s="15" t="n"/>
      <c r="C185" s="15" t="n"/>
      <c r="D185" s="15" t="n"/>
      <c r="E185" s="15" t="n"/>
      <c r="F185" s="16" t="n"/>
      <c r="G185" s="16" t="n"/>
      <c r="H185" s="16" t="n"/>
      <c r="I185" s="15" t="n"/>
      <c r="J185" s="15" t="n"/>
      <c r="K185" s="15" t="n"/>
      <c r="L185" s="15" t="n"/>
      <c r="M185" s="15">
        <f>IF(G185="","",MAX(0,IF(H185&lt;&gt;"",H185-G185,IF(I185="Completed",0,TODAY()-G185))))</f>
        <v/>
      </c>
      <c r="N185" s="15" t="n"/>
    </row>
    <row r="186">
      <c r="A186" s="15" t="n"/>
      <c r="B186" s="15" t="n"/>
      <c r="C186" s="15" t="n"/>
      <c r="D186" s="15" t="n"/>
      <c r="E186" s="15" t="n"/>
      <c r="F186" s="16" t="n"/>
      <c r="G186" s="16" t="n"/>
      <c r="H186" s="16" t="n"/>
      <c r="I186" s="15" t="n"/>
      <c r="J186" s="15" t="n"/>
      <c r="K186" s="15" t="n"/>
      <c r="L186" s="15" t="n"/>
      <c r="M186" s="15">
        <f>IF(G186="","",MAX(0,IF(H186&lt;&gt;"",H186-G186,IF(I186="Completed",0,TODAY()-G186))))</f>
        <v/>
      </c>
      <c r="N186" s="15" t="n"/>
    </row>
    <row r="187">
      <c r="A187" s="15" t="n"/>
      <c r="B187" s="15" t="n"/>
      <c r="C187" s="15" t="n"/>
      <c r="D187" s="15" t="n"/>
      <c r="E187" s="15" t="n"/>
      <c r="F187" s="16" t="n"/>
      <c r="G187" s="16" t="n"/>
      <c r="H187" s="16" t="n"/>
      <c r="I187" s="15" t="n"/>
      <c r="J187" s="15" t="n"/>
      <c r="K187" s="15" t="n"/>
      <c r="L187" s="15" t="n"/>
      <c r="M187" s="15">
        <f>IF(G187="","",MAX(0,IF(H187&lt;&gt;"",H187-G187,IF(I187="Completed",0,TODAY()-G187))))</f>
        <v/>
      </c>
      <c r="N187" s="15" t="n"/>
    </row>
    <row r="188">
      <c r="A188" s="15" t="n"/>
      <c r="B188" s="15" t="n"/>
      <c r="C188" s="15" t="n"/>
      <c r="D188" s="15" t="n"/>
      <c r="E188" s="15" t="n"/>
      <c r="F188" s="16" t="n"/>
      <c r="G188" s="16" t="n"/>
      <c r="H188" s="16" t="n"/>
      <c r="I188" s="15" t="n"/>
      <c r="J188" s="15" t="n"/>
      <c r="K188" s="15" t="n"/>
      <c r="L188" s="15" t="n"/>
      <c r="M188" s="15">
        <f>IF(G188="","",MAX(0,IF(H188&lt;&gt;"",H188-G188,IF(I188="Completed",0,TODAY()-G188))))</f>
        <v/>
      </c>
      <c r="N188" s="15" t="n"/>
    </row>
    <row r="189">
      <c r="A189" s="15" t="n"/>
      <c r="B189" s="15" t="n"/>
      <c r="C189" s="15" t="n"/>
      <c r="D189" s="15" t="n"/>
      <c r="E189" s="15" t="n"/>
      <c r="F189" s="16" t="n"/>
      <c r="G189" s="16" t="n"/>
      <c r="H189" s="16" t="n"/>
      <c r="I189" s="15" t="n"/>
      <c r="J189" s="15" t="n"/>
      <c r="K189" s="15" t="n"/>
      <c r="L189" s="15" t="n"/>
      <c r="M189" s="15">
        <f>IF(G189="","",MAX(0,IF(H189&lt;&gt;"",H189-G189,IF(I189="Completed",0,TODAY()-G189))))</f>
        <v/>
      </c>
      <c r="N189" s="15" t="n"/>
    </row>
    <row r="190">
      <c r="A190" s="15" t="n"/>
      <c r="B190" s="15" t="n"/>
      <c r="C190" s="15" t="n"/>
      <c r="D190" s="15" t="n"/>
      <c r="E190" s="15" t="n"/>
      <c r="F190" s="16" t="n"/>
      <c r="G190" s="16" t="n"/>
      <c r="H190" s="16" t="n"/>
      <c r="I190" s="15" t="n"/>
      <c r="J190" s="15" t="n"/>
      <c r="K190" s="15" t="n"/>
      <c r="L190" s="15" t="n"/>
      <c r="M190" s="15">
        <f>IF(G190="","",MAX(0,IF(H190&lt;&gt;"",H190-G190,IF(I190="Completed",0,TODAY()-G190))))</f>
        <v/>
      </c>
      <c r="N190" s="15" t="n"/>
    </row>
    <row r="191">
      <c r="A191" s="15" t="n"/>
      <c r="B191" s="15" t="n"/>
      <c r="C191" s="15" t="n"/>
      <c r="D191" s="15" t="n"/>
      <c r="E191" s="15" t="n"/>
      <c r="F191" s="16" t="n"/>
      <c r="G191" s="16" t="n"/>
      <c r="H191" s="16" t="n"/>
      <c r="I191" s="15" t="n"/>
      <c r="J191" s="15" t="n"/>
      <c r="K191" s="15" t="n"/>
      <c r="L191" s="15" t="n"/>
      <c r="M191" s="15">
        <f>IF(G191="","",MAX(0,IF(H191&lt;&gt;"",H191-G191,IF(I191="Completed",0,TODAY()-G191))))</f>
        <v/>
      </c>
      <c r="N191" s="15" t="n"/>
    </row>
    <row r="192">
      <c r="A192" s="15" t="n"/>
      <c r="B192" s="15" t="n"/>
      <c r="C192" s="15" t="n"/>
      <c r="D192" s="15" t="n"/>
      <c r="E192" s="15" t="n"/>
      <c r="F192" s="16" t="n"/>
      <c r="G192" s="16" t="n"/>
      <c r="H192" s="16" t="n"/>
      <c r="I192" s="15" t="n"/>
      <c r="J192" s="15" t="n"/>
      <c r="K192" s="15" t="n"/>
      <c r="L192" s="15" t="n"/>
      <c r="M192" s="15">
        <f>IF(G192="","",MAX(0,IF(H192&lt;&gt;"",H192-G192,IF(I192="Completed",0,TODAY()-G192))))</f>
        <v/>
      </c>
      <c r="N192" s="15" t="n"/>
    </row>
    <row r="193">
      <c r="A193" s="15" t="n"/>
      <c r="B193" s="15" t="n"/>
      <c r="C193" s="15" t="n"/>
      <c r="D193" s="15" t="n"/>
      <c r="E193" s="15" t="n"/>
      <c r="F193" s="16" t="n"/>
      <c r="G193" s="16" t="n"/>
      <c r="H193" s="16" t="n"/>
      <c r="I193" s="15" t="n"/>
      <c r="J193" s="15" t="n"/>
      <c r="K193" s="15" t="n"/>
      <c r="L193" s="15" t="n"/>
      <c r="M193" s="15">
        <f>IF(G193="","",MAX(0,IF(H193&lt;&gt;"",H193-G193,IF(I193="Completed",0,TODAY()-G193))))</f>
        <v/>
      </c>
      <c r="N193" s="15" t="n"/>
    </row>
    <row r="194">
      <c r="A194" s="15" t="n"/>
      <c r="B194" s="15" t="n"/>
      <c r="C194" s="15" t="n"/>
      <c r="D194" s="15" t="n"/>
      <c r="E194" s="15" t="n"/>
      <c r="F194" s="16" t="n"/>
      <c r="G194" s="16" t="n"/>
      <c r="H194" s="16" t="n"/>
      <c r="I194" s="15" t="n"/>
      <c r="J194" s="15" t="n"/>
      <c r="K194" s="15" t="n"/>
      <c r="L194" s="15" t="n"/>
      <c r="M194" s="15">
        <f>IF(G194="","",MAX(0,IF(H194&lt;&gt;"",H194-G194,IF(I194="Completed",0,TODAY()-G194))))</f>
        <v/>
      </c>
      <c r="N194" s="15" t="n"/>
    </row>
    <row r="195">
      <c r="A195" s="15" t="n"/>
      <c r="B195" s="15" t="n"/>
      <c r="C195" s="15" t="n"/>
      <c r="D195" s="15" t="n"/>
      <c r="E195" s="15" t="n"/>
      <c r="F195" s="16" t="n"/>
      <c r="G195" s="16" t="n"/>
      <c r="H195" s="16" t="n"/>
      <c r="I195" s="15" t="n"/>
      <c r="J195" s="15" t="n"/>
      <c r="K195" s="15" t="n"/>
      <c r="L195" s="15" t="n"/>
      <c r="M195" s="15">
        <f>IF(G195="","",MAX(0,IF(H195&lt;&gt;"",H195-G195,IF(I195="Completed",0,TODAY()-G195))))</f>
        <v/>
      </c>
      <c r="N195" s="15" t="n"/>
    </row>
    <row r="196">
      <c r="A196" s="15" t="n"/>
      <c r="B196" s="15" t="n"/>
      <c r="C196" s="15" t="n"/>
      <c r="D196" s="15" t="n"/>
      <c r="E196" s="15" t="n"/>
      <c r="F196" s="16" t="n"/>
      <c r="G196" s="16" t="n"/>
      <c r="H196" s="16" t="n"/>
      <c r="I196" s="15" t="n"/>
      <c r="J196" s="15" t="n"/>
      <c r="K196" s="15" t="n"/>
      <c r="L196" s="15" t="n"/>
      <c r="M196" s="15">
        <f>IF(G196="","",MAX(0,IF(H196&lt;&gt;"",H196-G196,IF(I196="Completed",0,TODAY()-G196))))</f>
        <v/>
      </c>
      <c r="N196" s="15" t="n"/>
    </row>
    <row r="197">
      <c r="A197" s="15" t="n"/>
      <c r="B197" s="15" t="n"/>
      <c r="C197" s="15" t="n"/>
      <c r="D197" s="15" t="n"/>
      <c r="E197" s="15" t="n"/>
      <c r="F197" s="16" t="n"/>
      <c r="G197" s="16" t="n"/>
      <c r="H197" s="16" t="n"/>
      <c r="I197" s="15" t="n"/>
      <c r="J197" s="15" t="n"/>
      <c r="K197" s="15" t="n"/>
      <c r="L197" s="15" t="n"/>
      <c r="M197" s="15">
        <f>IF(G197="","",MAX(0,IF(H197&lt;&gt;"",H197-G197,IF(I197="Completed",0,TODAY()-G197))))</f>
        <v/>
      </c>
      <c r="N197" s="15" t="n"/>
    </row>
    <row r="198">
      <c r="A198" s="15" t="n"/>
      <c r="B198" s="15" t="n"/>
      <c r="C198" s="15" t="n"/>
      <c r="D198" s="15" t="n"/>
      <c r="E198" s="15" t="n"/>
      <c r="F198" s="16" t="n"/>
      <c r="G198" s="16" t="n"/>
      <c r="H198" s="16" t="n"/>
      <c r="I198" s="15" t="n"/>
      <c r="J198" s="15" t="n"/>
      <c r="K198" s="15" t="n"/>
      <c r="L198" s="15" t="n"/>
      <c r="M198" s="15">
        <f>IF(G198="","",MAX(0,IF(H198&lt;&gt;"",H198-G198,IF(I198="Completed",0,TODAY()-G198))))</f>
        <v/>
      </c>
      <c r="N198" s="15" t="n"/>
    </row>
    <row r="199">
      <c r="A199" s="15" t="n"/>
      <c r="B199" s="15" t="n"/>
      <c r="C199" s="15" t="n"/>
      <c r="D199" s="15" t="n"/>
      <c r="E199" s="15" t="n"/>
      <c r="F199" s="16" t="n"/>
      <c r="G199" s="16" t="n"/>
      <c r="H199" s="16" t="n"/>
      <c r="I199" s="15" t="n"/>
      <c r="J199" s="15" t="n"/>
      <c r="K199" s="15" t="n"/>
      <c r="L199" s="15" t="n"/>
      <c r="M199" s="15">
        <f>IF(G199="","",MAX(0,IF(H199&lt;&gt;"",H199-G199,IF(I199="Completed",0,TODAY()-G199))))</f>
        <v/>
      </c>
      <c r="N199" s="15" t="n"/>
    </row>
    <row r="200">
      <c r="A200" s="15" t="n"/>
      <c r="B200" s="15" t="n"/>
      <c r="C200" s="15" t="n"/>
      <c r="D200" s="15" t="n"/>
      <c r="E200" s="15" t="n"/>
      <c r="F200" s="16" t="n"/>
      <c r="G200" s="16" t="n"/>
      <c r="H200" s="16" t="n"/>
      <c r="I200" s="15" t="n"/>
      <c r="J200" s="15" t="n"/>
      <c r="K200" s="15" t="n"/>
      <c r="L200" s="15" t="n"/>
      <c r="M200" s="15">
        <f>IF(G200="","",MAX(0,IF(H200&lt;&gt;"",H200-G200,IF(I200="Completed",0,TODAY()-G200))))</f>
        <v/>
      </c>
      <c r="N200" s="15" t="n"/>
    </row>
    <row r="201">
      <c r="A201" s="15" t="n"/>
      <c r="B201" s="15" t="n"/>
      <c r="C201" s="15" t="n"/>
      <c r="D201" s="15" t="n"/>
      <c r="E201" s="15" t="n"/>
      <c r="F201" s="16" t="n"/>
      <c r="G201" s="16" t="n"/>
      <c r="H201" s="16" t="n"/>
      <c r="I201" s="15" t="n"/>
      <c r="J201" s="15" t="n"/>
      <c r="K201" s="15" t="n"/>
      <c r="L201" s="15" t="n"/>
      <c r="M201" s="15">
        <f>IF(G201="","",MAX(0,IF(H201&lt;&gt;"",H201-G201,IF(I201="Completed",0,TODAY()-G201))))</f>
        <v/>
      </c>
      <c r="N201" s="15" t="n"/>
    </row>
    <row r="202">
      <c r="A202" s="15" t="n"/>
      <c r="B202" s="15" t="n"/>
      <c r="C202" s="15" t="n"/>
      <c r="D202" s="15" t="n"/>
      <c r="E202" s="15" t="n"/>
      <c r="F202" s="16" t="n"/>
      <c r="G202" s="16" t="n"/>
      <c r="H202" s="16" t="n"/>
      <c r="I202" s="15" t="n"/>
      <c r="J202" s="15" t="n"/>
      <c r="K202" s="15" t="n"/>
      <c r="L202" s="15" t="n"/>
      <c r="M202" s="15">
        <f>IF(G202="","",MAX(0,IF(H202&lt;&gt;"",H202-G202,IF(I202="Completed",0,TODAY()-G202))))</f>
        <v/>
      </c>
      <c r="N202" s="15" t="n"/>
    </row>
    <row r="203">
      <c r="A203" s="15" t="n"/>
      <c r="B203" s="15" t="n"/>
      <c r="C203" s="15" t="n"/>
      <c r="D203" s="15" t="n"/>
      <c r="E203" s="15" t="n"/>
      <c r="F203" s="16" t="n"/>
      <c r="G203" s="16" t="n"/>
      <c r="H203" s="16" t="n"/>
      <c r="I203" s="15" t="n"/>
      <c r="J203" s="15" t="n"/>
      <c r="K203" s="15" t="n"/>
      <c r="L203" s="15" t="n"/>
      <c r="M203" s="15">
        <f>IF(G203="","",MAX(0,IF(H203&lt;&gt;"",H203-G203,IF(I203="Completed",0,TODAY()-G203))))</f>
        <v/>
      </c>
      <c r="N203" s="15" t="n"/>
    </row>
    <row r="204">
      <c r="A204" s="15" t="n"/>
      <c r="B204" s="15" t="n"/>
      <c r="C204" s="15" t="n"/>
      <c r="D204" s="15" t="n"/>
      <c r="E204" s="15" t="n"/>
      <c r="F204" s="16" t="n"/>
      <c r="G204" s="16" t="n"/>
      <c r="H204" s="16" t="n"/>
      <c r="I204" s="15" t="n"/>
      <c r="J204" s="15" t="n"/>
      <c r="K204" s="15" t="n"/>
      <c r="L204" s="15" t="n"/>
      <c r="M204" s="15">
        <f>IF(G204="","",MAX(0,IF(H204&lt;&gt;"",H204-G204,IF(I204="Completed",0,TODAY()-G204))))</f>
        <v/>
      </c>
      <c r="N204" s="15" t="n"/>
    </row>
    <row r="205">
      <c r="A205" s="15" t="n"/>
      <c r="B205" s="15" t="n"/>
      <c r="C205" s="15" t="n"/>
      <c r="D205" s="15" t="n"/>
      <c r="E205" s="15" t="n"/>
      <c r="F205" s="16" t="n"/>
      <c r="G205" s="16" t="n"/>
      <c r="H205" s="16" t="n"/>
      <c r="I205" s="15" t="n"/>
      <c r="J205" s="15" t="n"/>
      <c r="K205" s="15" t="n"/>
      <c r="L205" s="15" t="n"/>
      <c r="M205" s="15">
        <f>IF(G205="","",MAX(0,IF(H205&lt;&gt;"",H205-G205,IF(I205="Completed",0,TODAY()-G205))))</f>
        <v/>
      </c>
      <c r="N205" s="15" t="n"/>
    </row>
    <row r="206">
      <c r="A206" s="15" t="n"/>
      <c r="B206" s="15" t="n"/>
      <c r="C206" s="15" t="n"/>
      <c r="D206" s="15" t="n"/>
      <c r="E206" s="15" t="n"/>
      <c r="F206" s="16" t="n"/>
      <c r="G206" s="16" t="n"/>
      <c r="H206" s="16" t="n"/>
      <c r="I206" s="15" t="n"/>
      <c r="J206" s="15" t="n"/>
      <c r="K206" s="15" t="n"/>
      <c r="L206" s="15" t="n"/>
      <c r="M206" s="15">
        <f>IF(G206="","",MAX(0,IF(H206&lt;&gt;"",H206-G206,IF(I206="Completed",0,TODAY()-G206))))</f>
        <v/>
      </c>
      <c r="N206" s="15" t="n"/>
    </row>
    <row r="207">
      <c r="A207" s="15" t="n"/>
      <c r="B207" s="15" t="n"/>
      <c r="C207" s="15" t="n"/>
      <c r="D207" s="15" t="n"/>
      <c r="E207" s="15" t="n"/>
      <c r="F207" s="16" t="n"/>
      <c r="G207" s="16" t="n"/>
      <c r="H207" s="16" t="n"/>
      <c r="I207" s="15" t="n"/>
      <c r="J207" s="15" t="n"/>
      <c r="K207" s="15" t="n"/>
      <c r="L207" s="15" t="n"/>
      <c r="M207" s="15">
        <f>IF(G207="","",MAX(0,IF(H207&lt;&gt;"",H207-G207,IF(I207="Completed",0,TODAY()-G207))))</f>
        <v/>
      </c>
      <c r="N207" s="15" t="n"/>
    </row>
    <row r="208">
      <c r="A208" s="15" t="n"/>
      <c r="B208" s="15" t="n"/>
      <c r="C208" s="15" t="n"/>
      <c r="D208" s="15" t="n"/>
      <c r="E208" s="15" t="n"/>
      <c r="F208" s="16" t="n"/>
      <c r="G208" s="16" t="n"/>
      <c r="H208" s="16" t="n"/>
      <c r="I208" s="15" t="n"/>
      <c r="J208" s="15" t="n"/>
      <c r="K208" s="15" t="n"/>
      <c r="L208" s="15" t="n"/>
      <c r="M208" s="15">
        <f>IF(G208="","",MAX(0,IF(H208&lt;&gt;"",H208-G208,IF(I208="Completed",0,TODAY()-G208))))</f>
        <v/>
      </c>
      <c r="N208" s="15" t="n"/>
    </row>
    <row r="209">
      <c r="A209" s="15" t="n"/>
      <c r="B209" s="15" t="n"/>
      <c r="C209" s="15" t="n"/>
      <c r="D209" s="15" t="n"/>
      <c r="E209" s="15" t="n"/>
      <c r="F209" s="16" t="n"/>
      <c r="G209" s="16" t="n"/>
      <c r="H209" s="16" t="n"/>
      <c r="I209" s="15" t="n"/>
      <c r="J209" s="15" t="n"/>
      <c r="K209" s="15" t="n"/>
      <c r="L209" s="15" t="n"/>
      <c r="M209" s="15">
        <f>IF(G209="","",MAX(0,IF(H209&lt;&gt;"",H209-G209,IF(I209="Completed",0,TODAY()-G209))))</f>
        <v/>
      </c>
      <c r="N209" s="15" t="n"/>
    </row>
    <row r="210">
      <c r="A210" s="15" t="n"/>
      <c r="B210" s="15" t="n"/>
      <c r="C210" s="15" t="n"/>
      <c r="D210" s="15" t="n"/>
      <c r="E210" s="15" t="n"/>
      <c r="F210" s="16" t="n"/>
      <c r="G210" s="16" t="n"/>
      <c r="H210" s="16" t="n"/>
      <c r="I210" s="15" t="n"/>
      <c r="J210" s="15" t="n"/>
      <c r="K210" s="15" t="n"/>
      <c r="L210" s="15" t="n"/>
      <c r="M210" s="15">
        <f>IF(G210="","",MAX(0,IF(H210&lt;&gt;"",H210-G210,IF(I210="Completed",0,TODAY()-G210))))</f>
        <v/>
      </c>
      <c r="N210" s="15" t="n"/>
    </row>
    <row r="211">
      <c r="A211" s="15" t="n"/>
      <c r="B211" s="15" t="n"/>
      <c r="C211" s="15" t="n"/>
      <c r="D211" s="15" t="n"/>
      <c r="E211" s="15" t="n"/>
      <c r="F211" s="16" t="n"/>
      <c r="G211" s="16" t="n"/>
      <c r="H211" s="16" t="n"/>
      <c r="I211" s="15" t="n"/>
      <c r="J211" s="15" t="n"/>
      <c r="K211" s="15" t="n"/>
      <c r="L211" s="15" t="n"/>
      <c r="M211" s="15">
        <f>IF(G211="","",MAX(0,IF(H211&lt;&gt;"",H211-G211,IF(I211="Completed",0,TODAY()-G211))))</f>
        <v/>
      </c>
      <c r="N211" s="15" t="n"/>
    </row>
    <row r="212">
      <c r="A212" s="15" t="n"/>
      <c r="B212" s="15" t="n"/>
      <c r="C212" s="15" t="n"/>
      <c r="D212" s="15" t="n"/>
      <c r="E212" s="15" t="n"/>
      <c r="F212" s="16" t="n"/>
      <c r="G212" s="16" t="n"/>
      <c r="H212" s="16" t="n"/>
      <c r="I212" s="15" t="n"/>
      <c r="J212" s="15" t="n"/>
      <c r="K212" s="15" t="n"/>
      <c r="L212" s="15" t="n"/>
      <c r="M212" s="15">
        <f>IF(G212="","",MAX(0,IF(H212&lt;&gt;"",H212-G212,IF(I212="Completed",0,TODAY()-G212))))</f>
        <v/>
      </c>
      <c r="N212" s="15" t="n"/>
    </row>
    <row r="213">
      <c r="A213" s="15" t="n"/>
      <c r="B213" s="15" t="n"/>
      <c r="C213" s="15" t="n"/>
      <c r="D213" s="15" t="n"/>
      <c r="E213" s="15" t="n"/>
      <c r="F213" s="16" t="n"/>
      <c r="G213" s="16" t="n"/>
      <c r="H213" s="16" t="n"/>
      <c r="I213" s="15" t="n"/>
      <c r="J213" s="15" t="n"/>
      <c r="K213" s="15" t="n"/>
      <c r="L213" s="15" t="n"/>
      <c r="M213" s="15">
        <f>IF(G213="","",MAX(0,IF(H213&lt;&gt;"",H213-G213,IF(I213="Completed",0,TODAY()-G213))))</f>
        <v/>
      </c>
      <c r="N213" s="15" t="n"/>
    </row>
    <row r="214">
      <c r="A214" s="15" t="n"/>
      <c r="B214" s="15" t="n"/>
      <c r="C214" s="15" t="n"/>
      <c r="D214" s="15" t="n"/>
      <c r="E214" s="15" t="n"/>
      <c r="F214" s="16" t="n"/>
      <c r="G214" s="16" t="n"/>
      <c r="H214" s="16" t="n"/>
      <c r="I214" s="15" t="n"/>
      <c r="J214" s="15" t="n"/>
      <c r="K214" s="15" t="n"/>
      <c r="L214" s="15" t="n"/>
      <c r="M214" s="15">
        <f>IF(G214="","",MAX(0,IF(H214&lt;&gt;"",H214-G214,IF(I214="Completed",0,TODAY()-G214))))</f>
        <v/>
      </c>
      <c r="N214" s="15" t="n"/>
    </row>
    <row r="215">
      <c r="A215" s="15" t="n"/>
      <c r="B215" s="15" t="n"/>
      <c r="C215" s="15" t="n"/>
      <c r="D215" s="15" t="n"/>
      <c r="E215" s="15" t="n"/>
      <c r="F215" s="16" t="n"/>
      <c r="G215" s="16" t="n"/>
      <c r="H215" s="16" t="n"/>
      <c r="I215" s="15" t="n"/>
      <c r="J215" s="15" t="n"/>
      <c r="K215" s="15" t="n"/>
      <c r="L215" s="15" t="n"/>
      <c r="M215" s="15">
        <f>IF(G215="","",MAX(0,IF(H215&lt;&gt;"",H215-G215,IF(I215="Completed",0,TODAY()-G215))))</f>
        <v/>
      </c>
      <c r="N215" s="15" t="n"/>
    </row>
    <row r="216">
      <c r="A216" s="15" t="n"/>
      <c r="B216" s="15" t="n"/>
      <c r="C216" s="15" t="n"/>
      <c r="D216" s="15" t="n"/>
      <c r="E216" s="15" t="n"/>
      <c r="F216" s="16" t="n"/>
      <c r="G216" s="16" t="n"/>
      <c r="H216" s="16" t="n"/>
      <c r="I216" s="15" t="n"/>
      <c r="J216" s="15" t="n"/>
      <c r="K216" s="15" t="n"/>
      <c r="L216" s="15" t="n"/>
      <c r="M216" s="15">
        <f>IF(G216="","",MAX(0,IF(H216&lt;&gt;"",H216-G216,IF(I216="Completed",0,TODAY()-G216))))</f>
        <v/>
      </c>
      <c r="N216" s="15" t="n"/>
    </row>
    <row r="217">
      <c r="A217" s="15" t="n"/>
      <c r="B217" s="15" t="n"/>
      <c r="C217" s="15" t="n"/>
      <c r="D217" s="15" t="n"/>
      <c r="E217" s="15" t="n"/>
      <c r="F217" s="16" t="n"/>
      <c r="G217" s="16" t="n"/>
      <c r="H217" s="16" t="n"/>
      <c r="I217" s="15" t="n"/>
      <c r="J217" s="15" t="n"/>
      <c r="K217" s="15" t="n"/>
      <c r="L217" s="15" t="n"/>
      <c r="M217" s="15">
        <f>IF(G217="","",MAX(0,IF(H217&lt;&gt;"",H217-G217,IF(I217="Completed",0,TODAY()-G217))))</f>
        <v/>
      </c>
      <c r="N217" s="15" t="n"/>
    </row>
    <row r="218">
      <c r="A218" s="15" t="n"/>
      <c r="B218" s="15" t="n"/>
      <c r="C218" s="15" t="n"/>
      <c r="D218" s="15" t="n"/>
      <c r="E218" s="15" t="n"/>
      <c r="F218" s="16" t="n"/>
      <c r="G218" s="16" t="n"/>
      <c r="H218" s="16" t="n"/>
      <c r="I218" s="15" t="n"/>
      <c r="J218" s="15" t="n"/>
      <c r="K218" s="15" t="n"/>
      <c r="L218" s="15" t="n"/>
      <c r="M218" s="15">
        <f>IF(G218="","",MAX(0,IF(H218&lt;&gt;"",H218-G218,IF(I218="Completed",0,TODAY()-G218))))</f>
        <v/>
      </c>
      <c r="N218" s="15" t="n"/>
    </row>
    <row r="219">
      <c r="A219" s="15" t="n"/>
      <c r="B219" s="15" t="n"/>
      <c r="C219" s="15" t="n"/>
      <c r="D219" s="15" t="n"/>
      <c r="E219" s="15" t="n"/>
      <c r="F219" s="16" t="n"/>
      <c r="G219" s="16" t="n"/>
      <c r="H219" s="16" t="n"/>
      <c r="I219" s="15" t="n"/>
      <c r="J219" s="15" t="n"/>
      <c r="K219" s="15" t="n"/>
      <c r="L219" s="15" t="n"/>
      <c r="M219" s="15">
        <f>IF(G219="","",MAX(0,IF(H219&lt;&gt;"",H219-G219,IF(I219="Completed",0,TODAY()-G219))))</f>
        <v/>
      </c>
      <c r="N219" s="15" t="n"/>
    </row>
    <row r="220">
      <c r="A220" s="15" t="n"/>
      <c r="B220" s="15" t="n"/>
      <c r="C220" s="15" t="n"/>
      <c r="D220" s="15" t="n"/>
      <c r="E220" s="15" t="n"/>
      <c r="F220" s="16" t="n"/>
      <c r="G220" s="16" t="n"/>
      <c r="H220" s="16" t="n"/>
      <c r="I220" s="15" t="n"/>
      <c r="J220" s="15" t="n"/>
      <c r="K220" s="15" t="n"/>
      <c r="L220" s="15" t="n"/>
      <c r="M220" s="15">
        <f>IF(G220="","",MAX(0,IF(H220&lt;&gt;"",H220-G220,IF(I220="Completed",0,TODAY()-G220))))</f>
        <v/>
      </c>
      <c r="N220" s="15" t="n"/>
    </row>
    <row r="221">
      <c r="A221" s="15" t="n"/>
      <c r="B221" s="15" t="n"/>
      <c r="C221" s="15" t="n"/>
      <c r="D221" s="15" t="n"/>
      <c r="E221" s="15" t="n"/>
      <c r="F221" s="16" t="n"/>
      <c r="G221" s="16" t="n"/>
      <c r="H221" s="16" t="n"/>
      <c r="I221" s="15" t="n"/>
      <c r="J221" s="15" t="n"/>
      <c r="K221" s="15" t="n"/>
      <c r="L221" s="15" t="n"/>
      <c r="M221" s="15">
        <f>IF(G221="","",MAX(0,IF(H221&lt;&gt;"",H221-G221,IF(I221="Completed",0,TODAY()-G221))))</f>
        <v/>
      </c>
      <c r="N221" s="15" t="n"/>
    </row>
    <row r="222">
      <c r="A222" s="15" t="n"/>
      <c r="B222" s="15" t="n"/>
      <c r="C222" s="15" t="n"/>
      <c r="D222" s="15" t="n"/>
      <c r="E222" s="15" t="n"/>
      <c r="F222" s="16" t="n"/>
      <c r="G222" s="16" t="n"/>
      <c r="H222" s="16" t="n"/>
      <c r="I222" s="15" t="n"/>
      <c r="J222" s="15" t="n"/>
      <c r="K222" s="15" t="n"/>
      <c r="L222" s="15" t="n"/>
      <c r="M222" s="15">
        <f>IF(G222="","",MAX(0,IF(H222&lt;&gt;"",H222-G222,IF(I222="Completed",0,TODAY()-G222))))</f>
        <v/>
      </c>
      <c r="N222" s="15" t="n"/>
    </row>
    <row r="223">
      <c r="A223" s="15" t="n"/>
      <c r="B223" s="15" t="n"/>
      <c r="C223" s="15" t="n"/>
      <c r="D223" s="15" t="n"/>
      <c r="E223" s="15" t="n"/>
      <c r="F223" s="16" t="n"/>
      <c r="G223" s="16" t="n"/>
      <c r="H223" s="16" t="n"/>
      <c r="I223" s="15" t="n"/>
      <c r="J223" s="15" t="n"/>
      <c r="K223" s="15" t="n"/>
      <c r="L223" s="15" t="n"/>
      <c r="M223" s="15">
        <f>IF(G223="","",MAX(0,IF(H223&lt;&gt;"",H223-G223,IF(I223="Completed",0,TODAY()-G223))))</f>
        <v/>
      </c>
      <c r="N223" s="15" t="n"/>
    </row>
    <row r="224">
      <c r="A224" s="15" t="n"/>
      <c r="B224" s="15" t="n"/>
      <c r="C224" s="15" t="n"/>
      <c r="D224" s="15" t="n"/>
      <c r="E224" s="15" t="n"/>
      <c r="F224" s="16" t="n"/>
      <c r="G224" s="16" t="n"/>
      <c r="H224" s="16" t="n"/>
      <c r="I224" s="15" t="n"/>
      <c r="J224" s="15" t="n"/>
      <c r="K224" s="15" t="n"/>
      <c r="L224" s="15" t="n"/>
      <c r="M224" s="15">
        <f>IF(G224="","",MAX(0,IF(H224&lt;&gt;"",H224-G224,IF(I224="Completed",0,TODAY()-G224))))</f>
        <v/>
      </c>
      <c r="N224" s="15" t="n"/>
    </row>
    <row r="225">
      <c r="A225" s="15" t="n"/>
      <c r="B225" s="15" t="n"/>
      <c r="C225" s="15" t="n"/>
      <c r="D225" s="15" t="n"/>
      <c r="E225" s="15" t="n"/>
      <c r="F225" s="16" t="n"/>
      <c r="G225" s="16" t="n"/>
      <c r="H225" s="16" t="n"/>
      <c r="I225" s="15" t="n"/>
      <c r="J225" s="15" t="n"/>
      <c r="K225" s="15" t="n"/>
      <c r="L225" s="15" t="n"/>
      <c r="M225" s="15">
        <f>IF(G225="","",MAX(0,IF(H225&lt;&gt;"",H225-G225,IF(I225="Completed",0,TODAY()-G225))))</f>
        <v/>
      </c>
      <c r="N225" s="15" t="n"/>
    </row>
    <row r="226">
      <c r="A226" s="15" t="n"/>
      <c r="B226" s="15" t="n"/>
      <c r="C226" s="15" t="n"/>
      <c r="D226" s="15" t="n"/>
      <c r="E226" s="15" t="n"/>
      <c r="F226" s="16" t="n"/>
      <c r="G226" s="16" t="n"/>
      <c r="H226" s="16" t="n"/>
      <c r="I226" s="15" t="n"/>
      <c r="J226" s="15" t="n"/>
      <c r="K226" s="15" t="n"/>
      <c r="L226" s="15" t="n"/>
      <c r="M226" s="15">
        <f>IF(G226="","",MAX(0,IF(H226&lt;&gt;"",H226-G226,IF(I226="Completed",0,TODAY()-G226))))</f>
        <v/>
      </c>
      <c r="N226" s="15" t="n"/>
    </row>
    <row r="227">
      <c r="A227" s="15" t="n"/>
      <c r="B227" s="15" t="n"/>
      <c r="C227" s="15" t="n"/>
      <c r="D227" s="15" t="n"/>
      <c r="E227" s="15" t="n"/>
      <c r="F227" s="16" t="n"/>
      <c r="G227" s="16" t="n"/>
      <c r="H227" s="16" t="n"/>
      <c r="I227" s="15" t="n"/>
      <c r="J227" s="15" t="n"/>
      <c r="K227" s="15" t="n"/>
      <c r="L227" s="15" t="n"/>
      <c r="M227" s="15">
        <f>IF(G227="","",MAX(0,IF(H227&lt;&gt;"",H227-G227,IF(I227="Completed",0,TODAY()-G227))))</f>
        <v/>
      </c>
      <c r="N227" s="15" t="n"/>
    </row>
    <row r="228">
      <c r="A228" s="15" t="n"/>
      <c r="B228" s="15" t="n"/>
      <c r="C228" s="15" t="n"/>
      <c r="D228" s="15" t="n"/>
      <c r="E228" s="15" t="n"/>
      <c r="F228" s="16" t="n"/>
      <c r="G228" s="16" t="n"/>
      <c r="H228" s="16" t="n"/>
      <c r="I228" s="15" t="n"/>
      <c r="J228" s="15" t="n"/>
      <c r="K228" s="15" t="n"/>
      <c r="L228" s="15" t="n"/>
      <c r="M228" s="15">
        <f>IF(G228="","",MAX(0,IF(H228&lt;&gt;"",H228-G228,IF(I228="Completed",0,TODAY()-G228))))</f>
        <v/>
      </c>
      <c r="N228" s="15" t="n"/>
    </row>
    <row r="229">
      <c r="A229" s="15" t="n"/>
      <c r="B229" s="15" t="n"/>
      <c r="C229" s="15" t="n"/>
      <c r="D229" s="15" t="n"/>
      <c r="E229" s="15" t="n"/>
      <c r="F229" s="16" t="n"/>
      <c r="G229" s="16" t="n"/>
      <c r="H229" s="16" t="n"/>
      <c r="I229" s="15" t="n"/>
      <c r="J229" s="15" t="n"/>
      <c r="K229" s="15" t="n"/>
      <c r="L229" s="15" t="n"/>
      <c r="M229" s="15">
        <f>IF(G229="","",MAX(0,IF(H229&lt;&gt;"",H229-G229,IF(I229="Completed",0,TODAY()-G229))))</f>
        <v/>
      </c>
      <c r="N229" s="15" t="n"/>
    </row>
    <row r="230">
      <c r="A230" s="15" t="n"/>
      <c r="B230" s="15" t="n"/>
      <c r="C230" s="15" t="n"/>
      <c r="D230" s="15" t="n"/>
      <c r="E230" s="15" t="n"/>
      <c r="F230" s="16" t="n"/>
      <c r="G230" s="16" t="n"/>
      <c r="H230" s="16" t="n"/>
      <c r="I230" s="15" t="n"/>
      <c r="J230" s="15" t="n"/>
      <c r="K230" s="15" t="n"/>
      <c r="L230" s="15" t="n"/>
      <c r="M230" s="15">
        <f>IF(G230="","",MAX(0,IF(H230&lt;&gt;"",H230-G230,IF(I230="Completed",0,TODAY()-G230))))</f>
        <v/>
      </c>
      <c r="N230" s="15" t="n"/>
    </row>
    <row r="231">
      <c r="A231" s="15" t="n"/>
      <c r="B231" s="15" t="n"/>
      <c r="C231" s="15" t="n"/>
      <c r="D231" s="15" t="n"/>
      <c r="E231" s="15" t="n"/>
      <c r="F231" s="16" t="n"/>
      <c r="G231" s="16" t="n"/>
      <c r="H231" s="16" t="n"/>
      <c r="I231" s="15" t="n"/>
      <c r="J231" s="15" t="n"/>
      <c r="K231" s="15" t="n"/>
      <c r="L231" s="15" t="n"/>
      <c r="M231" s="15">
        <f>IF(G231="","",MAX(0,IF(H231&lt;&gt;"",H231-G231,IF(I231="Completed",0,TODAY()-G231))))</f>
        <v/>
      </c>
      <c r="N231" s="15" t="n"/>
    </row>
    <row r="232">
      <c r="A232" s="15" t="n"/>
      <c r="B232" s="15" t="n"/>
      <c r="C232" s="15" t="n"/>
      <c r="D232" s="15" t="n"/>
      <c r="E232" s="15" t="n"/>
      <c r="F232" s="16" t="n"/>
      <c r="G232" s="16" t="n"/>
      <c r="H232" s="16" t="n"/>
      <c r="I232" s="15" t="n"/>
      <c r="J232" s="15" t="n"/>
      <c r="K232" s="15" t="n"/>
      <c r="L232" s="15" t="n"/>
      <c r="M232" s="15">
        <f>IF(G232="","",MAX(0,IF(H232&lt;&gt;"",H232-G232,IF(I232="Completed",0,TODAY()-G232))))</f>
        <v/>
      </c>
      <c r="N232" s="15" t="n"/>
    </row>
    <row r="233">
      <c r="A233" s="15" t="n"/>
      <c r="B233" s="15" t="n"/>
      <c r="C233" s="15" t="n"/>
      <c r="D233" s="15" t="n"/>
      <c r="E233" s="15" t="n"/>
      <c r="F233" s="16" t="n"/>
      <c r="G233" s="16" t="n"/>
      <c r="H233" s="16" t="n"/>
      <c r="I233" s="15" t="n"/>
      <c r="J233" s="15" t="n"/>
      <c r="K233" s="15" t="n"/>
      <c r="L233" s="15" t="n"/>
      <c r="M233" s="15">
        <f>IF(G233="","",MAX(0,IF(H233&lt;&gt;"",H233-G233,IF(I233="Completed",0,TODAY()-G233))))</f>
        <v/>
      </c>
      <c r="N233" s="15" t="n"/>
    </row>
    <row r="234">
      <c r="A234" s="15" t="n"/>
      <c r="B234" s="15" t="n"/>
      <c r="C234" s="15" t="n"/>
      <c r="D234" s="15" t="n"/>
      <c r="E234" s="15" t="n"/>
      <c r="F234" s="16" t="n"/>
      <c r="G234" s="16" t="n"/>
      <c r="H234" s="16" t="n"/>
      <c r="I234" s="15" t="n"/>
      <c r="J234" s="15" t="n"/>
      <c r="K234" s="15" t="n"/>
      <c r="L234" s="15" t="n"/>
      <c r="M234" s="15">
        <f>IF(G234="","",MAX(0,IF(H234&lt;&gt;"",H234-G234,IF(I234="Completed",0,TODAY()-G234))))</f>
        <v/>
      </c>
      <c r="N234" s="15" t="n"/>
    </row>
    <row r="235">
      <c r="A235" s="15" t="n"/>
      <c r="B235" s="15" t="n"/>
      <c r="C235" s="15" t="n"/>
      <c r="D235" s="15" t="n"/>
      <c r="E235" s="15" t="n"/>
      <c r="F235" s="16" t="n"/>
      <c r="G235" s="16" t="n"/>
      <c r="H235" s="16" t="n"/>
      <c r="I235" s="15" t="n"/>
      <c r="J235" s="15" t="n"/>
      <c r="K235" s="15" t="n"/>
      <c r="L235" s="15" t="n"/>
      <c r="M235" s="15">
        <f>IF(G235="","",MAX(0,IF(H235&lt;&gt;"",H235-G235,IF(I235="Completed",0,TODAY()-G235))))</f>
        <v/>
      </c>
      <c r="N235" s="15" t="n"/>
    </row>
    <row r="236">
      <c r="A236" s="15" t="n"/>
      <c r="B236" s="15" t="n"/>
      <c r="C236" s="15" t="n"/>
      <c r="D236" s="15" t="n"/>
      <c r="E236" s="15" t="n"/>
      <c r="F236" s="16" t="n"/>
      <c r="G236" s="16" t="n"/>
      <c r="H236" s="16" t="n"/>
      <c r="I236" s="15" t="n"/>
      <c r="J236" s="15" t="n"/>
      <c r="K236" s="15" t="n"/>
      <c r="L236" s="15" t="n"/>
      <c r="M236" s="15">
        <f>IF(G236="","",MAX(0,IF(H236&lt;&gt;"",H236-G236,IF(I236="Completed",0,TODAY()-G236))))</f>
        <v/>
      </c>
      <c r="N236" s="15" t="n"/>
    </row>
    <row r="237">
      <c r="A237" s="15" t="n"/>
      <c r="B237" s="15" t="n"/>
      <c r="C237" s="15" t="n"/>
      <c r="D237" s="15" t="n"/>
      <c r="E237" s="15" t="n"/>
      <c r="F237" s="16" t="n"/>
      <c r="G237" s="16" t="n"/>
      <c r="H237" s="16" t="n"/>
      <c r="I237" s="15" t="n"/>
      <c r="J237" s="15" t="n"/>
      <c r="K237" s="15" t="n"/>
      <c r="L237" s="15" t="n"/>
      <c r="M237" s="15">
        <f>IF(G237="","",MAX(0,IF(H237&lt;&gt;"",H237-G237,IF(I237="Completed",0,TODAY()-G237))))</f>
        <v/>
      </c>
      <c r="N237" s="15" t="n"/>
    </row>
    <row r="238">
      <c r="A238" s="15" t="n"/>
      <c r="B238" s="15" t="n"/>
      <c r="C238" s="15" t="n"/>
      <c r="D238" s="15" t="n"/>
      <c r="E238" s="15" t="n"/>
      <c r="F238" s="16" t="n"/>
      <c r="G238" s="16" t="n"/>
      <c r="H238" s="16" t="n"/>
      <c r="I238" s="15" t="n"/>
      <c r="J238" s="15" t="n"/>
      <c r="K238" s="15" t="n"/>
      <c r="L238" s="15" t="n"/>
      <c r="M238" s="15">
        <f>IF(G238="","",MAX(0,IF(H238&lt;&gt;"",H238-G238,IF(I238="Completed",0,TODAY()-G238))))</f>
        <v/>
      </c>
      <c r="N238" s="15" t="n"/>
    </row>
    <row r="239">
      <c r="A239" s="15" t="n"/>
      <c r="B239" s="15" t="n"/>
      <c r="C239" s="15" t="n"/>
      <c r="D239" s="15" t="n"/>
      <c r="E239" s="15" t="n"/>
      <c r="F239" s="16" t="n"/>
      <c r="G239" s="16" t="n"/>
      <c r="H239" s="16" t="n"/>
      <c r="I239" s="15" t="n"/>
      <c r="J239" s="15" t="n"/>
      <c r="K239" s="15" t="n"/>
      <c r="L239" s="15" t="n"/>
      <c r="M239" s="15">
        <f>IF(G239="","",MAX(0,IF(H239&lt;&gt;"",H239-G239,IF(I239="Completed",0,TODAY()-G239))))</f>
        <v/>
      </c>
      <c r="N239" s="15" t="n"/>
    </row>
    <row r="240">
      <c r="A240" s="15" t="n"/>
      <c r="B240" s="15" t="n"/>
      <c r="C240" s="15" t="n"/>
      <c r="D240" s="15" t="n"/>
      <c r="E240" s="15" t="n"/>
      <c r="F240" s="16" t="n"/>
      <c r="G240" s="16" t="n"/>
      <c r="H240" s="16" t="n"/>
      <c r="I240" s="15" t="n"/>
      <c r="J240" s="15" t="n"/>
      <c r="K240" s="15" t="n"/>
      <c r="L240" s="15" t="n"/>
      <c r="M240" s="15">
        <f>IF(G240="","",MAX(0,IF(H240&lt;&gt;"",H240-G240,IF(I240="Completed",0,TODAY()-G240))))</f>
        <v/>
      </c>
      <c r="N240" s="15" t="n"/>
    </row>
    <row r="241">
      <c r="A241" s="15" t="n"/>
      <c r="B241" s="15" t="n"/>
      <c r="C241" s="15" t="n"/>
      <c r="D241" s="15" t="n"/>
      <c r="E241" s="15" t="n"/>
      <c r="F241" s="16" t="n"/>
      <c r="G241" s="16" t="n"/>
      <c r="H241" s="16" t="n"/>
      <c r="I241" s="15" t="n"/>
      <c r="J241" s="15" t="n"/>
      <c r="K241" s="15" t="n"/>
      <c r="L241" s="15" t="n"/>
      <c r="M241" s="15">
        <f>IF(G241="","",MAX(0,IF(H241&lt;&gt;"",H241-G241,IF(I241="Completed",0,TODAY()-G241))))</f>
        <v/>
      </c>
      <c r="N241" s="15" t="n"/>
    </row>
    <row r="242">
      <c r="A242" s="15" t="n"/>
      <c r="B242" s="15" t="n"/>
      <c r="C242" s="15" t="n"/>
      <c r="D242" s="15" t="n"/>
      <c r="E242" s="15" t="n"/>
      <c r="F242" s="16" t="n"/>
      <c r="G242" s="16" t="n"/>
      <c r="H242" s="16" t="n"/>
      <c r="I242" s="15" t="n"/>
      <c r="J242" s="15" t="n"/>
      <c r="K242" s="15" t="n"/>
      <c r="L242" s="15" t="n"/>
      <c r="M242" s="15">
        <f>IF(G242="","",MAX(0,IF(H242&lt;&gt;"",H242-G242,IF(I242="Completed",0,TODAY()-G242))))</f>
        <v/>
      </c>
      <c r="N242" s="15" t="n"/>
    </row>
    <row r="243">
      <c r="A243" s="15" t="n"/>
      <c r="B243" s="15" t="n"/>
      <c r="C243" s="15" t="n"/>
      <c r="D243" s="15" t="n"/>
      <c r="E243" s="15" t="n"/>
      <c r="F243" s="16" t="n"/>
      <c r="G243" s="16" t="n"/>
      <c r="H243" s="16" t="n"/>
      <c r="I243" s="15" t="n"/>
      <c r="J243" s="15" t="n"/>
      <c r="K243" s="15" t="n"/>
      <c r="L243" s="15" t="n"/>
      <c r="M243" s="15">
        <f>IF(G243="","",MAX(0,IF(H243&lt;&gt;"",H243-G243,IF(I243="Completed",0,TODAY()-G243))))</f>
        <v/>
      </c>
      <c r="N243" s="15" t="n"/>
    </row>
    <row r="244">
      <c r="A244" s="15" t="n"/>
      <c r="B244" s="15" t="n"/>
      <c r="C244" s="15" t="n"/>
      <c r="D244" s="15" t="n"/>
      <c r="E244" s="15" t="n"/>
      <c r="F244" s="16" t="n"/>
      <c r="G244" s="16" t="n"/>
      <c r="H244" s="16" t="n"/>
      <c r="I244" s="15" t="n"/>
      <c r="J244" s="15" t="n"/>
      <c r="K244" s="15" t="n"/>
      <c r="L244" s="15" t="n"/>
      <c r="M244" s="15">
        <f>IF(G244="","",MAX(0,IF(H244&lt;&gt;"",H244-G244,IF(I244="Completed",0,TODAY()-G244))))</f>
        <v/>
      </c>
      <c r="N244" s="15" t="n"/>
    </row>
    <row r="245">
      <c r="A245" s="15" t="n"/>
      <c r="B245" s="15" t="n"/>
      <c r="C245" s="15" t="n"/>
      <c r="D245" s="15" t="n"/>
      <c r="E245" s="15" t="n"/>
      <c r="F245" s="16" t="n"/>
      <c r="G245" s="16" t="n"/>
      <c r="H245" s="16" t="n"/>
      <c r="I245" s="15" t="n"/>
      <c r="J245" s="15" t="n"/>
      <c r="K245" s="15" t="n"/>
      <c r="L245" s="15" t="n"/>
      <c r="M245" s="15">
        <f>IF(G245="","",MAX(0,IF(H245&lt;&gt;"",H245-G245,IF(I245="Completed",0,TODAY()-G245))))</f>
        <v/>
      </c>
      <c r="N245" s="15" t="n"/>
    </row>
    <row r="246">
      <c r="A246" s="15" t="n"/>
      <c r="B246" s="15" t="n"/>
      <c r="C246" s="15" t="n"/>
      <c r="D246" s="15" t="n"/>
      <c r="E246" s="15" t="n"/>
      <c r="F246" s="16" t="n"/>
      <c r="G246" s="16" t="n"/>
      <c r="H246" s="16" t="n"/>
      <c r="I246" s="15" t="n"/>
      <c r="J246" s="15" t="n"/>
      <c r="K246" s="15" t="n"/>
      <c r="L246" s="15" t="n"/>
      <c r="M246" s="15">
        <f>IF(G246="","",MAX(0,IF(H246&lt;&gt;"",H246-G246,IF(I246="Completed",0,TODAY()-G246))))</f>
        <v/>
      </c>
      <c r="N246" s="15" t="n"/>
    </row>
    <row r="247">
      <c r="A247" s="15" t="n"/>
      <c r="B247" s="15" t="n"/>
      <c r="C247" s="15" t="n"/>
      <c r="D247" s="15" t="n"/>
      <c r="E247" s="15" t="n"/>
      <c r="F247" s="16" t="n"/>
      <c r="G247" s="16" t="n"/>
      <c r="H247" s="16" t="n"/>
      <c r="I247" s="15" t="n"/>
      <c r="J247" s="15" t="n"/>
      <c r="K247" s="15" t="n"/>
      <c r="L247" s="15" t="n"/>
      <c r="M247" s="15">
        <f>IF(G247="","",MAX(0,IF(H247&lt;&gt;"",H247-G247,IF(I247="Completed",0,TODAY()-G247))))</f>
        <v/>
      </c>
      <c r="N247" s="15" t="n"/>
    </row>
    <row r="248">
      <c r="A248" s="15" t="n"/>
      <c r="B248" s="15" t="n"/>
      <c r="C248" s="15" t="n"/>
      <c r="D248" s="15" t="n"/>
      <c r="E248" s="15" t="n"/>
      <c r="F248" s="16" t="n"/>
      <c r="G248" s="16" t="n"/>
      <c r="H248" s="16" t="n"/>
      <c r="I248" s="15" t="n"/>
      <c r="J248" s="15" t="n"/>
      <c r="K248" s="15" t="n"/>
      <c r="L248" s="15" t="n"/>
      <c r="M248" s="15">
        <f>IF(G248="","",MAX(0,IF(H248&lt;&gt;"",H248-G248,IF(I248="Completed",0,TODAY()-G248))))</f>
        <v/>
      </c>
      <c r="N248" s="15" t="n"/>
    </row>
    <row r="249">
      <c r="A249" s="15" t="n"/>
      <c r="B249" s="15" t="n"/>
      <c r="C249" s="15" t="n"/>
      <c r="D249" s="15" t="n"/>
      <c r="E249" s="15" t="n"/>
      <c r="F249" s="16" t="n"/>
      <c r="G249" s="16" t="n"/>
      <c r="H249" s="16" t="n"/>
      <c r="I249" s="15" t="n"/>
      <c r="J249" s="15" t="n"/>
      <c r="K249" s="15" t="n"/>
      <c r="L249" s="15" t="n"/>
      <c r="M249" s="15">
        <f>IF(G249="","",MAX(0,IF(H249&lt;&gt;"",H249-G249,IF(I249="Completed",0,TODAY()-G249))))</f>
        <v/>
      </c>
      <c r="N249" s="15" t="n"/>
    </row>
    <row r="250">
      <c r="A250" s="15" t="n"/>
      <c r="B250" s="15" t="n"/>
      <c r="C250" s="15" t="n"/>
      <c r="D250" s="15" t="n"/>
      <c r="E250" s="15" t="n"/>
      <c r="F250" s="16" t="n"/>
      <c r="G250" s="16" t="n"/>
      <c r="H250" s="16" t="n"/>
      <c r="I250" s="15" t="n"/>
      <c r="J250" s="15" t="n"/>
      <c r="K250" s="15" t="n"/>
      <c r="L250" s="15" t="n"/>
      <c r="M250" s="15">
        <f>IF(G250="","",MAX(0,IF(H250&lt;&gt;"",H250-G250,IF(I250="Completed",0,TODAY()-G250))))</f>
        <v/>
      </c>
      <c r="N250" s="15" t="n"/>
    </row>
    <row r="251">
      <c r="A251" s="15" t="n"/>
      <c r="B251" s="15" t="n"/>
      <c r="C251" s="15" t="n"/>
      <c r="D251" s="15" t="n"/>
      <c r="E251" s="15" t="n"/>
      <c r="F251" s="16" t="n"/>
      <c r="G251" s="16" t="n"/>
      <c r="H251" s="16" t="n"/>
      <c r="I251" s="15" t="n"/>
      <c r="J251" s="15" t="n"/>
      <c r="K251" s="15" t="n"/>
      <c r="L251" s="15" t="n"/>
      <c r="M251" s="15">
        <f>IF(G251="","",MAX(0,IF(H251&lt;&gt;"",H251-G251,IF(I251="Completed",0,TODAY()-G251))))</f>
        <v/>
      </c>
      <c r="N251" s="15" t="n"/>
    </row>
    <row r="252">
      <c r="A252" s="15" t="n"/>
      <c r="B252" s="15" t="n"/>
      <c r="C252" s="15" t="n"/>
      <c r="D252" s="15" t="n"/>
      <c r="E252" s="15" t="n"/>
      <c r="F252" s="16" t="n"/>
      <c r="G252" s="16" t="n"/>
      <c r="H252" s="16" t="n"/>
      <c r="I252" s="15" t="n"/>
      <c r="J252" s="15" t="n"/>
      <c r="K252" s="15" t="n"/>
      <c r="L252" s="15" t="n"/>
      <c r="M252" s="15">
        <f>IF(G252="","",MAX(0,IF(H252&lt;&gt;"",H252-G252,IF(I252="Completed",0,TODAY()-G252))))</f>
        <v/>
      </c>
      <c r="N252" s="15" t="n"/>
    </row>
    <row r="253">
      <c r="A253" s="15" t="n"/>
      <c r="B253" s="15" t="n"/>
      <c r="C253" s="15" t="n"/>
      <c r="D253" s="15" t="n"/>
      <c r="E253" s="15" t="n"/>
      <c r="F253" s="16" t="n"/>
      <c r="G253" s="16" t="n"/>
      <c r="H253" s="16" t="n"/>
      <c r="I253" s="15" t="n"/>
      <c r="J253" s="15" t="n"/>
      <c r="K253" s="15" t="n"/>
      <c r="L253" s="15" t="n"/>
      <c r="M253" s="15">
        <f>IF(G253="","",MAX(0,IF(H253&lt;&gt;"",H253-G253,IF(I253="Completed",0,TODAY()-G253))))</f>
        <v/>
      </c>
      <c r="N253" s="15" t="n"/>
    </row>
    <row r="254">
      <c r="A254" s="15" t="n"/>
      <c r="B254" s="15" t="n"/>
      <c r="C254" s="15" t="n"/>
      <c r="D254" s="15" t="n"/>
      <c r="E254" s="15" t="n"/>
      <c r="F254" s="16" t="n"/>
      <c r="G254" s="16" t="n"/>
      <c r="H254" s="16" t="n"/>
      <c r="I254" s="15" t="n"/>
      <c r="J254" s="15" t="n"/>
      <c r="K254" s="15" t="n"/>
      <c r="L254" s="15" t="n"/>
      <c r="M254" s="15">
        <f>IF(G254="","",MAX(0,IF(H254&lt;&gt;"",H254-G254,IF(I254="Completed",0,TODAY()-G254))))</f>
        <v/>
      </c>
      <c r="N254" s="15" t="n"/>
    </row>
    <row r="255">
      <c r="A255" s="15" t="n"/>
      <c r="B255" s="15" t="n"/>
      <c r="C255" s="15" t="n"/>
      <c r="D255" s="15" t="n"/>
      <c r="E255" s="15" t="n"/>
      <c r="F255" s="16" t="n"/>
      <c r="G255" s="16" t="n"/>
      <c r="H255" s="16" t="n"/>
      <c r="I255" s="15" t="n"/>
      <c r="J255" s="15" t="n"/>
      <c r="K255" s="15" t="n"/>
      <c r="L255" s="15" t="n"/>
      <c r="M255" s="15">
        <f>IF(G255="","",MAX(0,IF(H255&lt;&gt;"",H255-G255,IF(I255="Completed",0,TODAY()-G255))))</f>
        <v/>
      </c>
      <c r="N255" s="15" t="n"/>
    </row>
    <row r="256">
      <c r="A256" s="15" t="n"/>
      <c r="B256" s="15" t="n"/>
      <c r="C256" s="15" t="n"/>
      <c r="D256" s="15" t="n"/>
      <c r="E256" s="15" t="n"/>
      <c r="F256" s="16" t="n"/>
      <c r="G256" s="16" t="n"/>
      <c r="H256" s="16" t="n"/>
      <c r="I256" s="15" t="n"/>
      <c r="J256" s="15" t="n"/>
      <c r="K256" s="15" t="n"/>
      <c r="L256" s="15" t="n"/>
      <c r="M256" s="15">
        <f>IF(G256="","",MAX(0,IF(H256&lt;&gt;"",H256-G256,IF(I256="Completed",0,TODAY()-G256))))</f>
        <v/>
      </c>
      <c r="N256" s="15" t="n"/>
    </row>
    <row r="257">
      <c r="A257" s="15" t="n"/>
      <c r="B257" s="15" t="n"/>
      <c r="C257" s="15" t="n"/>
      <c r="D257" s="15" t="n"/>
      <c r="E257" s="15" t="n"/>
      <c r="F257" s="16" t="n"/>
      <c r="G257" s="16" t="n"/>
      <c r="H257" s="16" t="n"/>
      <c r="I257" s="15" t="n"/>
      <c r="J257" s="15" t="n"/>
      <c r="K257" s="15" t="n"/>
      <c r="L257" s="15" t="n"/>
      <c r="M257" s="15">
        <f>IF(G257="","",MAX(0,IF(H257&lt;&gt;"",H257-G257,IF(I257="Completed",0,TODAY()-G257))))</f>
        <v/>
      </c>
      <c r="N257" s="15" t="n"/>
    </row>
    <row r="258">
      <c r="A258" s="15" t="n"/>
      <c r="B258" s="15" t="n"/>
      <c r="C258" s="15" t="n"/>
      <c r="D258" s="15" t="n"/>
      <c r="E258" s="15" t="n"/>
      <c r="F258" s="16" t="n"/>
      <c r="G258" s="16" t="n"/>
      <c r="H258" s="16" t="n"/>
      <c r="I258" s="15" t="n"/>
      <c r="J258" s="15" t="n"/>
      <c r="K258" s="15" t="n"/>
      <c r="L258" s="15" t="n"/>
      <c r="M258" s="15">
        <f>IF(G258="","",MAX(0,IF(H258&lt;&gt;"",H258-G258,IF(I258="Completed",0,TODAY()-G258))))</f>
        <v/>
      </c>
      <c r="N258" s="15" t="n"/>
    </row>
    <row r="259">
      <c r="A259" s="15" t="n"/>
      <c r="B259" s="15" t="n"/>
      <c r="C259" s="15" t="n"/>
      <c r="D259" s="15" t="n"/>
      <c r="E259" s="15" t="n"/>
      <c r="F259" s="16" t="n"/>
      <c r="G259" s="16" t="n"/>
      <c r="H259" s="16" t="n"/>
      <c r="I259" s="15" t="n"/>
      <c r="J259" s="15" t="n"/>
      <c r="K259" s="15" t="n"/>
      <c r="L259" s="15" t="n"/>
      <c r="M259" s="15">
        <f>IF(G259="","",MAX(0,IF(H259&lt;&gt;"",H259-G259,IF(I259="Completed",0,TODAY()-G259))))</f>
        <v/>
      </c>
      <c r="N259" s="15" t="n"/>
    </row>
    <row r="260">
      <c r="A260" s="15" t="n"/>
      <c r="B260" s="15" t="n"/>
      <c r="C260" s="15" t="n"/>
      <c r="D260" s="15" t="n"/>
      <c r="E260" s="15" t="n"/>
      <c r="F260" s="16" t="n"/>
      <c r="G260" s="16" t="n"/>
      <c r="H260" s="16" t="n"/>
      <c r="I260" s="15" t="n"/>
      <c r="J260" s="15" t="n"/>
      <c r="K260" s="15" t="n"/>
      <c r="L260" s="15" t="n"/>
      <c r="M260" s="15">
        <f>IF(G260="","",MAX(0,IF(H260&lt;&gt;"",H260-G260,IF(I260="Completed",0,TODAY()-G260))))</f>
        <v/>
      </c>
      <c r="N260" s="15" t="n"/>
    </row>
    <row r="261">
      <c r="A261" s="15" t="n"/>
      <c r="B261" s="15" t="n"/>
      <c r="C261" s="15" t="n"/>
      <c r="D261" s="15" t="n"/>
      <c r="E261" s="15" t="n"/>
      <c r="F261" s="16" t="n"/>
      <c r="G261" s="16" t="n"/>
      <c r="H261" s="16" t="n"/>
      <c r="I261" s="15" t="n"/>
      <c r="J261" s="15" t="n"/>
      <c r="K261" s="15" t="n"/>
      <c r="L261" s="15" t="n"/>
      <c r="M261" s="15">
        <f>IF(G261="","",MAX(0,IF(H261&lt;&gt;"",H261-G261,IF(I261="Completed",0,TODAY()-G261))))</f>
        <v/>
      </c>
      <c r="N261" s="15" t="n"/>
    </row>
    <row r="262">
      <c r="A262" s="15" t="n"/>
      <c r="B262" s="15" t="n"/>
      <c r="C262" s="15" t="n"/>
      <c r="D262" s="15" t="n"/>
      <c r="E262" s="15" t="n"/>
      <c r="F262" s="16" t="n"/>
      <c r="G262" s="16" t="n"/>
      <c r="H262" s="16" t="n"/>
      <c r="I262" s="15" t="n"/>
      <c r="J262" s="15" t="n"/>
      <c r="K262" s="15" t="n"/>
      <c r="L262" s="15" t="n"/>
      <c r="M262" s="15">
        <f>IF(G262="","",MAX(0,IF(H262&lt;&gt;"",H262-G262,IF(I262="Completed",0,TODAY()-G262))))</f>
        <v/>
      </c>
      <c r="N262" s="15" t="n"/>
    </row>
    <row r="263">
      <c r="A263" s="15" t="n"/>
      <c r="B263" s="15" t="n"/>
      <c r="C263" s="15" t="n"/>
      <c r="D263" s="15" t="n"/>
      <c r="E263" s="15" t="n"/>
      <c r="F263" s="16" t="n"/>
      <c r="G263" s="16" t="n"/>
      <c r="H263" s="16" t="n"/>
      <c r="I263" s="15" t="n"/>
      <c r="J263" s="15" t="n"/>
      <c r="K263" s="15" t="n"/>
      <c r="L263" s="15" t="n"/>
      <c r="M263" s="15">
        <f>IF(G263="","",MAX(0,IF(H263&lt;&gt;"",H263-G263,IF(I263="Completed",0,TODAY()-G263))))</f>
        <v/>
      </c>
      <c r="N263" s="15" t="n"/>
    </row>
    <row r="264">
      <c r="A264" s="15" t="n"/>
      <c r="B264" s="15" t="n"/>
      <c r="C264" s="15" t="n"/>
      <c r="D264" s="15" t="n"/>
      <c r="E264" s="15" t="n"/>
      <c r="F264" s="16" t="n"/>
      <c r="G264" s="16" t="n"/>
      <c r="H264" s="16" t="n"/>
      <c r="I264" s="15" t="n"/>
      <c r="J264" s="15" t="n"/>
      <c r="K264" s="15" t="n"/>
      <c r="L264" s="15" t="n"/>
      <c r="M264" s="15">
        <f>IF(G264="","",MAX(0,IF(H264&lt;&gt;"",H264-G264,IF(I264="Completed",0,TODAY()-G264))))</f>
        <v/>
      </c>
      <c r="N264" s="15" t="n"/>
    </row>
    <row r="265">
      <c r="A265" s="15" t="n"/>
      <c r="B265" s="15" t="n"/>
      <c r="C265" s="15" t="n"/>
      <c r="D265" s="15" t="n"/>
      <c r="E265" s="15" t="n"/>
      <c r="F265" s="16" t="n"/>
      <c r="G265" s="16" t="n"/>
      <c r="H265" s="16" t="n"/>
      <c r="I265" s="15" t="n"/>
      <c r="J265" s="15" t="n"/>
      <c r="K265" s="15" t="n"/>
      <c r="L265" s="15" t="n"/>
      <c r="M265" s="15">
        <f>IF(G265="","",MAX(0,IF(H265&lt;&gt;"",H265-G265,IF(I265="Completed",0,TODAY()-G265))))</f>
        <v/>
      </c>
      <c r="N265" s="15" t="n"/>
    </row>
    <row r="266">
      <c r="A266" s="15" t="n"/>
      <c r="B266" s="15" t="n"/>
      <c r="C266" s="15" t="n"/>
      <c r="D266" s="15" t="n"/>
      <c r="E266" s="15" t="n"/>
      <c r="F266" s="16" t="n"/>
      <c r="G266" s="16" t="n"/>
      <c r="H266" s="16" t="n"/>
      <c r="I266" s="15" t="n"/>
      <c r="J266" s="15" t="n"/>
      <c r="K266" s="15" t="n"/>
      <c r="L266" s="15" t="n"/>
      <c r="M266" s="15">
        <f>IF(G266="","",MAX(0,IF(H266&lt;&gt;"",H266-G266,IF(I266="Completed",0,TODAY()-G266))))</f>
        <v/>
      </c>
      <c r="N266" s="15" t="n"/>
    </row>
    <row r="267">
      <c r="A267" s="15" t="n"/>
      <c r="B267" s="15" t="n"/>
      <c r="C267" s="15" t="n"/>
      <c r="D267" s="15" t="n"/>
      <c r="E267" s="15" t="n"/>
      <c r="F267" s="16" t="n"/>
      <c r="G267" s="16" t="n"/>
      <c r="H267" s="16" t="n"/>
      <c r="I267" s="15" t="n"/>
      <c r="J267" s="15" t="n"/>
      <c r="K267" s="15" t="n"/>
      <c r="L267" s="15" t="n"/>
      <c r="M267" s="15">
        <f>IF(G267="","",MAX(0,IF(H267&lt;&gt;"",H267-G267,IF(I267="Completed",0,TODAY()-G267))))</f>
        <v/>
      </c>
      <c r="N267" s="15" t="n"/>
    </row>
    <row r="268">
      <c r="A268" s="15" t="n"/>
      <c r="B268" s="15" t="n"/>
      <c r="C268" s="15" t="n"/>
      <c r="D268" s="15" t="n"/>
      <c r="E268" s="15" t="n"/>
      <c r="F268" s="16" t="n"/>
      <c r="G268" s="16" t="n"/>
      <c r="H268" s="16" t="n"/>
      <c r="I268" s="15" t="n"/>
      <c r="J268" s="15" t="n"/>
      <c r="K268" s="15" t="n"/>
      <c r="L268" s="15" t="n"/>
      <c r="M268" s="15">
        <f>IF(G268="","",MAX(0,IF(H268&lt;&gt;"",H268-G268,IF(I268="Completed",0,TODAY()-G268))))</f>
        <v/>
      </c>
      <c r="N268" s="15" t="n"/>
    </row>
    <row r="269">
      <c r="A269" s="15" t="n"/>
      <c r="B269" s="15" t="n"/>
      <c r="C269" s="15" t="n"/>
      <c r="D269" s="15" t="n"/>
      <c r="E269" s="15" t="n"/>
      <c r="F269" s="16" t="n"/>
      <c r="G269" s="16" t="n"/>
      <c r="H269" s="16" t="n"/>
      <c r="I269" s="15" t="n"/>
      <c r="J269" s="15" t="n"/>
      <c r="K269" s="15" t="n"/>
      <c r="L269" s="15" t="n"/>
      <c r="M269" s="15">
        <f>IF(G269="","",MAX(0,IF(H269&lt;&gt;"",H269-G269,IF(I269="Completed",0,TODAY()-G269))))</f>
        <v/>
      </c>
      <c r="N269" s="15" t="n"/>
    </row>
    <row r="270">
      <c r="A270" s="15" t="n"/>
      <c r="B270" s="15" t="n"/>
      <c r="C270" s="15" t="n"/>
      <c r="D270" s="15" t="n"/>
      <c r="E270" s="15" t="n"/>
      <c r="F270" s="16" t="n"/>
      <c r="G270" s="16" t="n"/>
      <c r="H270" s="16" t="n"/>
      <c r="I270" s="15" t="n"/>
      <c r="J270" s="15" t="n"/>
      <c r="K270" s="15" t="n"/>
      <c r="L270" s="15" t="n"/>
      <c r="M270" s="15">
        <f>IF(G270="","",MAX(0,IF(H270&lt;&gt;"",H270-G270,IF(I270="Completed",0,TODAY()-G270))))</f>
        <v/>
      </c>
      <c r="N270" s="15" t="n"/>
    </row>
    <row r="271">
      <c r="A271" s="15" t="n"/>
      <c r="B271" s="15" t="n"/>
      <c r="C271" s="15" t="n"/>
      <c r="D271" s="15" t="n"/>
      <c r="E271" s="15" t="n"/>
      <c r="F271" s="16" t="n"/>
      <c r="G271" s="16" t="n"/>
      <c r="H271" s="16" t="n"/>
      <c r="I271" s="15" t="n"/>
      <c r="J271" s="15" t="n"/>
      <c r="K271" s="15" t="n"/>
      <c r="L271" s="15" t="n"/>
      <c r="M271" s="15">
        <f>IF(G271="","",MAX(0,IF(H271&lt;&gt;"",H271-G271,IF(I271="Completed",0,TODAY()-G271))))</f>
        <v/>
      </c>
      <c r="N271" s="15" t="n"/>
    </row>
    <row r="272">
      <c r="A272" s="15" t="n"/>
      <c r="B272" s="15" t="n"/>
      <c r="C272" s="15" t="n"/>
      <c r="D272" s="15" t="n"/>
      <c r="E272" s="15" t="n"/>
      <c r="F272" s="16" t="n"/>
      <c r="G272" s="16" t="n"/>
      <c r="H272" s="16" t="n"/>
      <c r="I272" s="15" t="n"/>
      <c r="J272" s="15" t="n"/>
      <c r="K272" s="15" t="n"/>
      <c r="L272" s="15" t="n"/>
      <c r="M272" s="15">
        <f>IF(G272="","",MAX(0,IF(H272&lt;&gt;"",H272-G272,IF(I272="Completed",0,TODAY()-G272))))</f>
        <v/>
      </c>
      <c r="N272" s="15" t="n"/>
    </row>
    <row r="273">
      <c r="A273" s="15" t="n"/>
      <c r="B273" s="15" t="n"/>
      <c r="C273" s="15" t="n"/>
      <c r="D273" s="15" t="n"/>
      <c r="E273" s="15" t="n"/>
      <c r="F273" s="16" t="n"/>
      <c r="G273" s="16" t="n"/>
      <c r="H273" s="16" t="n"/>
      <c r="I273" s="15" t="n"/>
      <c r="J273" s="15" t="n"/>
      <c r="K273" s="15" t="n"/>
      <c r="L273" s="15" t="n"/>
      <c r="M273" s="15">
        <f>IF(G273="","",MAX(0,IF(H273&lt;&gt;"",H273-G273,IF(I273="Completed",0,TODAY()-G273))))</f>
        <v/>
      </c>
      <c r="N273" s="15" t="n"/>
    </row>
    <row r="274">
      <c r="A274" s="15" t="n"/>
      <c r="B274" s="15" t="n"/>
      <c r="C274" s="15" t="n"/>
      <c r="D274" s="15" t="n"/>
      <c r="E274" s="15" t="n"/>
      <c r="F274" s="16" t="n"/>
      <c r="G274" s="16" t="n"/>
      <c r="H274" s="16" t="n"/>
      <c r="I274" s="15" t="n"/>
      <c r="J274" s="15" t="n"/>
      <c r="K274" s="15" t="n"/>
      <c r="L274" s="15" t="n"/>
      <c r="M274" s="15">
        <f>IF(G274="","",MAX(0,IF(H274&lt;&gt;"",H274-G274,IF(I274="Completed",0,TODAY()-G274))))</f>
        <v/>
      </c>
      <c r="N274" s="15" t="n"/>
    </row>
    <row r="275">
      <c r="A275" s="15" t="n"/>
      <c r="B275" s="15" t="n"/>
      <c r="C275" s="15" t="n"/>
      <c r="D275" s="15" t="n"/>
      <c r="E275" s="15" t="n"/>
      <c r="F275" s="16" t="n"/>
      <c r="G275" s="16" t="n"/>
      <c r="H275" s="16" t="n"/>
      <c r="I275" s="15" t="n"/>
      <c r="J275" s="15" t="n"/>
      <c r="K275" s="15" t="n"/>
      <c r="L275" s="15" t="n"/>
      <c r="M275" s="15">
        <f>IF(G275="","",MAX(0,IF(H275&lt;&gt;"",H275-G275,IF(I275="Completed",0,TODAY()-G275))))</f>
        <v/>
      </c>
      <c r="N275" s="15" t="n"/>
    </row>
    <row r="276">
      <c r="A276" s="15" t="n"/>
      <c r="B276" s="15" t="n"/>
      <c r="C276" s="15" t="n"/>
      <c r="D276" s="15" t="n"/>
      <c r="E276" s="15" t="n"/>
      <c r="F276" s="16" t="n"/>
      <c r="G276" s="16" t="n"/>
      <c r="H276" s="16" t="n"/>
      <c r="I276" s="15" t="n"/>
      <c r="J276" s="15" t="n"/>
      <c r="K276" s="15" t="n"/>
      <c r="L276" s="15" t="n"/>
      <c r="M276" s="15">
        <f>IF(G276="","",MAX(0,IF(H276&lt;&gt;"",H276-G276,IF(I276="Completed",0,TODAY()-G276))))</f>
        <v/>
      </c>
      <c r="N276" s="15" t="n"/>
    </row>
    <row r="277">
      <c r="A277" s="15" t="n"/>
      <c r="B277" s="15" t="n"/>
      <c r="C277" s="15" t="n"/>
      <c r="D277" s="15" t="n"/>
      <c r="E277" s="15" t="n"/>
      <c r="F277" s="16" t="n"/>
      <c r="G277" s="16" t="n"/>
      <c r="H277" s="16" t="n"/>
      <c r="I277" s="15" t="n"/>
      <c r="J277" s="15" t="n"/>
      <c r="K277" s="15" t="n"/>
      <c r="L277" s="15" t="n"/>
      <c r="M277" s="15">
        <f>IF(G277="","",MAX(0,IF(H277&lt;&gt;"",H277-G277,IF(I277="Completed",0,TODAY()-G277))))</f>
        <v/>
      </c>
      <c r="N277" s="15" t="n"/>
    </row>
    <row r="278">
      <c r="A278" s="15" t="n"/>
      <c r="B278" s="15" t="n"/>
      <c r="C278" s="15" t="n"/>
      <c r="D278" s="15" t="n"/>
      <c r="E278" s="15" t="n"/>
      <c r="F278" s="16" t="n"/>
      <c r="G278" s="16" t="n"/>
      <c r="H278" s="16" t="n"/>
      <c r="I278" s="15" t="n"/>
      <c r="J278" s="15" t="n"/>
      <c r="K278" s="15" t="n"/>
      <c r="L278" s="15" t="n"/>
      <c r="M278" s="15">
        <f>IF(G278="","",MAX(0,IF(H278&lt;&gt;"",H278-G278,IF(I278="Completed",0,TODAY()-G278))))</f>
        <v/>
      </c>
      <c r="N278" s="15" t="n"/>
    </row>
    <row r="279">
      <c r="A279" s="15" t="n"/>
      <c r="B279" s="15" t="n"/>
      <c r="C279" s="15" t="n"/>
      <c r="D279" s="15" t="n"/>
      <c r="E279" s="15" t="n"/>
      <c r="F279" s="16" t="n"/>
      <c r="G279" s="16" t="n"/>
      <c r="H279" s="16" t="n"/>
      <c r="I279" s="15" t="n"/>
      <c r="J279" s="15" t="n"/>
      <c r="K279" s="15" t="n"/>
      <c r="L279" s="15" t="n"/>
      <c r="M279" s="15">
        <f>IF(G279="","",MAX(0,IF(H279&lt;&gt;"",H279-G279,IF(I279="Completed",0,TODAY()-G279))))</f>
        <v/>
      </c>
      <c r="N279" s="15" t="n"/>
    </row>
    <row r="280">
      <c r="A280" s="15" t="n"/>
      <c r="B280" s="15" t="n"/>
      <c r="C280" s="15" t="n"/>
      <c r="D280" s="15" t="n"/>
      <c r="E280" s="15" t="n"/>
      <c r="F280" s="16" t="n"/>
      <c r="G280" s="16" t="n"/>
      <c r="H280" s="16" t="n"/>
      <c r="I280" s="15" t="n"/>
      <c r="J280" s="15" t="n"/>
      <c r="K280" s="15" t="n"/>
      <c r="L280" s="15" t="n"/>
      <c r="M280" s="15">
        <f>IF(G280="","",MAX(0,IF(H280&lt;&gt;"",H280-G280,IF(I280="Completed",0,TODAY()-G280))))</f>
        <v/>
      </c>
      <c r="N280" s="15" t="n"/>
    </row>
    <row r="281">
      <c r="A281" s="15" t="n"/>
      <c r="B281" s="15" t="n"/>
      <c r="C281" s="15" t="n"/>
      <c r="D281" s="15" t="n"/>
      <c r="E281" s="15" t="n"/>
      <c r="F281" s="16" t="n"/>
      <c r="G281" s="16" t="n"/>
      <c r="H281" s="16" t="n"/>
      <c r="I281" s="15" t="n"/>
      <c r="J281" s="15" t="n"/>
      <c r="K281" s="15" t="n"/>
      <c r="L281" s="15" t="n"/>
      <c r="M281" s="15">
        <f>IF(G281="","",MAX(0,IF(H281&lt;&gt;"",H281-G281,IF(I281="Completed",0,TODAY()-G281))))</f>
        <v/>
      </c>
      <c r="N281" s="15" t="n"/>
    </row>
    <row r="282">
      <c r="A282" s="15" t="n"/>
      <c r="B282" s="15" t="n"/>
      <c r="C282" s="15" t="n"/>
      <c r="D282" s="15" t="n"/>
      <c r="E282" s="15" t="n"/>
      <c r="F282" s="16" t="n"/>
      <c r="G282" s="16" t="n"/>
      <c r="H282" s="16" t="n"/>
      <c r="I282" s="15" t="n"/>
      <c r="J282" s="15" t="n"/>
      <c r="K282" s="15" t="n"/>
      <c r="L282" s="15" t="n"/>
      <c r="M282" s="15">
        <f>IF(G282="","",MAX(0,IF(H282&lt;&gt;"",H282-G282,IF(I282="Completed",0,TODAY()-G282))))</f>
        <v/>
      </c>
      <c r="N282" s="15" t="n"/>
    </row>
    <row r="283">
      <c r="A283" s="15" t="n"/>
      <c r="B283" s="15" t="n"/>
      <c r="C283" s="15" t="n"/>
      <c r="D283" s="15" t="n"/>
      <c r="E283" s="15" t="n"/>
      <c r="F283" s="16" t="n"/>
      <c r="G283" s="16" t="n"/>
      <c r="H283" s="16" t="n"/>
      <c r="I283" s="15" t="n"/>
      <c r="J283" s="15" t="n"/>
      <c r="K283" s="15" t="n"/>
      <c r="L283" s="15" t="n"/>
      <c r="M283" s="15">
        <f>IF(G283="","",MAX(0,IF(H283&lt;&gt;"",H283-G283,IF(I283="Completed",0,TODAY()-G283))))</f>
        <v/>
      </c>
      <c r="N283" s="15" t="n"/>
    </row>
    <row r="284">
      <c r="A284" s="15" t="n"/>
      <c r="B284" s="15" t="n"/>
      <c r="C284" s="15" t="n"/>
      <c r="D284" s="15" t="n"/>
      <c r="E284" s="15" t="n"/>
      <c r="F284" s="16" t="n"/>
      <c r="G284" s="16" t="n"/>
      <c r="H284" s="16" t="n"/>
      <c r="I284" s="15" t="n"/>
      <c r="J284" s="15" t="n"/>
      <c r="K284" s="15" t="n"/>
      <c r="L284" s="15" t="n"/>
      <c r="M284" s="15">
        <f>IF(G284="","",MAX(0,IF(H284&lt;&gt;"",H284-G284,IF(I284="Completed",0,TODAY()-G284))))</f>
        <v/>
      </c>
      <c r="N284" s="15" t="n"/>
    </row>
    <row r="285">
      <c r="A285" s="15" t="n"/>
      <c r="B285" s="15" t="n"/>
      <c r="C285" s="15" t="n"/>
      <c r="D285" s="15" t="n"/>
      <c r="E285" s="15" t="n"/>
      <c r="F285" s="16" t="n"/>
      <c r="G285" s="16" t="n"/>
      <c r="H285" s="16" t="n"/>
      <c r="I285" s="15" t="n"/>
      <c r="J285" s="15" t="n"/>
      <c r="K285" s="15" t="n"/>
      <c r="L285" s="15" t="n"/>
      <c r="M285" s="15">
        <f>IF(G285="","",MAX(0,IF(H285&lt;&gt;"",H285-G285,IF(I285="Completed",0,TODAY()-G285))))</f>
        <v/>
      </c>
      <c r="N285" s="15" t="n"/>
    </row>
    <row r="286">
      <c r="A286" s="15" t="n"/>
      <c r="B286" s="15" t="n"/>
      <c r="C286" s="15" t="n"/>
      <c r="D286" s="15" t="n"/>
      <c r="E286" s="15" t="n"/>
      <c r="F286" s="16" t="n"/>
      <c r="G286" s="16" t="n"/>
      <c r="H286" s="16" t="n"/>
      <c r="I286" s="15" t="n"/>
      <c r="J286" s="15" t="n"/>
      <c r="K286" s="15" t="n"/>
      <c r="L286" s="15" t="n"/>
      <c r="M286" s="15">
        <f>IF(G286="","",MAX(0,IF(H286&lt;&gt;"",H286-G286,IF(I286="Completed",0,TODAY()-G286))))</f>
        <v/>
      </c>
      <c r="N286" s="15" t="n"/>
    </row>
    <row r="287">
      <c r="A287" s="15" t="n"/>
      <c r="B287" s="15" t="n"/>
      <c r="C287" s="15" t="n"/>
      <c r="D287" s="15" t="n"/>
      <c r="E287" s="15" t="n"/>
      <c r="F287" s="16" t="n"/>
      <c r="G287" s="16" t="n"/>
      <c r="H287" s="16" t="n"/>
      <c r="I287" s="15" t="n"/>
      <c r="J287" s="15" t="n"/>
      <c r="K287" s="15" t="n"/>
      <c r="L287" s="15" t="n"/>
      <c r="M287" s="15">
        <f>IF(G287="","",MAX(0,IF(H287&lt;&gt;"",H287-G287,IF(I287="Completed",0,TODAY()-G287))))</f>
        <v/>
      </c>
      <c r="N287" s="15" t="n"/>
    </row>
    <row r="288">
      <c r="A288" s="15" t="n"/>
      <c r="B288" s="15" t="n"/>
      <c r="C288" s="15" t="n"/>
      <c r="D288" s="15" t="n"/>
      <c r="E288" s="15" t="n"/>
      <c r="F288" s="16" t="n"/>
      <c r="G288" s="16" t="n"/>
      <c r="H288" s="16" t="n"/>
      <c r="I288" s="15" t="n"/>
      <c r="J288" s="15" t="n"/>
      <c r="K288" s="15" t="n"/>
      <c r="L288" s="15" t="n"/>
      <c r="M288" s="15">
        <f>IF(G288="","",MAX(0,IF(H288&lt;&gt;"",H288-G288,IF(I288="Completed",0,TODAY()-G288))))</f>
        <v/>
      </c>
      <c r="N288" s="15" t="n"/>
    </row>
    <row r="289">
      <c r="A289" s="15" t="n"/>
      <c r="B289" s="15" t="n"/>
      <c r="C289" s="15" t="n"/>
      <c r="D289" s="15" t="n"/>
      <c r="E289" s="15" t="n"/>
      <c r="F289" s="16" t="n"/>
      <c r="G289" s="16" t="n"/>
      <c r="H289" s="16" t="n"/>
      <c r="I289" s="15" t="n"/>
      <c r="J289" s="15" t="n"/>
      <c r="K289" s="15" t="n"/>
      <c r="L289" s="15" t="n"/>
      <c r="M289" s="15">
        <f>IF(G289="","",MAX(0,IF(H289&lt;&gt;"",H289-G289,IF(I289="Completed",0,TODAY()-G289))))</f>
        <v/>
      </c>
      <c r="N289" s="15" t="n"/>
    </row>
    <row r="290">
      <c r="A290" s="15" t="n"/>
      <c r="B290" s="15" t="n"/>
      <c r="C290" s="15" t="n"/>
      <c r="D290" s="15" t="n"/>
      <c r="E290" s="15" t="n"/>
      <c r="F290" s="16" t="n"/>
      <c r="G290" s="16" t="n"/>
      <c r="H290" s="16" t="n"/>
      <c r="I290" s="15" t="n"/>
      <c r="J290" s="15" t="n"/>
      <c r="K290" s="15" t="n"/>
      <c r="L290" s="15" t="n"/>
      <c r="M290" s="15">
        <f>IF(G290="","",MAX(0,IF(H290&lt;&gt;"",H290-G290,IF(I290="Completed",0,TODAY()-G290))))</f>
        <v/>
      </c>
      <c r="N290" s="15" t="n"/>
    </row>
    <row r="291">
      <c r="A291" s="15" t="n"/>
      <c r="B291" s="15" t="n"/>
      <c r="C291" s="15" t="n"/>
      <c r="D291" s="15" t="n"/>
      <c r="E291" s="15" t="n"/>
      <c r="F291" s="16" t="n"/>
      <c r="G291" s="16" t="n"/>
      <c r="H291" s="16" t="n"/>
      <c r="I291" s="15" t="n"/>
      <c r="J291" s="15" t="n"/>
      <c r="K291" s="15" t="n"/>
      <c r="L291" s="15" t="n"/>
      <c r="M291" s="15">
        <f>IF(G291="","",MAX(0,IF(H291&lt;&gt;"",H291-G291,IF(I291="Completed",0,TODAY()-G291))))</f>
        <v/>
      </c>
      <c r="N291" s="15" t="n"/>
    </row>
    <row r="292">
      <c r="A292" s="15" t="n"/>
      <c r="B292" s="15" t="n"/>
      <c r="C292" s="15" t="n"/>
      <c r="D292" s="15" t="n"/>
      <c r="E292" s="15" t="n"/>
      <c r="F292" s="16" t="n"/>
      <c r="G292" s="16" t="n"/>
      <c r="H292" s="16" t="n"/>
      <c r="I292" s="15" t="n"/>
      <c r="J292" s="15" t="n"/>
      <c r="K292" s="15" t="n"/>
      <c r="L292" s="15" t="n"/>
      <c r="M292" s="15">
        <f>IF(G292="","",MAX(0,IF(H292&lt;&gt;"",H292-G292,IF(I292="Completed",0,TODAY()-G292))))</f>
        <v/>
      </c>
      <c r="N292" s="15" t="n"/>
    </row>
    <row r="293">
      <c r="A293" s="15" t="n"/>
      <c r="B293" s="15" t="n"/>
      <c r="C293" s="15" t="n"/>
      <c r="D293" s="15" t="n"/>
      <c r="E293" s="15" t="n"/>
      <c r="F293" s="16" t="n"/>
      <c r="G293" s="16" t="n"/>
      <c r="H293" s="16" t="n"/>
      <c r="I293" s="15" t="n"/>
      <c r="J293" s="15" t="n"/>
      <c r="K293" s="15" t="n"/>
      <c r="L293" s="15" t="n"/>
      <c r="M293" s="15">
        <f>IF(G293="","",MAX(0,IF(H293&lt;&gt;"",H293-G293,IF(I293="Completed",0,TODAY()-G293))))</f>
        <v/>
      </c>
      <c r="N293" s="15" t="n"/>
    </row>
    <row r="294">
      <c r="A294" s="15" t="n"/>
      <c r="B294" s="15" t="n"/>
      <c r="C294" s="15" t="n"/>
      <c r="D294" s="15" t="n"/>
      <c r="E294" s="15" t="n"/>
      <c r="F294" s="16" t="n"/>
      <c r="G294" s="16" t="n"/>
      <c r="H294" s="16" t="n"/>
      <c r="I294" s="15" t="n"/>
      <c r="J294" s="15" t="n"/>
      <c r="K294" s="15" t="n"/>
      <c r="L294" s="15" t="n"/>
      <c r="M294" s="15">
        <f>IF(G294="","",MAX(0,IF(H294&lt;&gt;"",H294-G294,IF(I294="Completed",0,TODAY()-G294))))</f>
        <v/>
      </c>
      <c r="N294" s="15" t="n"/>
    </row>
    <row r="295">
      <c r="A295" s="15" t="n"/>
      <c r="B295" s="15" t="n"/>
      <c r="C295" s="15" t="n"/>
      <c r="D295" s="15" t="n"/>
      <c r="E295" s="15" t="n"/>
      <c r="F295" s="16" t="n"/>
      <c r="G295" s="16" t="n"/>
      <c r="H295" s="16" t="n"/>
      <c r="I295" s="15" t="n"/>
      <c r="J295" s="15" t="n"/>
      <c r="K295" s="15" t="n"/>
      <c r="L295" s="15" t="n"/>
      <c r="M295" s="15">
        <f>IF(G295="","",MAX(0,IF(H295&lt;&gt;"",H295-G295,IF(I295="Completed",0,TODAY()-G295))))</f>
        <v/>
      </c>
      <c r="N295" s="15" t="n"/>
    </row>
    <row r="296">
      <c r="A296" s="15" t="n"/>
      <c r="B296" s="15" t="n"/>
      <c r="C296" s="15" t="n"/>
      <c r="D296" s="15" t="n"/>
      <c r="E296" s="15" t="n"/>
      <c r="F296" s="16" t="n"/>
      <c r="G296" s="16" t="n"/>
      <c r="H296" s="16" t="n"/>
      <c r="I296" s="15" t="n"/>
      <c r="J296" s="15" t="n"/>
      <c r="K296" s="15" t="n"/>
      <c r="L296" s="15" t="n"/>
      <c r="M296" s="15">
        <f>IF(G296="","",MAX(0,IF(H296&lt;&gt;"",H296-G296,IF(I296="Completed",0,TODAY()-G296))))</f>
        <v/>
      </c>
      <c r="N296" s="15" t="n"/>
    </row>
    <row r="297">
      <c r="A297" s="15" t="n"/>
      <c r="B297" s="15" t="n"/>
      <c r="C297" s="15" t="n"/>
      <c r="D297" s="15" t="n"/>
      <c r="E297" s="15" t="n"/>
      <c r="F297" s="16" t="n"/>
      <c r="G297" s="16" t="n"/>
      <c r="H297" s="16" t="n"/>
      <c r="I297" s="15" t="n"/>
      <c r="J297" s="15" t="n"/>
      <c r="K297" s="15" t="n"/>
      <c r="L297" s="15" t="n"/>
      <c r="M297" s="15">
        <f>IF(G297="","",MAX(0,IF(H297&lt;&gt;"",H297-G297,IF(I297="Completed",0,TODAY()-G297))))</f>
        <v/>
      </c>
      <c r="N297" s="15" t="n"/>
    </row>
    <row r="298">
      <c r="A298" s="15" t="n"/>
      <c r="B298" s="15" t="n"/>
      <c r="C298" s="15" t="n"/>
      <c r="D298" s="15" t="n"/>
      <c r="E298" s="15" t="n"/>
      <c r="F298" s="16" t="n"/>
      <c r="G298" s="16" t="n"/>
      <c r="H298" s="16" t="n"/>
      <c r="I298" s="15" t="n"/>
      <c r="J298" s="15" t="n"/>
      <c r="K298" s="15" t="n"/>
      <c r="L298" s="15" t="n"/>
      <c r="M298" s="15">
        <f>IF(G298="","",MAX(0,IF(H298&lt;&gt;"",H298-G298,IF(I298="Completed",0,TODAY()-G298))))</f>
        <v/>
      </c>
      <c r="N298" s="15" t="n"/>
    </row>
    <row r="299">
      <c r="A299" s="15" t="n"/>
      <c r="B299" s="15" t="n"/>
      <c r="C299" s="15" t="n"/>
      <c r="D299" s="15" t="n"/>
      <c r="E299" s="15" t="n"/>
      <c r="F299" s="16" t="n"/>
      <c r="G299" s="16" t="n"/>
      <c r="H299" s="16" t="n"/>
      <c r="I299" s="15" t="n"/>
      <c r="J299" s="15" t="n"/>
      <c r="K299" s="15" t="n"/>
      <c r="L299" s="15" t="n"/>
      <c r="M299" s="15">
        <f>IF(G299="","",MAX(0,IF(H299&lt;&gt;"",H299-G299,IF(I299="Completed",0,TODAY()-G299))))</f>
        <v/>
      </c>
      <c r="N299" s="15" t="n"/>
    </row>
    <row r="300">
      <c r="A300" s="15" t="n"/>
      <c r="B300" s="15" t="n"/>
      <c r="C300" s="15" t="n"/>
      <c r="D300" s="15" t="n"/>
      <c r="E300" s="15" t="n"/>
      <c r="F300" s="16" t="n"/>
      <c r="G300" s="16" t="n"/>
      <c r="H300" s="16" t="n"/>
      <c r="I300" s="15" t="n"/>
      <c r="J300" s="15" t="n"/>
      <c r="K300" s="15" t="n"/>
      <c r="L300" s="15" t="n"/>
      <c r="M300" s="15">
        <f>IF(G300="","",MAX(0,IF(H300&lt;&gt;"",H300-G300,IF(I300="Completed",0,TODAY()-G300))))</f>
        <v/>
      </c>
      <c r="N300" s="15" t="n"/>
    </row>
    <row r="301">
      <c r="A301" s="15" t="n"/>
      <c r="B301" s="15" t="n"/>
      <c r="C301" s="15" t="n"/>
      <c r="D301" s="15" t="n"/>
      <c r="E301" s="15" t="n"/>
      <c r="F301" s="16" t="n"/>
      <c r="G301" s="16" t="n"/>
      <c r="H301" s="16" t="n"/>
      <c r="I301" s="15" t="n"/>
      <c r="J301" s="15" t="n"/>
      <c r="K301" s="15" t="n"/>
      <c r="L301" s="15" t="n"/>
      <c r="M301" s="15">
        <f>IF(G301="","",MAX(0,IF(H301&lt;&gt;"",H301-G301,IF(I301="Completed",0,TODAY()-G301))))</f>
        <v/>
      </c>
      <c r="N301" s="15" t="n"/>
    </row>
    <row r="302">
      <c r="A302" s="15" t="n"/>
      <c r="B302" s="15" t="n"/>
      <c r="C302" s="15" t="n"/>
      <c r="D302" s="15" t="n"/>
      <c r="E302" s="15" t="n"/>
      <c r="F302" s="16" t="n"/>
      <c r="G302" s="16" t="n"/>
      <c r="H302" s="16" t="n"/>
      <c r="I302" s="15" t="n"/>
      <c r="J302" s="15" t="n"/>
      <c r="K302" s="15" t="n"/>
      <c r="L302" s="15" t="n"/>
      <c r="M302" s="15">
        <f>IF(G302="","",MAX(0,IF(H302&lt;&gt;"",H302-G302,IF(I302="Completed",0,TODAY()-G302))))</f>
        <v/>
      </c>
      <c r="N302" s="15" t="n"/>
    </row>
    <row r="303">
      <c r="A303" s="15" t="n"/>
      <c r="B303" s="15" t="n"/>
      <c r="C303" s="15" t="n"/>
      <c r="D303" s="15" t="n"/>
      <c r="E303" s="15" t="n"/>
      <c r="F303" s="16" t="n"/>
      <c r="G303" s="16" t="n"/>
      <c r="H303" s="16" t="n"/>
      <c r="I303" s="15" t="n"/>
      <c r="J303" s="15" t="n"/>
      <c r="K303" s="15" t="n"/>
      <c r="L303" s="15" t="n"/>
      <c r="M303" s="15">
        <f>IF(G303="","",MAX(0,IF(H303&lt;&gt;"",H303-G303,IF(I303="Completed",0,TODAY()-G303))))</f>
        <v/>
      </c>
      <c r="N303" s="15" t="n"/>
    </row>
    <row r="304">
      <c r="A304" s="15" t="n"/>
      <c r="B304" s="15" t="n"/>
      <c r="C304" s="15" t="n"/>
      <c r="D304" s="15" t="n"/>
      <c r="E304" s="15" t="n"/>
      <c r="F304" s="16" t="n"/>
      <c r="G304" s="16" t="n"/>
      <c r="H304" s="16" t="n"/>
      <c r="I304" s="15" t="n"/>
      <c r="J304" s="15" t="n"/>
      <c r="K304" s="15" t="n"/>
      <c r="L304" s="15" t="n"/>
      <c r="M304" s="15">
        <f>IF(G304="","",MAX(0,IF(H304&lt;&gt;"",H304-G304,IF(I304="Completed",0,TODAY()-G304))))</f>
        <v/>
      </c>
      <c r="N304" s="15" t="n"/>
    </row>
    <row r="305">
      <c r="A305" s="15" t="n"/>
      <c r="B305" s="15" t="n"/>
      <c r="C305" s="15" t="n"/>
      <c r="D305" s="15" t="n"/>
      <c r="E305" s="15" t="n"/>
      <c r="F305" s="16" t="n"/>
      <c r="G305" s="16" t="n"/>
      <c r="H305" s="16" t="n"/>
      <c r="I305" s="15" t="n"/>
      <c r="J305" s="15" t="n"/>
      <c r="K305" s="15" t="n"/>
      <c r="L305" s="15" t="n"/>
      <c r="M305" s="15">
        <f>IF(G305="","",MAX(0,IF(H305&lt;&gt;"",H305-G305,IF(I305="Completed",0,TODAY()-G305))))</f>
        <v/>
      </c>
      <c r="N305" s="15" t="n"/>
    </row>
    <row r="306">
      <c r="A306" s="15" t="n"/>
      <c r="B306" s="15" t="n"/>
      <c r="C306" s="15" t="n"/>
      <c r="D306" s="15" t="n"/>
      <c r="E306" s="15" t="n"/>
      <c r="F306" s="16" t="n"/>
      <c r="G306" s="16" t="n"/>
      <c r="H306" s="16" t="n"/>
      <c r="I306" s="15" t="n"/>
      <c r="J306" s="15" t="n"/>
      <c r="K306" s="15" t="n"/>
      <c r="L306" s="15" t="n"/>
      <c r="M306" s="15">
        <f>IF(G306="","",MAX(0,IF(H306&lt;&gt;"",H306-G306,IF(I306="Completed",0,TODAY()-G306))))</f>
        <v/>
      </c>
      <c r="N306" s="15" t="n"/>
    </row>
    <row r="307">
      <c r="A307" s="15" t="n"/>
      <c r="B307" s="15" t="n"/>
      <c r="C307" s="15" t="n"/>
      <c r="D307" s="15" t="n"/>
      <c r="E307" s="15" t="n"/>
      <c r="F307" s="16" t="n"/>
      <c r="G307" s="16" t="n"/>
      <c r="H307" s="16" t="n"/>
      <c r="I307" s="15" t="n"/>
      <c r="J307" s="15" t="n"/>
      <c r="K307" s="15" t="n"/>
      <c r="L307" s="15" t="n"/>
      <c r="M307" s="15">
        <f>IF(G307="","",MAX(0,IF(H307&lt;&gt;"",H307-G307,IF(I307="Completed",0,TODAY()-G307))))</f>
        <v/>
      </c>
      <c r="N307" s="15" t="n"/>
    </row>
    <row r="308">
      <c r="A308" s="15" t="n"/>
      <c r="B308" s="15" t="n"/>
      <c r="C308" s="15" t="n"/>
      <c r="D308" s="15" t="n"/>
      <c r="E308" s="15" t="n"/>
      <c r="F308" s="16" t="n"/>
      <c r="G308" s="16" t="n"/>
      <c r="H308" s="16" t="n"/>
      <c r="I308" s="15" t="n"/>
      <c r="J308" s="15" t="n"/>
      <c r="K308" s="15" t="n"/>
      <c r="L308" s="15" t="n"/>
      <c r="M308" s="15">
        <f>IF(G308="","",MAX(0,IF(H308&lt;&gt;"",H308-G308,IF(I308="Completed",0,TODAY()-G308))))</f>
        <v/>
      </c>
      <c r="N308" s="15" t="n"/>
    </row>
    <row r="309">
      <c r="A309" s="15" t="n"/>
      <c r="B309" s="15" t="n"/>
      <c r="C309" s="15" t="n"/>
      <c r="D309" s="15" t="n"/>
      <c r="E309" s="15" t="n"/>
      <c r="F309" s="16" t="n"/>
      <c r="G309" s="16" t="n"/>
      <c r="H309" s="16" t="n"/>
      <c r="I309" s="15" t="n"/>
      <c r="J309" s="15" t="n"/>
      <c r="K309" s="15" t="n"/>
      <c r="L309" s="15" t="n"/>
      <c r="M309" s="15">
        <f>IF(G309="","",MAX(0,IF(H309&lt;&gt;"",H309-G309,IF(I309="Completed",0,TODAY()-G309))))</f>
        <v/>
      </c>
      <c r="N309" s="15" t="n"/>
    </row>
    <row r="310">
      <c r="A310" s="15" t="n"/>
      <c r="B310" s="15" t="n"/>
      <c r="C310" s="15" t="n"/>
      <c r="D310" s="15" t="n"/>
      <c r="E310" s="15" t="n"/>
      <c r="F310" s="16" t="n"/>
      <c r="G310" s="16" t="n"/>
      <c r="H310" s="16" t="n"/>
      <c r="I310" s="15" t="n"/>
      <c r="J310" s="15" t="n"/>
      <c r="K310" s="15" t="n"/>
      <c r="L310" s="15" t="n"/>
      <c r="M310" s="15">
        <f>IF(G310="","",MAX(0,IF(H310&lt;&gt;"",H310-G310,IF(I310="Completed",0,TODAY()-G310))))</f>
        <v/>
      </c>
      <c r="N310" s="15" t="n"/>
    </row>
    <row r="311">
      <c r="A311" s="15" t="n"/>
      <c r="B311" s="15" t="n"/>
      <c r="C311" s="15" t="n"/>
      <c r="D311" s="15" t="n"/>
      <c r="E311" s="15" t="n"/>
      <c r="F311" s="16" t="n"/>
      <c r="G311" s="16" t="n"/>
      <c r="H311" s="16" t="n"/>
      <c r="I311" s="15" t="n"/>
      <c r="J311" s="15" t="n"/>
      <c r="K311" s="15" t="n"/>
      <c r="L311" s="15" t="n"/>
      <c r="M311" s="15">
        <f>IF(G311="","",MAX(0,IF(H311&lt;&gt;"",H311-G311,IF(I311="Completed",0,TODAY()-G311))))</f>
        <v/>
      </c>
      <c r="N311" s="15" t="n"/>
    </row>
    <row r="312">
      <c r="A312" s="15" t="n"/>
      <c r="B312" s="15" t="n"/>
      <c r="C312" s="15" t="n"/>
      <c r="D312" s="15" t="n"/>
      <c r="E312" s="15" t="n"/>
      <c r="F312" s="16" t="n"/>
      <c r="G312" s="16" t="n"/>
      <c r="H312" s="16" t="n"/>
      <c r="I312" s="15" t="n"/>
      <c r="J312" s="15" t="n"/>
      <c r="K312" s="15" t="n"/>
      <c r="L312" s="15" t="n"/>
      <c r="M312" s="15">
        <f>IF(G312="","",MAX(0,IF(H312&lt;&gt;"",H312-G312,IF(I312="Completed",0,TODAY()-G312))))</f>
        <v/>
      </c>
      <c r="N312" s="15" t="n"/>
    </row>
    <row r="313">
      <c r="A313" s="15" t="n"/>
      <c r="B313" s="15" t="n"/>
      <c r="C313" s="15" t="n"/>
      <c r="D313" s="15" t="n"/>
      <c r="E313" s="15" t="n"/>
      <c r="F313" s="16" t="n"/>
      <c r="G313" s="16" t="n"/>
      <c r="H313" s="16" t="n"/>
      <c r="I313" s="15" t="n"/>
      <c r="J313" s="15" t="n"/>
      <c r="K313" s="15" t="n"/>
      <c r="L313" s="15" t="n"/>
      <c r="M313" s="15">
        <f>IF(G313="","",MAX(0,IF(H313&lt;&gt;"",H313-G313,IF(I313="Completed",0,TODAY()-G313))))</f>
        <v/>
      </c>
      <c r="N313" s="15" t="n"/>
    </row>
    <row r="314">
      <c r="A314" s="15" t="n"/>
      <c r="B314" s="15" t="n"/>
      <c r="C314" s="15" t="n"/>
      <c r="D314" s="15" t="n"/>
      <c r="E314" s="15" t="n"/>
      <c r="F314" s="16" t="n"/>
      <c r="G314" s="16" t="n"/>
      <c r="H314" s="16" t="n"/>
      <c r="I314" s="15" t="n"/>
      <c r="J314" s="15" t="n"/>
      <c r="K314" s="15" t="n"/>
      <c r="L314" s="15" t="n"/>
      <c r="M314" s="15">
        <f>IF(G314="","",MAX(0,IF(H314&lt;&gt;"",H314-G314,IF(I314="Completed",0,TODAY()-G314))))</f>
        <v/>
      </c>
      <c r="N314" s="15" t="n"/>
    </row>
    <row r="315">
      <c r="A315" s="15" t="n"/>
      <c r="B315" s="15" t="n"/>
      <c r="C315" s="15" t="n"/>
      <c r="D315" s="15" t="n"/>
      <c r="E315" s="15" t="n"/>
      <c r="F315" s="16" t="n"/>
      <c r="G315" s="16" t="n"/>
      <c r="H315" s="16" t="n"/>
      <c r="I315" s="15" t="n"/>
      <c r="J315" s="15" t="n"/>
      <c r="K315" s="15" t="n"/>
      <c r="L315" s="15" t="n"/>
      <c r="M315" s="15">
        <f>IF(G315="","",MAX(0,IF(H315&lt;&gt;"",H315-G315,IF(I315="Completed",0,TODAY()-G315))))</f>
        <v/>
      </c>
      <c r="N315" s="15" t="n"/>
    </row>
    <row r="316">
      <c r="A316" s="15" t="n"/>
      <c r="B316" s="15" t="n"/>
      <c r="C316" s="15" t="n"/>
      <c r="D316" s="15" t="n"/>
      <c r="E316" s="15" t="n"/>
      <c r="F316" s="16" t="n"/>
      <c r="G316" s="16" t="n"/>
      <c r="H316" s="16" t="n"/>
      <c r="I316" s="15" t="n"/>
      <c r="J316" s="15" t="n"/>
      <c r="K316" s="15" t="n"/>
      <c r="L316" s="15" t="n"/>
      <c r="M316" s="15">
        <f>IF(G316="","",MAX(0,IF(H316&lt;&gt;"",H316-G316,IF(I316="Completed",0,TODAY()-G316))))</f>
        <v/>
      </c>
      <c r="N316" s="15" t="n"/>
    </row>
    <row r="317">
      <c r="A317" s="15" t="n"/>
      <c r="B317" s="15" t="n"/>
      <c r="C317" s="15" t="n"/>
      <c r="D317" s="15" t="n"/>
      <c r="E317" s="15" t="n"/>
      <c r="F317" s="16" t="n"/>
      <c r="G317" s="16" t="n"/>
      <c r="H317" s="16" t="n"/>
      <c r="I317" s="15" t="n"/>
      <c r="J317" s="15" t="n"/>
      <c r="K317" s="15" t="n"/>
      <c r="L317" s="15" t="n"/>
      <c r="M317" s="15">
        <f>IF(G317="","",MAX(0,IF(H317&lt;&gt;"",H317-G317,IF(I317="Completed",0,TODAY()-G317))))</f>
        <v/>
      </c>
      <c r="N317" s="15" t="n"/>
    </row>
    <row r="318">
      <c r="A318" s="15" t="n"/>
      <c r="B318" s="15" t="n"/>
      <c r="C318" s="15" t="n"/>
      <c r="D318" s="15" t="n"/>
      <c r="E318" s="15" t="n"/>
      <c r="F318" s="16" t="n"/>
      <c r="G318" s="16" t="n"/>
      <c r="H318" s="16" t="n"/>
      <c r="I318" s="15" t="n"/>
      <c r="J318" s="15" t="n"/>
      <c r="K318" s="15" t="n"/>
      <c r="L318" s="15" t="n"/>
      <c r="M318" s="15">
        <f>IF(G318="","",MAX(0,IF(H318&lt;&gt;"",H318-G318,IF(I318="Completed",0,TODAY()-G318))))</f>
        <v/>
      </c>
      <c r="N318" s="15" t="n"/>
    </row>
    <row r="319">
      <c r="A319" s="15" t="n"/>
      <c r="B319" s="15" t="n"/>
      <c r="C319" s="15" t="n"/>
      <c r="D319" s="15" t="n"/>
      <c r="E319" s="15" t="n"/>
      <c r="F319" s="16" t="n"/>
      <c r="G319" s="16" t="n"/>
      <c r="H319" s="16" t="n"/>
      <c r="I319" s="15" t="n"/>
      <c r="J319" s="15" t="n"/>
      <c r="K319" s="15" t="n"/>
      <c r="L319" s="15" t="n"/>
      <c r="M319" s="15">
        <f>IF(G319="","",MAX(0,IF(H319&lt;&gt;"",H319-G319,IF(I319="Completed",0,TODAY()-G319))))</f>
        <v/>
      </c>
      <c r="N319" s="15" t="n"/>
    </row>
    <row r="320">
      <c r="A320" s="15" t="n"/>
      <c r="B320" s="15" t="n"/>
      <c r="C320" s="15" t="n"/>
      <c r="D320" s="15" t="n"/>
      <c r="E320" s="15" t="n"/>
      <c r="F320" s="16" t="n"/>
      <c r="G320" s="16" t="n"/>
      <c r="H320" s="16" t="n"/>
      <c r="I320" s="15" t="n"/>
      <c r="J320" s="15" t="n"/>
      <c r="K320" s="15" t="n"/>
      <c r="L320" s="15" t="n"/>
      <c r="M320" s="15">
        <f>IF(G320="","",MAX(0,IF(H320&lt;&gt;"",H320-G320,IF(I320="Completed",0,TODAY()-G320))))</f>
        <v/>
      </c>
      <c r="N320" s="15" t="n"/>
    </row>
    <row r="321">
      <c r="A321" s="15" t="n"/>
      <c r="B321" s="15" t="n"/>
      <c r="C321" s="15" t="n"/>
      <c r="D321" s="15" t="n"/>
      <c r="E321" s="15" t="n"/>
      <c r="F321" s="16" t="n"/>
      <c r="G321" s="16" t="n"/>
      <c r="H321" s="16" t="n"/>
      <c r="I321" s="15" t="n"/>
      <c r="J321" s="15" t="n"/>
      <c r="K321" s="15" t="n"/>
      <c r="L321" s="15" t="n"/>
      <c r="M321" s="15">
        <f>IF(G321="","",MAX(0,IF(H321&lt;&gt;"",H321-G321,IF(I321="Completed",0,TODAY()-G321))))</f>
        <v/>
      </c>
      <c r="N321" s="15" t="n"/>
    </row>
    <row r="322">
      <c r="A322" s="15" t="n"/>
      <c r="B322" s="15" t="n"/>
      <c r="C322" s="15" t="n"/>
      <c r="D322" s="15" t="n"/>
      <c r="E322" s="15" t="n"/>
      <c r="F322" s="16" t="n"/>
      <c r="G322" s="16" t="n"/>
      <c r="H322" s="16" t="n"/>
      <c r="I322" s="15" t="n"/>
      <c r="J322" s="15" t="n"/>
      <c r="K322" s="15" t="n"/>
      <c r="L322" s="15" t="n"/>
      <c r="M322" s="15">
        <f>IF(G322="","",MAX(0,IF(H322&lt;&gt;"",H322-G322,IF(I322="Completed",0,TODAY()-G322))))</f>
        <v/>
      </c>
      <c r="N322" s="15" t="n"/>
    </row>
    <row r="323">
      <c r="A323" s="15" t="n"/>
      <c r="B323" s="15" t="n"/>
      <c r="C323" s="15" t="n"/>
      <c r="D323" s="15" t="n"/>
      <c r="E323" s="15" t="n"/>
      <c r="F323" s="16" t="n"/>
      <c r="G323" s="16" t="n"/>
      <c r="H323" s="16" t="n"/>
      <c r="I323" s="15" t="n"/>
      <c r="J323" s="15" t="n"/>
      <c r="K323" s="15" t="n"/>
      <c r="L323" s="15" t="n"/>
      <c r="M323" s="15">
        <f>IF(G323="","",MAX(0,IF(H323&lt;&gt;"",H323-G323,IF(I323="Completed",0,TODAY()-G323))))</f>
        <v/>
      </c>
      <c r="N323" s="15" t="n"/>
    </row>
    <row r="324">
      <c r="A324" s="15" t="n"/>
      <c r="B324" s="15" t="n"/>
      <c r="C324" s="15" t="n"/>
      <c r="D324" s="15" t="n"/>
      <c r="E324" s="15" t="n"/>
      <c r="F324" s="16" t="n"/>
      <c r="G324" s="16" t="n"/>
      <c r="H324" s="16" t="n"/>
      <c r="I324" s="15" t="n"/>
      <c r="J324" s="15" t="n"/>
      <c r="K324" s="15" t="n"/>
      <c r="L324" s="15" t="n"/>
      <c r="M324" s="15">
        <f>IF(G324="","",MAX(0,IF(H324&lt;&gt;"",H324-G324,IF(I324="Completed",0,TODAY()-G324))))</f>
        <v/>
      </c>
      <c r="N324" s="15" t="n"/>
    </row>
    <row r="325">
      <c r="A325" s="15" t="n"/>
      <c r="B325" s="15" t="n"/>
      <c r="C325" s="15" t="n"/>
      <c r="D325" s="15" t="n"/>
      <c r="E325" s="15" t="n"/>
      <c r="F325" s="16" t="n"/>
      <c r="G325" s="16" t="n"/>
      <c r="H325" s="16" t="n"/>
      <c r="I325" s="15" t="n"/>
      <c r="J325" s="15" t="n"/>
      <c r="K325" s="15" t="n"/>
      <c r="L325" s="15" t="n"/>
      <c r="M325" s="15">
        <f>IF(G325="","",MAX(0,IF(H325&lt;&gt;"",H325-G325,IF(I325="Completed",0,TODAY()-G325))))</f>
        <v/>
      </c>
      <c r="N325" s="15" t="n"/>
    </row>
    <row r="326">
      <c r="A326" s="15" t="n"/>
      <c r="B326" s="15" t="n"/>
      <c r="C326" s="15" t="n"/>
      <c r="D326" s="15" t="n"/>
      <c r="E326" s="15" t="n"/>
      <c r="F326" s="16" t="n"/>
      <c r="G326" s="16" t="n"/>
      <c r="H326" s="16" t="n"/>
      <c r="I326" s="15" t="n"/>
      <c r="J326" s="15" t="n"/>
      <c r="K326" s="15" t="n"/>
      <c r="L326" s="15" t="n"/>
      <c r="M326" s="15">
        <f>IF(G326="","",MAX(0,IF(H326&lt;&gt;"",H326-G326,IF(I326="Completed",0,TODAY()-G326))))</f>
        <v/>
      </c>
      <c r="N326" s="15" t="n"/>
    </row>
    <row r="327">
      <c r="A327" s="15" t="n"/>
      <c r="B327" s="15" t="n"/>
      <c r="C327" s="15" t="n"/>
      <c r="D327" s="15" t="n"/>
      <c r="E327" s="15" t="n"/>
      <c r="F327" s="16" t="n"/>
      <c r="G327" s="16" t="n"/>
      <c r="H327" s="16" t="n"/>
      <c r="I327" s="15" t="n"/>
      <c r="J327" s="15" t="n"/>
      <c r="K327" s="15" t="n"/>
      <c r="L327" s="15" t="n"/>
      <c r="M327" s="15">
        <f>IF(G327="","",MAX(0,IF(H327&lt;&gt;"",H327-G327,IF(I327="Completed",0,TODAY()-G327))))</f>
        <v/>
      </c>
      <c r="N327" s="15" t="n"/>
    </row>
    <row r="328">
      <c r="A328" s="15" t="n"/>
      <c r="B328" s="15" t="n"/>
      <c r="C328" s="15" t="n"/>
      <c r="D328" s="15" t="n"/>
      <c r="E328" s="15" t="n"/>
      <c r="F328" s="16" t="n"/>
      <c r="G328" s="16" t="n"/>
      <c r="H328" s="16" t="n"/>
      <c r="I328" s="15" t="n"/>
      <c r="J328" s="15" t="n"/>
      <c r="K328" s="15" t="n"/>
      <c r="L328" s="15" t="n"/>
      <c r="M328" s="15">
        <f>IF(G328="","",MAX(0,IF(H328&lt;&gt;"",H328-G328,IF(I328="Completed",0,TODAY()-G328))))</f>
        <v/>
      </c>
      <c r="N328" s="15" t="n"/>
    </row>
    <row r="329">
      <c r="A329" s="15" t="n"/>
      <c r="B329" s="15" t="n"/>
      <c r="C329" s="15" t="n"/>
      <c r="D329" s="15" t="n"/>
      <c r="E329" s="15" t="n"/>
      <c r="F329" s="16" t="n"/>
      <c r="G329" s="16" t="n"/>
      <c r="H329" s="16" t="n"/>
      <c r="I329" s="15" t="n"/>
      <c r="J329" s="15" t="n"/>
      <c r="K329" s="15" t="n"/>
      <c r="L329" s="15" t="n"/>
      <c r="M329" s="15">
        <f>IF(G329="","",MAX(0,IF(H329&lt;&gt;"",H329-G329,IF(I329="Completed",0,TODAY()-G329))))</f>
        <v/>
      </c>
      <c r="N329" s="15" t="n"/>
    </row>
    <row r="330">
      <c r="A330" s="15" t="n"/>
      <c r="B330" s="15" t="n"/>
      <c r="C330" s="15" t="n"/>
      <c r="D330" s="15" t="n"/>
      <c r="E330" s="15" t="n"/>
      <c r="F330" s="16" t="n"/>
      <c r="G330" s="16" t="n"/>
      <c r="H330" s="16" t="n"/>
      <c r="I330" s="15" t="n"/>
      <c r="J330" s="15" t="n"/>
      <c r="K330" s="15" t="n"/>
      <c r="L330" s="15" t="n"/>
      <c r="M330" s="15">
        <f>IF(G330="","",MAX(0,IF(H330&lt;&gt;"",H330-G330,IF(I330="Completed",0,TODAY()-G330))))</f>
        <v/>
      </c>
      <c r="N330" s="15" t="n"/>
    </row>
    <row r="331">
      <c r="A331" s="15" t="n"/>
      <c r="B331" s="15" t="n"/>
      <c r="C331" s="15" t="n"/>
      <c r="D331" s="15" t="n"/>
      <c r="E331" s="15" t="n"/>
      <c r="F331" s="16" t="n"/>
      <c r="G331" s="16" t="n"/>
      <c r="H331" s="16" t="n"/>
      <c r="I331" s="15" t="n"/>
      <c r="J331" s="15" t="n"/>
      <c r="K331" s="15" t="n"/>
      <c r="L331" s="15" t="n"/>
      <c r="M331" s="15">
        <f>IF(G331="","",MAX(0,IF(H331&lt;&gt;"",H331-G331,IF(I331="Completed",0,TODAY()-G331))))</f>
        <v/>
      </c>
      <c r="N331" s="15" t="n"/>
    </row>
    <row r="332">
      <c r="A332" s="15" t="n"/>
      <c r="B332" s="15" t="n"/>
      <c r="C332" s="15" t="n"/>
      <c r="D332" s="15" t="n"/>
      <c r="E332" s="15" t="n"/>
      <c r="F332" s="16" t="n"/>
      <c r="G332" s="16" t="n"/>
      <c r="H332" s="16" t="n"/>
      <c r="I332" s="15" t="n"/>
      <c r="J332" s="15" t="n"/>
      <c r="K332" s="15" t="n"/>
      <c r="L332" s="15" t="n"/>
      <c r="M332" s="15">
        <f>IF(G332="","",MAX(0,IF(H332&lt;&gt;"",H332-G332,IF(I332="Completed",0,TODAY()-G332))))</f>
        <v/>
      </c>
      <c r="N332" s="15" t="n"/>
    </row>
    <row r="333">
      <c r="A333" s="15" t="n"/>
      <c r="B333" s="15" t="n"/>
      <c r="C333" s="15" t="n"/>
      <c r="D333" s="15" t="n"/>
      <c r="E333" s="15" t="n"/>
      <c r="F333" s="16" t="n"/>
      <c r="G333" s="16" t="n"/>
      <c r="H333" s="16" t="n"/>
      <c r="I333" s="15" t="n"/>
      <c r="J333" s="15" t="n"/>
      <c r="K333" s="15" t="n"/>
      <c r="L333" s="15" t="n"/>
      <c r="M333" s="15">
        <f>IF(G333="","",MAX(0,IF(H333&lt;&gt;"",H333-G333,IF(I333="Completed",0,TODAY()-G333))))</f>
        <v/>
      </c>
      <c r="N333" s="15" t="n"/>
    </row>
    <row r="334">
      <c r="A334" s="15" t="n"/>
      <c r="B334" s="15" t="n"/>
      <c r="C334" s="15" t="n"/>
      <c r="D334" s="15" t="n"/>
      <c r="E334" s="15" t="n"/>
      <c r="F334" s="16" t="n"/>
      <c r="G334" s="16" t="n"/>
      <c r="H334" s="16" t="n"/>
      <c r="I334" s="15" t="n"/>
      <c r="J334" s="15" t="n"/>
      <c r="K334" s="15" t="n"/>
      <c r="L334" s="15" t="n"/>
      <c r="M334" s="15">
        <f>IF(G334="","",MAX(0,IF(H334&lt;&gt;"",H334-G334,IF(I334="Completed",0,TODAY()-G334))))</f>
        <v/>
      </c>
      <c r="N334" s="15" t="n"/>
    </row>
    <row r="335">
      <c r="A335" s="15" t="n"/>
      <c r="B335" s="15" t="n"/>
      <c r="C335" s="15" t="n"/>
      <c r="D335" s="15" t="n"/>
      <c r="E335" s="15" t="n"/>
      <c r="F335" s="16" t="n"/>
      <c r="G335" s="16" t="n"/>
      <c r="H335" s="16" t="n"/>
      <c r="I335" s="15" t="n"/>
      <c r="J335" s="15" t="n"/>
      <c r="K335" s="15" t="n"/>
      <c r="L335" s="15" t="n"/>
      <c r="M335" s="15">
        <f>IF(G335="","",MAX(0,IF(H335&lt;&gt;"",H335-G335,IF(I335="Completed",0,TODAY()-G335))))</f>
        <v/>
      </c>
      <c r="N335" s="15" t="n"/>
    </row>
    <row r="336">
      <c r="A336" s="15" t="n"/>
      <c r="B336" s="15" t="n"/>
      <c r="C336" s="15" t="n"/>
      <c r="D336" s="15" t="n"/>
      <c r="E336" s="15" t="n"/>
      <c r="F336" s="16" t="n"/>
      <c r="G336" s="16" t="n"/>
      <c r="H336" s="16" t="n"/>
      <c r="I336" s="15" t="n"/>
      <c r="J336" s="15" t="n"/>
      <c r="K336" s="15" t="n"/>
      <c r="L336" s="15" t="n"/>
      <c r="M336" s="15">
        <f>IF(G336="","",MAX(0,IF(H336&lt;&gt;"",H336-G336,IF(I336="Completed",0,TODAY()-G336))))</f>
        <v/>
      </c>
      <c r="N336" s="15" t="n"/>
    </row>
    <row r="337">
      <c r="A337" s="15" t="n"/>
      <c r="B337" s="15" t="n"/>
      <c r="C337" s="15" t="n"/>
      <c r="D337" s="15" t="n"/>
      <c r="E337" s="15" t="n"/>
      <c r="F337" s="16" t="n"/>
      <c r="G337" s="16" t="n"/>
      <c r="H337" s="16" t="n"/>
      <c r="I337" s="15" t="n"/>
      <c r="J337" s="15" t="n"/>
      <c r="K337" s="15" t="n"/>
      <c r="L337" s="15" t="n"/>
      <c r="M337" s="15">
        <f>IF(G337="","",MAX(0,IF(H337&lt;&gt;"",H337-G337,IF(I337="Completed",0,TODAY()-G337))))</f>
        <v/>
      </c>
      <c r="N337" s="15" t="n"/>
    </row>
    <row r="338">
      <c r="A338" s="15" t="n"/>
      <c r="B338" s="15" t="n"/>
      <c r="C338" s="15" t="n"/>
      <c r="D338" s="15" t="n"/>
      <c r="E338" s="15" t="n"/>
      <c r="F338" s="16" t="n"/>
      <c r="G338" s="16" t="n"/>
      <c r="H338" s="16" t="n"/>
      <c r="I338" s="15" t="n"/>
      <c r="J338" s="15" t="n"/>
      <c r="K338" s="15" t="n"/>
      <c r="L338" s="15" t="n"/>
      <c r="M338" s="15">
        <f>IF(G338="","",MAX(0,IF(H338&lt;&gt;"",H338-G338,IF(I338="Completed",0,TODAY()-G338))))</f>
        <v/>
      </c>
      <c r="N338" s="15" t="n"/>
    </row>
    <row r="339">
      <c r="A339" s="15" t="n"/>
      <c r="B339" s="15" t="n"/>
      <c r="C339" s="15" t="n"/>
      <c r="D339" s="15" t="n"/>
      <c r="E339" s="15" t="n"/>
      <c r="F339" s="16" t="n"/>
      <c r="G339" s="16" t="n"/>
      <c r="H339" s="16" t="n"/>
      <c r="I339" s="15" t="n"/>
      <c r="J339" s="15" t="n"/>
      <c r="K339" s="15" t="n"/>
      <c r="L339" s="15" t="n"/>
      <c r="M339" s="15">
        <f>IF(G339="","",MAX(0,IF(H339&lt;&gt;"",H339-G339,IF(I339="Completed",0,TODAY()-G339))))</f>
        <v/>
      </c>
      <c r="N339" s="15" t="n"/>
    </row>
    <row r="340">
      <c r="A340" s="15" t="n"/>
      <c r="B340" s="15" t="n"/>
      <c r="C340" s="15" t="n"/>
      <c r="D340" s="15" t="n"/>
      <c r="E340" s="15" t="n"/>
      <c r="F340" s="16" t="n"/>
      <c r="G340" s="16" t="n"/>
      <c r="H340" s="16" t="n"/>
      <c r="I340" s="15" t="n"/>
      <c r="J340" s="15" t="n"/>
      <c r="K340" s="15" t="n"/>
      <c r="L340" s="15" t="n"/>
      <c r="M340" s="15">
        <f>IF(G340="","",MAX(0,IF(H340&lt;&gt;"",H340-G340,IF(I340="Completed",0,TODAY()-G340))))</f>
        <v/>
      </c>
      <c r="N340" s="15" t="n"/>
    </row>
    <row r="341">
      <c r="A341" s="15" t="n"/>
      <c r="B341" s="15" t="n"/>
      <c r="C341" s="15" t="n"/>
      <c r="D341" s="15" t="n"/>
      <c r="E341" s="15" t="n"/>
      <c r="F341" s="16" t="n"/>
      <c r="G341" s="16" t="n"/>
      <c r="H341" s="16" t="n"/>
      <c r="I341" s="15" t="n"/>
      <c r="J341" s="15" t="n"/>
      <c r="K341" s="15" t="n"/>
      <c r="L341" s="15" t="n"/>
      <c r="M341" s="15">
        <f>IF(G341="","",MAX(0,IF(H341&lt;&gt;"",H341-G341,IF(I341="Completed",0,TODAY()-G341))))</f>
        <v/>
      </c>
      <c r="N341" s="15" t="n"/>
    </row>
    <row r="342">
      <c r="A342" s="15" t="n"/>
      <c r="B342" s="15" t="n"/>
      <c r="C342" s="15" t="n"/>
      <c r="D342" s="15" t="n"/>
      <c r="E342" s="15" t="n"/>
      <c r="F342" s="16" t="n"/>
      <c r="G342" s="16" t="n"/>
      <c r="H342" s="16" t="n"/>
      <c r="I342" s="15" t="n"/>
      <c r="J342" s="15" t="n"/>
      <c r="K342" s="15" t="n"/>
      <c r="L342" s="15" t="n"/>
      <c r="M342" s="15">
        <f>IF(G342="","",MAX(0,IF(H342&lt;&gt;"",H342-G342,IF(I342="Completed",0,TODAY()-G342))))</f>
        <v/>
      </c>
      <c r="N342" s="15" t="n"/>
    </row>
    <row r="343">
      <c r="A343" s="15" t="n"/>
      <c r="B343" s="15" t="n"/>
      <c r="C343" s="15" t="n"/>
      <c r="D343" s="15" t="n"/>
      <c r="E343" s="15" t="n"/>
      <c r="F343" s="16" t="n"/>
      <c r="G343" s="16" t="n"/>
      <c r="H343" s="16" t="n"/>
      <c r="I343" s="15" t="n"/>
      <c r="J343" s="15" t="n"/>
      <c r="K343" s="15" t="n"/>
      <c r="L343" s="15" t="n"/>
      <c r="M343" s="15">
        <f>IF(G343="","",MAX(0,IF(H343&lt;&gt;"",H343-G343,IF(I343="Completed",0,TODAY()-G343))))</f>
        <v/>
      </c>
      <c r="N343" s="15" t="n"/>
    </row>
    <row r="344">
      <c r="A344" s="15" t="n"/>
      <c r="B344" s="15" t="n"/>
      <c r="C344" s="15" t="n"/>
      <c r="D344" s="15" t="n"/>
      <c r="E344" s="15" t="n"/>
      <c r="F344" s="16" t="n"/>
      <c r="G344" s="16" t="n"/>
      <c r="H344" s="16" t="n"/>
      <c r="I344" s="15" t="n"/>
      <c r="J344" s="15" t="n"/>
      <c r="K344" s="15" t="n"/>
      <c r="L344" s="15" t="n"/>
      <c r="M344" s="15">
        <f>IF(G344="","",MAX(0,IF(H344&lt;&gt;"",H344-G344,IF(I344="Completed",0,TODAY()-G344))))</f>
        <v/>
      </c>
      <c r="N344" s="15" t="n"/>
    </row>
    <row r="345">
      <c r="A345" s="15" t="n"/>
      <c r="B345" s="15" t="n"/>
      <c r="C345" s="15" t="n"/>
      <c r="D345" s="15" t="n"/>
      <c r="E345" s="15" t="n"/>
      <c r="F345" s="16" t="n"/>
      <c r="G345" s="16" t="n"/>
      <c r="H345" s="16" t="n"/>
      <c r="I345" s="15" t="n"/>
      <c r="J345" s="15" t="n"/>
      <c r="K345" s="15" t="n"/>
      <c r="L345" s="15" t="n"/>
      <c r="M345" s="15">
        <f>IF(G345="","",MAX(0,IF(H345&lt;&gt;"",H345-G345,IF(I345="Completed",0,TODAY()-G345))))</f>
        <v/>
      </c>
      <c r="N345" s="15" t="n"/>
    </row>
    <row r="346">
      <c r="A346" s="15" t="n"/>
      <c r="B346" s="15" t="n"/>
      <c r="C346" s="15" t="n"/>
      <c r="D346" s="15" t="n"/>
      <c r="E346" s="15" t="n"/>
      <c r="F346" s="16" t="n"/>
      <c r="G346" s="16" t="n"/>
      <c r="H346" s="16" t="n"/>
      <c r="I346" s="15" t="n"/>
      <c r="J346" s="15" t="n"/>
      <c r="K346" s="15" t="n"/>
      <c r="L346" s="15" t="n"/>
      <c r="M346" s="15">
        <f>IF(G346="","",MAX(0,IF(H346&lt;&gt;"",H346-G346,IF(I346="Completed",0,TODAY()-G346))))</f>
        <v/>
      </c>
      <c r="N346" s="15" t="n"/>
    </row>
    <row r="347">
      <c r="A347" s="15" t="n"/>
      <c r="B347" s="15" t="n"/>
      <c r="C347" s="15" t="n"/>
      <c r="D347" s="15" t="n"/>
      <c r="E347" s="15" t="n"/>
      <c r="F347" s="16" t="n"/>
      <c r="G347" s="16" t="n"/>
      <c r="H347" s="16" t="n"/>
      <c r="I347" s="15" t="n"/>
      <c r="J347" s="15" t="n"/>
      <c r="K347" s="15" t="n"/>
      <c r="L347" s="15" t="n"/>
      <c r="M347" s="15">
        <f>IF(G347="","",MAX(0,IF(H347&lt;&gt;"",H347-G347,IF(I347="Completed",0,TODAY()-G347))))</f>
        <v/>
      </c>
      <c r="N347" s="15" t="n"/>
    </row>
    <row r="348">
      <c r="A348" s="15" t="n"/>
      <c r="B348" s="15" t="n"/>
      <c r="C348" s="15" t="n"/>
      <c r="D348" s="15" t="n"/>
      <c r="E348" s="15" t="n"/>
      <c r="F348" s="16" t="n"/>
      <c r="G348" s="16" t="n"/>
      <c r="H348" s="16" t="n"/>
      <c r="I348" s="15" t="n"/>
      <c r="J348" s="15" t="n"/>
      <c r="K348" s="15" t="n"/>
      <c r="L348" s="15" t="n"/>
      <c r="M348" s="15">
        <f>IF(G348="","",MAX(0,IF(H348&lt;&gt;"",H348-G348,IF(I348="Completed",0,TODAY()-G348))))</f>
        <v/>
      </c>
      <c r="N348" s="15" t="n"/>
    </row>
    <row r="349">
      <c r="A349" s="15" t="n"/>
      <c r="B349" s="15" t="n"/>
      <c r="C349" s="15" t="n"/>
      <c r="D349" s="15" t="n"/>
      <c r="E349" s="15" t="n"/>
      <c r="F349" s="16" t="n"/>
      <c r="G349" s="16" t="n"/>
      <c r="H349" s="16" t="n"/>
      <c r="I349" s="15" t="n"/>
      <c r="J349" s="15" t="n"/>
      <c r="K349" s="15" t="n"/>
      <c r="L349" s="15" t="n"/>
      <c r="M349" s="15">
        <f>IF(G349="","",MAX(0,IF(H349&lt;&gt;"",H349-G349,IF(I349="Completed",0,TODAY()-G349))))</f>
        <v/>
      </c>
      <c r="N349" s="15" t="n"/>
    </row>
    <row r="350">
      <c r="A350" s="15" t="n"/>
      <c r="B350" s="15" t="n"/>
      <c r="C350" s="15" t="n"/>
      <c r="D350" s="15" t="n"/>
      <c r="E350" s="15" t="n"/>
      <c r="F350" s="16" t="n"/>
      <c r="G350" s="16" t="n"/>
      <c r="H350" s="16" t="n"/>
      <c r="I350" s="15" t="n"/>
      <c r="J350" s="15" t="n"/>
      <c r="K350" s="15" t="n"/>
      <c r="L350" s="15" t="n"/>
      <c r="M350" s="15">
        <f>IF(G350="","",MAX(0,IF(H350&lt;&gt;"",H350-G350,IF(I350="Completed",0,TODAY()-G350))))</f>
        <v/>
      </c>
      <c r="N350" s="15" t="n"/>
    </row>
    <row r="351">
      <c r="A351" s="15" t="n"/>
      <c r="B351" s="15" t="n"/>
      <c r="C351" s="15" t="n"/>
      <c r="D351" s="15" t="n"/>
      <c r="E351" s="15" t="n"/>
      <c r="F351" s="16" t="n"/>
      <c r="G351" s="16" t="n"/>
      <c r="H351" s="16" t="n"/>
      <c r="I351" s="15" t="n"/>
      <c r="J351" s="15" t="n"/>
      <c r="K351" s="15" t="n"/>
      <c r="L351" s="15" t="n"/>
      <c r="M351" s="15">
        <f>IF(G351="","",MAX(0,IF(H351&lt;&gt;"",H351-G351,IF(I351="Completed",0,TODAY()-G351))))</f>
        <v/>
      </c>
      <c r="N351" s="15" t="n"/>
    </row>
    <row r="352">
      <c r="A352" s="15" t="n"/>
      <c r="B352" s="15" t="n"/>
      <c r="C352" s="15" t="n"/>
      <c r="D352" s="15" t="n"/>
      <c r="E352" s="15" t="n"/>
      <c r="F352" s="16" t="n"/>
      <c r="G352" s="16" t="n"/>
      <c r="H352" s="16" t="n"/>
      <c r="I352" s="15" t="n"/>
      <c r="J352" s="15" t="n"/>
      <c r="K352" s="15" t="n"/>
      <c r="L352" s="15" t="n"/>
      <c r="M352" s="15">
        <f>IF(G352="","",MAX(0,IF(H352&lt;&gt;"",H352-G352,IF(I352="Completed",0,TODAY()-G352))))</f>
        <v/>
      </c>
      <c r="N352" s="15" t="n"/>
    </row>
    <row r="353">
      <c r="A353" s="15" t="n"/>
      <c r="B353" s="15" t="n"/>
      <c r="C353" s="15" t="n"/>
      <c r="D353" s="15" t="n"/>
      <c r="E353" s="15" t="n"/>
      <c r="F353" s="16" t="n"/>
      <c r="G353" s="16" t="n"/>
      <c r="H353" s="16" t="n"/>
      <c r="I353" s="15" t="n"/>
      <c r="J353" s="15" t="n"/>
      <c r="K353" s="15" t="n"/>
      <c r="L353" s="15" t="n"/>
      <c r="M353" s="15">
        <f>IF(G353="","",MAX(0,IF(H353&lt;&gt;"",H353-G353,IF(I353="Completed",0,TODAY()-G353))))</f>
        <v/>
      </c>
      <c r="N353" s="15" t="n"/>
    </row>
    <row r="354">
      <c r="A354" s="15" t="n"/>
      <c r="B354" s="15" t="n"/>
      <c r="C354" s="15" t="n"/>
      <c r="D354" s="15" t="n"/>
      <c r="E354" s="15" t="n"/>
      <c r="F354" s="16" t="n"/>
      <c r="G354" s="16" t="n"/>
      <c r="H354" s="16" t="n"/>
      <c r="I354" s="15" t="n"/>
      <c r="J354" s="15" t="n"/>
      <c r="K354" s="15" t="n"/>
      <c r="L354" s="15" t="n"/>
      <c r="M354" s="15">
        <f>IF(G354="","",MAX(0,IF(H354&lt;&gt;"",H354-G354,IF(I354="Completed",0,TODAY()-G354))))</f>
        <v/>
      </c>
      <c r="N354" s="15" t="n"/>
    </row>
    <row r="355">
      <c r="A355" s="15" t="n"/>
      <c r="B355" s="15" t="n"/>
      <c r="C355" s="15" t="n"/>
      <c r="D355" s="15" t="n"/>
      <c r="E355" s="15" t="n"/>
      <c r="F355" s="16" t="n"/>
      <c r="G355" s="16" t="n"/>
      <c r="H355" s="16" t="n"/>
      <c r="I355" s="15" t="n"/>
      <c r="J355" s="15" t="n"/>
      <c r="K355" s="15" t="n"/>
      <c r="L355" s="15" t="n"/>
      <c r="M355" s="15">
        <f>IF(G355="","",MAX(0,IF(H355&lt;&gt;"",H355-G355,IF(I355="Completed",0,TODAY()-G355))))</f>
        <v/>
      </c>
      <c r="N355" s="15" t="n"/>
    </row>
    <row r="356">
      <c r="A356" s="15" t="n"/>
      <c r="B356" s="15" t="n"/>
      <c r="C356" s="15" t="n"/>
      <c r="D356" s="15" t="n"/>
      <c r="E356" s="15" t="n"/>
      <c r="F356" s="16" t="n"/>
      <c r="G356" s="16" t="n"/>
      <c r="H356" s="16" t="n"/>
      <c r="I356" s="15" t="n"/>
      <c r="J356" s="15" t="n"/>
      <c r="K356" s="15" t="n"/>
      <c r="L356" s="15" t="n"/>
      <c r="M356" s="15">
        <f>IF(G356="","",MAX(0,IF(H356&lt;&gt;"",H356-G356,IF(I356="Completed",0,TODAY()-G356))))</f>
        <v/>
      </c>
      <c r="N356" s="15" t="n"/>
    </row>
    <row r="357">
      <c r="A357" s="15" t="n"/>
      <c r="B357" s="15" t="n"/>
      <c r="C357" s="15" t="n"/>
      <c r="D357" s="15" t="n"/>
      <c r="E357" s="15" t="n"/>
      <c r="F357" s="16" t="n"/>
      <c r="G357" s="16" t="n"/>
      <c r="H357" s="16" t="n"/>
      <c r="I357" s="15" t="n"/>
      <c r="J357" s="15" t="n"/>
      <c r="K357" s="15" t="n"/>
      <c r="L357" s="15" t="n"/>
      <c r="M357" s="15">
        <f>IF(G357="","",MAX(0,IF(H357&lt;&gt;"",H357-G357,IF(I357="Completed",0,TODAY()-G357))))</f>
        <v/>
      </c>
      <c r="N357" s="15" t="n"/>
    </row>
    <row r="358">
      <c r="A358" s="15" t="n"/>
      <c r="B358" s="15" t="n"/>
      <c r="C358" s="15" t="n"/>
      <c r="D358" s="15" t="n"/>
      <c r="E358" s="15" t="n"/>
      <c r="F358" s="16" t="n"/>
      <c r="G358" s="16" t="n"/>
      <c r="H358" s="16" t="n"/>
      <c r="I358" s="15" t="n"/>
      <c r="J358" s="15" t="n"/>
      <c r="K358" s="15" t="n"/>
      <c r="L358" s="15" t="n"/>
      <c r="M358" s="15">
        <f>IF(G358="","",MAX(0,IF(H358&lt;&gt;"",H358-G358,IF(I358="Completed",0,TODAY()-G358))))</f>
        <v/>
      </c>
      <c r="N358" s="15" t="n"/>
    </row>
    <row r="359">
      <c r="A359" s="15" t="n"/>
      <c r="B359" s="15" t="n"/>
      <c r="C359" s="15" t="n"/>
      <c r="D359" s="15" t="n"/>
      <c r="E359" s="15" t="n"/>
      <c r="F359" s="16" t="n"/>
      <c r="G359" s="16" t="n"/>
      <c r="H359" s="16" t="n"/>
      <c r="I359" s="15" t="n"/>
      <c r="J359" s="15" t="n"/>
      <c r="K359" s="15" t="n"/>
      <c r="L359" s="15" t="n"/>
      <c r="M359" s="15">
        <f>IF(G359="","",MAX(0,IF(H359&lt;&gt;"",H359-G359,IF(I359="Completed",0,TODAY()-G359))))</f>
        <v/>
      </c>
      <c r="N359" s="15" t="n"/>
    </row>
    <row r="360">
      <c r="A360" s="15" t="n"/>
      <c r="B360" s="15" t="n"/>
      <c r="C360" s="15" t="n"/>
      <c r="D360" s="15" t="n"/>
      <c r="E360" s="15" t="n"/>
      <c r="F360" s="16" t="n"/>
      <c r="G360" s="16" t="n"/>
      <c r="H360" s="16" t="n"/>
      <c r="I360" s="15" t="n"/>
      <c r="J360" s="15" t="n"/>
      <c r="K360" s="15" t="n"/>
      <c r="L360" s="15" t="n"/>
      <c r="M360" s="15">
        <f>IF(G360="","",MAX(0,IF(H360&lt;&gt;"",H360-G360,IF(I360="Completed",0,TODAY()-G360))))</f>
        <v/>
      </c>
      <c r="N360" s="15" t="n"/>
    </row>
    <row r="361">
      <c r="A361" s="15" t="n"/>
      <c r="B361" s="15" t="n"/>
      <c r="C361" s="15" t="n"/>
      <c r="D361" s="15" t="n"/>
      <c r="E361" s="15" t="n"/>
      <c r="F361" s="16" t="n"/>
      <c r="G361" s="16" t="n"/>
      <c r="H361" s="16" t="n"/>
      <c r="I361" s="15" t="n"/>
      <c r="J361" s="15" t="n"/>
      <c r="K361" s="15" t="n"/>
      <c r="L361" s="15" t="n"/>
      <c r="M361" s="15">
        <f>IF(G361="","",MAX(0,IF(H361&lt;&gt;"",H361-G361,IF(I361="Completed",0,TODAY()-G361))))</f>
        <v/>
      </c>
      <c r="N361" s="15" t="n"/>
    </row>
    <row r="362">
      <c r="A362" s="15" t="n"/>
      <c r="B362" s="15" t="n"/>
      <c r="C362" s="15" t="n"/>
      <c r="D362" s="15" t="n"/>
      <c r="E362" s="15" t="n"/>
      <c r="F362" s="16" t="n"/>
      <c r="G362" s="16" t="n"/>
      <c r="H362" s="16" t="n"/>
      <c r="I362" s="15" t="n"/>
      <c r="J362" s="15" t="n"/>
      <c r="K362" s="15" t="n"/>
      <c r="L362" s="15" t="n"/>
      <c r="M362" s="15">
        <f>IF(G362="","",MAX(0,IF(H362&lt;&gt;"",H362-G362,IF(I362="Completed",0,TODAY()-G362))))</f>
        <v/>
      </c>
      <c r="N362" s="15" t="n"/>
    </row>
    <row r="363">
      <c r="A363" s="15" t="n"/>
      <c r="B363" s="15" t="n"/>
      <c r="C363" s="15" t="n"/>
      <c r="D363" s="15" t="n"/>
      <c r="E363" s="15" t="n"/>
      <c r="F363" s="16" t="n"/>
      <c r="G363" s="16" t="n"/>
      <c r="H363" s="16" t="n"/>
      <c r="I363" s="15" t="n"/>
      <c r="J363" s="15" t="n"/>
      <c r="K363" s="15" t="n"/>
      <c r="L363" s="15" t="n"/>
      <c r="M363" s="15">
        <f>IF(G363="","",MAX(0,IF(H363&lt;&gt;"",H363-G363,IF(I363="Completed",0,TODAY()-G363))))</f>
        <v/>
      </c>
      <c r="N363" s="15" t="n"/>
    </row>
    <row r="364">
      <c r="A364" s="15" t="n"/>
      <c r="B364" s="15" t="n"/>
      <c r="C364" s="15" t="n"/>
      <c r="D364" s="15" t="n"/>
      <c r="E364" s="15" t="n"/>
      <c r="F364" s="16" t="n"/>
      <c r="G364" s="16" t="n"/>
      <c r="H364" s="16" t="n"/>
      <c r="I364" s="15" t="n"/>
      <c r="J364" s="15" t="n"/>
      <c r="K364" s="15" t="n"/>
      <c r="L364" s="15" t="n"/>
      <c r="M364" s="15">
        <f>IF(G364="","",MAX(0,IF(H364&lt;&gt;"",H364-G364,IF(I364="Completed",0,TODAY()-G364))))</f>
        <v/>
      </c>
      <c r="N364" s="15" t="n"/>
    </row>
    <row r="365">
      <c r="A365" s="15" t="n"/>
      <c r="B365" s="15" t="n"/>
      <c r="C365" s="15" t="n"/>
      <c r="D365" s="15" t="n"/>
      <c r="E365" s="15" t="n"/>
      <c r="F365" s="16" t="n"/>
      <c r="G365" s="16" t="n"/>
      <c r="H365" s="16" t="n"/>
      <c r="I365" s="15" t="n"/>
      <c r="J365" s="15" t="n"/>
      <c r="K365" s="15" t="n"/>
      <c r="L365" s="15" t="n"/>
      <c r="M365" s="15">
        <f>IF(G365="","",MAX(0,IF(H365&lt;&gt;"",H365-G365,IF(I365="Completed",0,TODAY()-G365))))</f>
        <v/>
      </c>
      <c r="N365" s="15" t="n"/>
    </row>
    <row r="366">
      <c r="A366" s="15" t="n"/>
      <c r="B366" s="15" t="n"/>
      <c r="C366" s="15" t="n"/>
      <c r="D366" s="15" t="n"/>
      <c r="E366" s="15" t="n"/>
      <c r="F366" s="16" t="n"/>
      <c r="G366" s="16" t="n"/>
      <c r="H366" s="16" t="n"/>
      <c r="I366" s="15" t="n"/>
      <c r="J366" s="15" t="n"/>
      <c r="K366" s="15" t="n"/>
      <c r="L366" s="15" t="n"/>
      <c r="M366" s="15">
        <f>IF(G366="","",MAX(0,IF(H366&lt;&gt;"",H366-G366,IF(I366="Completed",0,TODAY()-G366))))</f>
        <v/>
      </c>
      <c r="N366" s="15" t="n"/>
    </row>
    <row r="367">
      <c r="A367" s="15" t="n"/>
      <c r="B367" s="15" t="n"/>
      <c r="C367" s="15" t="n"/>
      <c r="D367" s="15" t="n"/>
      <c r="E367" s="15" t="n"/>
      <c r="F367" s="16" t="n"/>
      <c r="G367" s="16" t="n"/>
      <c r="H367" s="16" t="n"/>
      <c r="I367" s="15" t="n"/>
      <c r="J367" s="15" t="n"/>
      <c r="K367" s="15" t="n"/>
      <c r="L367" s="15" t="n"/>
      <c r="M367" s="15">
        <f>IF(G367="","",MAX(0,IF(H367&lt;&gt;"",H367-G367,IF(I367="Completed",0,TODAY()-G367))))</f>
        <v/>
      </c>
      <c r="N367" s="15" t="n"/>
    </row>
    <row r="368">
      <c r="A368" s="15" t="n"/>
      <c r="B368" s="15" t="n"/>
      <c r="C368" s="15" t="n"/>
      <c r="D368" s="15" t="n"/>
      <c r="E368" s="15" t="n"/>
      <c r="F368" s="16" t="n"/>
      <c r="G368" s="16" t="n"/>
      <c r="H368" s="16" t="n"/>
      <c r="I368" s="15" t="n"/>
      <c r="J368" s="15" t="n"/>
      <c r="K368" s="15" t="n"/>
      <c r="L368" s="15" t="n"/>
      <c r="M368" s="15">
        <f>IF(G368="","",MAX(0,IF(H368&lt;&gt;"",H368-G368,IF(I368="Completed",0,TODAY()-G368))))</f>
        <v/>
      </c>
      <c r="N368" s="15" t="n"/>
    </row>
    <row r="369">
      <c r="A369" s="15" t="n"/>
      <c r="B369" s="15" t="n"/>
      <c r="C369" s="15" t="n"/>
      <c r="D369" s="15" t="n"/>
      <c r="E369" s="15" t="n"/>
      <c r="F369" s="16" t="n"/>
      <c r="G369" s="16" t="n"/>
      <c r="H369" s="16" t="n"/>
      <c r="I369" s="15" t="n"/>
      <c r="J369" s="15" t="n"/>
      <c r="K369" s="15" t="n"/>
      <c r="L369" s="15" t="n"/>
      <c r="M369" s="15">
        <f>IF(G369="","",MAX(0,IF(H369&lt;&gt;"",H369-G369,IF(I369="Completed",0,TODAY()-G369))))</f>
        <v/>
      </c>
      <c r="N369" s="15" t="n"/>
    </row>
    <row r="370">
      <c r="A370" s="15" t="n"/>
      <c r="B370" s="15" t="n"/>
      <c r="C370" s="15" t="n"/>
      <c r="D370" s="15" t="n"/>
      <c r="E370" s="15" t="n"/>
      <c r="F370" s="16" t="n"/>
      <c r="G370" s="16" t="n"/>
      <c r="H370" s="16" t="n"/>
      <c r="I370" s="15" t="n"/>
      <c r="J370" s="15" t="n"/>
      <c r="K370" s="15" t="n"/>
      <c r="L370" s="15" t="n"/>
      <c r="M370" s="15">
        <f>IF(G370="","",MAX(0,IF(H370&lt;&gt;"",H370-G370,IF(I370="Completed",0,TODAY()-G370))))</f>
        <v/>
      </c>
      <c r="N370" s="15" t="n"/>
    </row>
    <row r="371">
      <c r="A371" s="15" t="n"/>
      <c r="B371" s="15" t="n"/>
      <c r="C371" s="15" t="n"/>
      <c r="D371" s="15" t="n"/>
      <c r="E371" s="15" t="n"/>
      <c r="F371" s="16" t="n"/>
      <c r="G371" s="16" t="n"/>
      <c r="H371" s="16" t="n"/>
      <c r="I371" s="15" t="n"/>
      <c r="J371" s="15" t="n"/>
      <c r="K371" s="15" t="n"/>
      <c r="L371" s="15" t="n"/>
      <c r="M371" s="15">
        <f>IF(G371="","",MAX(0,IF(H371&lt;&gt;"",H371-G371,IF(I371="Completed",0,TODAY()-G371))))</f>
        <v/>
      </c>
      <c r="N371" s="15" t="n"/>
    </row>
    <row r="372">
      <c r="A372" s="15" t="n"/>
      <c r="B372" s="15" t="n"/>
      <c r="C372" s="15" t="n"/>
      <c r="D372" s="15" t="n"/>
      <c r="E372" s="15" t="n"/>
      <c r="F372" s="16" t="n"/>
      <c r="G372" s="16" t="n"/>
      <c r="H372" s="16" t="n"/>
      <c r="I372" s="15" t="n"/>
      <c r="J372" s="15" t="n"/>
      <c r="K372" s="15" t="n"/>
      <c r="L372" s="15" t="n"/>
      <c r="M372" s="15">
        <f>IF(G372="","",MAX(0,IF(H372&lt;&gt;"",H372-G372,IF(I372="Completed",0,TODAY()-G372))))</f>
        <v/>
      </c>
      <c r="N372" s="15" t="n"/>
    </row>
    <row r="373">
      <c r="A373" s="15" t="n"/>
      <c r="B373" s="15" t="n"/>
      <c r="C373" s="15" t="n"/>
      <c r="D373" s="15" t="n"/>
      <c r="E373" s="15" t="n"/>
      <c r="F373" s="16" t="n"/>
      <c r="G373" s="16" t="n"/>
      <c r="H373" s="16" t="n"/>
      <c r="I373" s="15" t="n"/>
      <c r="J373" s="15" t="n"/>
      <c r="K373" s="15" t="n"/>
      <c r="L373" s="15" t="n"/>
      <c r="M373" s="15">
        <f>IF(G373="","",MAX(0,IF(H373&lt;&gt;"",H373-G373,IF(I373="Completed",0,TODAY()-G373))))</f>
        <v/>
      </c>
      <c r="N373" s="15" t="n"/>
    </row>
    <row r="374">
      <c r="A374" s="15" t="n"/>
      <c r="B374" s="15" t="n"/>
      <c r="C374" s="15" t="n"/>
      <c r="D374" s="15" t="n"/>
      <c r="E374" s="15" t="n"/>
      <c r="F374" s="16" t="n"/>
      <c r="G374" s="16" t="n"/>
      <c r="H374" s="16" t="n"/>
      <c r="I374" s="15" t="n"/>
      <c r="J374" s="15" t="n"/>
      <c r="K374" s="15" t="n"/>
      <c r="L374" s="15" t="n"/>
      <c r="M374" s="15">
        <f>IF(G374="","",MAX(0,IF(H374&lt;&gt;"",H374-G374,IF(I374="Completed",0,TODAY()-G374))))</f>
        <v/>
      </c>
      <c r="N374" s="15" t="n"/>
    </row>
    <row r="375">
      <c r="A375" s="15" t="n"/>
      <c r="B375" s="15" t="n"/>
      <c r="C375" s="15" t="n"/>
      <c r="D375" s="15" t="n"/>
      <c r="E375" s="15" t="n"/>
      <c r="F375" s="16" t="n"/>
      <c r="G375" s="16" t="n"/>
      <c r="H375" s="16" t="n"/>
      <c r="I375" s="15" t="n"/>
      <c r="J375" s="15" t="n"/>
      <c r="K375" s="15" t="n"/>
      <c r="L375" s="15" t="n"/>
      <c r="M375" s="15">
        <f>IF(G375="","",MAX(0,IF(H375&lt;&gt;"",H375-G375,IF(I375="Completed",0,TODAY()-G375))))</f>
        <v/>
      </c>
      <c r="N375" s="15" t="n"/>
    </row>
    <row r="376">
      <c r="A376" s="15" t="n"/>
      <c r="B376" s="15" t="n"/>
      <c r="C376" s="15" t="n"/>
      <c r="D376" s="15" t="n"/>
      <c r="E376" s="15" t="n"/>
      <c r="F376" s="16" t="n"/>
      <c r="G376" s="16" t="n"/>
      <c r="H376" s="16" t="n"/>
      <c r="I376" s="15" t="n"/>
      <c r="J376" s="15" t="n"/>
      <c r="K376" s="15" t="n"/>
      <c r="L376" s="15" t="n"/>
      <c r="M376" s="15">
        <f>IF(G376="","",MAX(0,IF(H376&lt;&gt;"",H376-G376,IF(I376="Completed",0,TODAY()-G376))))</f>
        <v/>
      </c>
      <c r="N376" s="15" t="n"/>
    </row>
    <row r="377">
      <c r="A377" s="15" t="n"/>
      <c r="B377" s="15" t="n"/>
      <c r="C377" s="15" t="n"/>
      <c r="D377" s="15" t="n"/>
      <c r="E377" s="15" t="n"/>
      <c r="F377" s="16" t="n"/>
      <c r="G377" s="16" t="n"/>
      <c r="H377" s="16" t="n"/>
      <c r="I377" s="15" t="n"/>
      <c r="J377" s="15" t="n"/>
      <c r="K377" s="15" t="n"/>
      <c r="L377" s="15" t="n"/>
      <c r="M377" s="15">
        <f>IF(G377="","",MAX(0,IF(H377&lt;&gt;"",H377-G377,IF(I377="Completed",0,TODAY()-G377))))</f>
        <v/>
      </c>
      <c r="N377" s="15" t="n"/>
    </row>
    <row r="378">
      <c r="A378" s="15" t="n"/>
      <c r="B378" s="15" t="n"/>
      <c r="C378" s="15" t="n"/>
      <c r="D378" s="15" t="n"/>
      <c r="E378" s="15" t="n"/>
      <c r="F378" s="16" t="n"/>
      <c r="G378" s="16" t="n"/>
      <c r="H378" s="16" t="n"/>
      <c r="I378" s="15" t="n"/>
      <c r="J378" s="15" t="n"/>
      <c r="K378" s="15" t="n"/>
      <c r="L378" s="15" t="n"/>
      <c r="M378" s="15">
        <f>IF(G378="","",MAX(0,IF(H378&lt;&gt;"",H378-G378,IF(I378="Completed",0,TODAY()-G378))))</f>
        <v/>
      </c>
      <c r="N378" s="15" t="n"/>
    </row>
    <row r="379">
      <c r="A379" s="15" t="n"/>
      <c r="B379" s="15" t="n"/>
      <c r="C379" s="15" t="n"/>
      <c r="D379" s="15" t="n"/>
      <c r="E379" s="15" t="n"/>
      <c r="F379" s="16" t="n"/>
      <c r="G379" s="16" t="n"/>
      <c r="H379" s="16" t="n"/>
      <c r="I379" s="15" t="n"/>
      <c r="J379" s="15" t="n"/>
      <c r="K379" s="15" t="n"/>
      <c r="L379" s="15" t="n"/>
      <c r="M379" s="15">
        <f>IF(G379="","",MAX(0,IF(H379&lt;&gt;"",H379-G379,IF(I379="Completed",0,TODAY()-G379))))</f>
        <v/>
      </c>
      <c r="N379" s="15" t="n"/>
    </row>
    <row r="380">
      <c r="A380" s="15" t="n"/>
      <c r="B380" s="15" t="n"/>
      <c r="C380" s="15" t="n"/>
      <c r="D380" s="15" t="n"/>
      <c r="E380" s="15" t="n"/>
      <c r="F380" s="16" t="n"/>
      <c r="G380" s="16" t="n"/>
      <c r="H380" s="16" t="n"/>
      <c r="I380" s="15" t="n"/>
      <c r="J380" s="15" t="n"/>
      <c r="K380" s="15" t="n"/>
      <c r="L380" s="15" t="n"/>
      <c r="M380" s="15">
        <f>IF(G380="","",MAX(0,IF(H380&lt;&gt;"",H380-G380,IF(I380="Completed",0,TODAY()-G380))))</f>
        <v/>
      </c>
      <c r="N380" s="15" t="n"/>
    </row>
    <row r="381">
      <c r="A381" s="15" t="n"/>
      <c r="B381" s="15" t="n"/>
      <c r="C381" s="15" t="n"/>
      <c r="D381" s="15" t="n"/>
      <c r="E381" s="15" t="n"/>
      <c r="F381" s="16" t="n"/>
      <c r="G381" s="16" t="n"/>
      <c r="H381" s="16" t="n"/>
      <c r="I381" s="15" t="n"/>
      <c r="J381" s="15" t="n"/>
      <c r="K381" s="15" t="n"/>
      <c r="L381" s="15" t="n"/>
      <c r="M381" s="15">
        <f>IF(G381="","",MAX(0,IF(H381&lt;&gt;"",H381-G381,IF(I381="Completed",0,TODAY()-G381))))</f>
        <v/>
      </c>
      <c r="N381" s="15" t="n"/>
    </row>
    <row r="382">
      <c r="A382" s="15" t="n"/>
      <c r="B382" s="15" t="n"/>
      <c r="C382" s="15" t="n"/>
      <c r="D382" s="15" t="n"/>
      <c r="E382" s="15" t="n"/>
      <c r="F382" s="16" t="n"/>
      <c r="G382" s="16" t="n"/>
      <c r="H382" s="16" t="n"/>
      <c r="I382" s="15" t="n"/>
      <c r="J382" s="15" t="n"/>
      <c r="K382" s="15" t="n"/>
      <c r="L382" s="15" t="n"/>
      <c r="M382" s="15">
        <f>IF(G382="","",MAX(0,IF(H382&lt;&gt;"",H382-G382,IF(I382="Completed",0,TODAY()-G382))))</f>
        <v/>
      </c>
      <c r="N382" s="15" t="n"/>
    </row>
    <row r="383">
      <c r="A383" s="15" t="n"/>
      <c r="B383" s="15" t="n"/>
      <c r="C383" s="15" t="n"/>
      <c r="D383" s="15" t="n"/>
      <c r="E383" s="15" t="n"/>
      <c r="F383" s="16" t="n"/>
      <c r="G383" s="16" t="n"/>
      <c r="H383" s="16" t="n"/>
      <c r="I383" s="15" t="n"/>
      <c r="J383" s="15" t="n"/>
      <c r="K383" s="15" t="n"/>
      <c r="L383" s="15" t="n"/>
      <c r="M383" s="15">
        <f>IF(G383="","",MAX(0,IF(H383&lt;&gt;"",H383-G383,IF(I383="Completed",0,TODAY()-G383))))</f>
        <v/>
      </c>
      <c r="N383" s="15" t="n"/>
    </row>
    <row r="384">
      <c r="A384" s="15" t="n"/>
      <c r="B384" s="15" t="n"/>
      <c r="C384" s="15" t="n"/>
      <c r="D384" s="15" t="n"/>
      <c r="E384" s="15" t="n"/>
      <c r="F384" s="16" t="n"/>
      <c r="G384" s="16" t="n"/>
      <c r="H384" s="16" t="n"/>
      <c r="I384" s="15" t="n"/>
      <c r="J384" s="15" t="n"/>
      <c r="K384" s="15" t="n"/>
      <c r="L384" s="15" t="n"/>
      <c r="M384" s="15">
        <f>IF(G384="","",MAX(0,IF(H384&lt;&gt;"",H384-G384,IF(I384="Completed",0,TODAY()-G384))))</f>
        <v/>
      </c>
      <c r="N384" s="15" t="n"/>
    </row>
    <row r="385">
      <c r="A385" s="15" t="n"/>
      <c r="B385" s="15" t="n"/>
      <c r="C385" s="15" t="n"/>
      <c r="D385" s="15" t="n"/>
      <c r="E385" s="15" t="n"/>
      <c r="F385" s="16" t="n"/>
      <c r="G385" s="16" t="n"/>
      <c r="H385" s="16" t="n"/>
      <c r="I385" s="15" t="n"/>
      <c r="J385" s="15" t="n"/>
      <c r="K385" s="15" t="n"/>
      <c r="L385" s="15" t="n"/>
      <c r="M385" s="15">
        <f>IF(G385="","",MAX(0,IF(H385&lt;&gt;"",H385-G385,IF(I385="Completed",0,TODAY()-G385))))</f>
        <v/>
      </c>
      <c r="N385" s="15" t="n"/>
    </row>
    <row r="386">
      <c r="A386" s="15" t="n"/>
      <c r="B386" s="15" t="n"/>
      <c r="C386" s="15" t="n"/>
      <c r="D386" s="15" t="n"/>
      <c r="E386" s="15" t="n"/>
      <c r="F386" s="16" t="n"/>
      <c r="G386" s="16" t="n"/>
      <c r="H386" s="16" t="n"/>
      <c r="I386" s="15" t="n"/>
      <c r="J386" s="15" t="n"/>
      <c r="K386" s="15" t="n"/>
      <c r="L386" s="15" t="n"/>
      <c r="M386" s="15">
        <f>IF(G386="","",MAX(0,IF(H386&lt;&gt;"",H386-G386,IF(I386="Completed",0,TODAY()-G386))))</f>
        <v/>
      </c>
      <c r="N386" s="15" t="n"/>
    </row>
    <row r="387">
      <c r="A387" s="15" t="n"/>
      <c r="B387" s="15" t="n"/>
      <c r="C387" s="15" t="n"/>
      <c r="D387" s="15" t="n"/>
      <c r="E387" s="15" t="n"/>
      <c r="F387" s="16" t="n"/>
      <c r="G387" s="16" t="n"/>
      <c r="H387" s="16" t="n"/>
      <c r="I387" s="15" t="n"/>
      <c r="J387" s="15" t="n"/>
      <c r="K387" s="15" t="n"/>
      <c r="L387" s="15" t="n"/>
      <c r="M387" s="15">
        <f>IF(G387="","",MAX(0,IF(H387&lt;&gt;"",H387-G387,IF(I387="Completed",0,TODAY()-G387))))</f>
        <v/>
      </c>
      <c r="N387" s="15" t="n"/>
    </row>
    <row r="388">
      <c r="A388" s="15" t="n"/>
      <c r="B388" s="15" t="n"/>
      <c r="C388" s="15" t="n"/>
      <c r="D388" s="15" t="n"/>
      <c r="E388" s="15" t="n"/>
      <c r="F388" s="16" t="n"/>
      <c r="G388" s="16" t="n"/>
      <c r="H388" s="16" t="n"/>
      <c r="I388" s="15" t="n"/>
      <c r="J388" s="15" t="n"/>
      <c r="K388" s="15" t="n"/>
      <c r="L388" s="15" t="n"/>
      <c r="M388" s="15">
        <f>IF(G388="","",MAX(0,IF(H388&lt;&gt;"",H388-G388,IF(I388="Completed",0,TODAY()-G388))))</f>
        <v/>
      </c>
      <c r="N388" s="15" t="n"/>
    </row>
    <row r="389">
      <c r="A389" s="15" t="n"/>
      <c r="B389" s="15" t="n"/>
      <c r="C389" s="15" t="n"/>
      <c r="D389" s="15" t="n"/>
      <c r="E389" s="15" t="n"/>
      <c r="F389" s="16" t="n"/>
      <c r="G389" s="16" t="n"/>
      <c r="H389" s="16" t="n"/>
      <c r="I389" s="15" t="n"/>
      <c r="J389" s="15" t="n"/>
      <c r="K389" s="15" t="n"/>
      <c r="L389" s="15" t="n"/>
      <c r="M389" s="15">
        <f>IF(G389="","",MAX(0,IF(H389&lt;&gt;"",H389-G389,IF(I389="Completed",0,TODAY()-G389))))</f>
        <v/>
      </c>
      <c r="N389" s="15" t="n"/>
    </row>
    <row r="390">
      <c r="A390" s="15" t="n"/>
      <c r="B390" s="15" t="n"/>
      <c r="C390" s="15" t="n"/>
      <c r="D390" s="15" t="n"/>
      <c r="E390" s="15" t="n"/>
      <c r="F390" s="16" t="n"/>
      <c r="G390" s="16" t="n"/>
      <c r="H390" s="16" t="n"/>
      <c r="I390" s="15" t="n"/>
      <c r="J390" s="15" t="n"/>
      <c r="K390" s="15" t="n"/>
      <c r="L390" s="15" t="n"/>
      <c r="M390" s="15">
        <f>IF(G390="","",MAX(0,IF(H390&lt;&gt;"",H390-G390,IF(I390="Completed",0,TODAY()-G390))))</f>
        <v/>
      </c>
      <c r="N390" s="15" t="n"/>
    </row>
    <row r="391">
      <c r="A391" s="15" t="n"/>
      <c r="B391" s="15" t="n"/>
      <c r="C391" s="15" t="n"/>
      <c r="D391" s="15" t="n"/>
      <c r="E391" s="15" t="n"/>
      <c r="F391" s="16" t="n"/>
      <c r="G391" s="16" t="n"/>
      <c r="H391" s="16" t="n"/>
      <c r="I391" s="15" t="n"/>
      <c r="J391" s="15" t="n"/>
      <c r="K391" s="15" t="n"/>
      <c r="L391" s="15" t="n"/>
      <c r="M391" s="15">
        <f>IF(G391="","",MAX(0,IF(H391&lt;&gt;"",H391-G391,IF(I391="Completed",0,TODAY()-G391))))</f>
        <v/>
      </c>
      <c r="N391" s="15" t="n"/>
    </row>
    <row r="392">
      <c r="A392" s="15" t="n"/>
      <c r="B392" s="15" t="n"/>
      <c r="C392" s="15" t="n"/>
      <c r="D392" s="15" t="n"/>
      <c r="E392" s="15" t="n"/>
      <c r="F392" s="16" t="n"/>
      <c r="G392" s="16" t="n"/>
      <c r="H392" s="16" t="n"/>
      <c r="I392" s="15" t="n"/>
      <c r="J392" s="15" t="n"/>
      <c r="K392" s="15" t="n"/>
      <c r="L392" s="15" t="n"/>
      <c r="M392" s="15">
        <f>IF(G392="","",MAX(0,IF(H392&lt;&gt;"",H392-G392,IF(I392="Completed",0,TODAY()-G392))))</f>
        <v/>
      </c>
      <c r="N392" s="15" t="n"/>
    </row>
    <row r="393">
      <c r="A393" s="15" t="n"/>
      <c r="B393" s="15" t="n"/>
      <c r="C393" s="15" t="n"/>
      <c r="D393" s="15" t="n"/>
      <c r="E393" s="15" t="n"/>
      <c r="F393" s="16" t="n"/>
      <c r="G393" s="16" t="n"/>
      <c r="H393" s="16" t="n"/>
      <c r="I393" s="15" t="n"/>
      <c r="J393" s="15" t="n"/>
      <c r="K393" s="15" t="n"/>
      <c r="L393" s="15" t="n"/>
      <c r="M393" s="15">
        <f>IF(G393="","",MAX(0,IF(H393&lt;&gt;"",H393-G393,IF(I393="Completed",0,TODAY()-G393))))</f>
        <v/>
      </c>
      <c r="N393" s="15" t="n"/>
    </row>
    <row r="394">
      <c r="A394" s="15" t="n"/>
      <c r="B394" s="15" t="n"/>
      <c r="C394" s="15" t="n"/>
      <c r="D394" s="15" t="n"/>
      <c r="E394" s="15" t="n"/>
      <c r="F394" s="16" t="n"/>
      <c r="G394" s="16" t="n"/>
      <c r="H394" s="16" t="n"/>
      <c r="I394" s="15" t="n"/>
      <c r="J394" s="15" t="n"/>
      <c r="K394" s="15" t="n"/>
      <c r="L394" s="15" t="n"/>
      <c r="M394" s="15">
        <f>IF(G394="","",MAX(0,IF(H394&lt;&gt;"",H394-G394,IF(I394="Completed",0,TODAY()-G394))))</f>
        <v/>
      </c>
      <c r="N394" s="15" t="n"/>
    </row>
    <row r="395">
      <c r="A395" s="15" t="n"/>
      <c r="B395" s="15" t="n"/>
      <c r="C395" s="15" t="n"/>
      <c r="D395" s="15" t="n"/>
      <c r="E395" s="15" t="n"/>
      <c r="F395" s="16" t="n"/>
      <c r="G395" s="16" t="n"/>
      <c r="H395" s="16" t="n"/>
      <c r="I395" s="15" t="n"/>
      <c r="J395" s="15" t="n"/>
      <c r="K395" s="15" t="n"/>
      <c r="L395" s="15" t="n"/>
      <c r="M395" s="15">
        <f>IF(G395="","",MAX(0,IF(H395&lt;&gt;"",H395-G395,IF(I395="Completed",0,TODAY()-G395))))</f>
        <v/>
      </c>
      <c r="N395" s="15" t="n"/>
    </row>
    <row r="396">
      <c r="A396" s="15" t="n"/>
      <c r="B396" s="15" t="n"/>
      <c r="C396" s="15" t="n"/>
      <c r="D396" s="15" t="n"/>
      <c r="E396" s="15" t="n"/>
      <c r="F396" s="16" t="n"/>
      <c r="G396" s="16" t="n"/>
      <c r="H396" s="16" t="n"/>
      <c r="I396" s="15" t="n"/>
      <c r="J396" s="15" t="n"/>
      <c r="K396" s="15" t="n"/>
      <c r="L396" s="15" t="n"/>
      <c r="M396" s="15">
        <f>IF(G396="","",MAX(0,IF(H396&lt;&gt;"",H396-G396,IF(I396="Completed",0,TODAY()-G396))))</f>
        <v/>
      </c>
      <c r="N396" s="15" t="n"/>
    </row>
    <row r="397">
      <c r="A397" s="15" t="n"/>
      <c r="B397" s="15" t="n"/>
      <c r="C397" s="15" t="n"/>
      <c r="D397" s="15" t="n"/>
      <c r="E397" s="15" t="n"/>
      <c r="F397" s="16" t="n"/>
      <c r="G397" s="16" t="n"/>
      <c r="H397" s="16" t="n"/>
      <c r="I397" s="15" t="n"/>
      <c r="J397" s="15" t="n"/>
      <c r="K397" s="15" t="n"/>
      <c r="L397" s="15" t="n"/>
      <c r="M397" s="15">
        <f>IF(G397="","",MAX(0,IF(H397&lt;&gt;"",H397-G397,IF(I397="Completed",0,TODAY()-G397))))</f>
        <v/>
      </c>
      <c r="N397" s="15" t="n"/>
    </row>
    <row r="398">
      <c r="A398" s="15" t="n"/>
      <c r="B398" s="15" t="n"/>
      <c r="C398" s="15" t="n"/>
      <c r="D398" s="15" t="n"/>
      <c r="E398" s="15" t="n"/>
      <c r="F398" s="16" t="n"/>
      <c r="G398" s="16" t="n"/>
      <c r="H398" s="16" t="n"/>
      <c r="I398" s="15" t="n"/>
      <c r="J398" s="15" t="n"/>
      <c r="K398" s="15" t="n"/>
      <c r="L398" s="15" t="n"/>
      <c r="M398" s="15">
        <f>IF(G398="","",MAX(0,IF(H398&lt;&gt;"",H398-G398,IF(I398="Completed",0,TODAY()-G398))))</f>
        <v/>
      </c>
      <c r="N398" s="15" t="n"/>
    </row>
    <row r="399">
      <c r="A399" s="15" t="n"/>
      <c r="B399" s="15" t="n"/>
      <c r="C399" s="15" t="n"/>
      <c r="D399" s="15" t="n"/>
      <c r="E399" s="15" t="n"/>
      <c r="F399" s="16" t="n"/>
      <c r="G399" s="16" t="n"/>
      <c r="H399" s="16" t="n"/>
      <c r="I399" s="15" t="n"/>
      <c r="J399" s="15" t="n"/>
      <c r="K399" s="15" t="n"/>
      <c r="L399" s="15" t="n"/>
      <c r="M399" s="15">
        <f>IF(G399="","",MAX(0,IF(H399&lt;&gt;"",H399-G399,IF(I399="Completed",0,TODAY()-G399))))</f>
        <v/>
      </c>
      <c r="N399" s="15" t="n"/>
    </row>
    <row r="400">
      <c r="A400" s="15" t="n"/>
      <c r="B400" s="15" t="n"/>
      <c r="C400" s="15" t="n"/>
      <c r="D400" s="15" t="n"/>
      <c r="E400" s="15" t="n"/>
      <c r="F400" s="16" t="n"/>
      <c r="G400" s="16" t="n"/>
      <c r="H400" s="16" t="n"/>
      <c r="I400" s="15" t="n"/>
      <c r="J400" s="15" t="n"/>
      <c r="K400" s="15" t="n"/>
      <c r="L400" s="15" t="n"/>
      <c r="M400" s="15">
        <f>IF(G400="","",MAX(0,IF(H400&lt;&gt;"",H400-G400,IF(I400="Completed",0,TODAY()-G400))))</f>
        <v/>
      </c>
      <c r="N400" s="15" t="n"/>
    </row>
    <row r="401">
      <c r="A401" s="15" t="n"/>
      <c r="B401" s="15" t="n"/>
      <c r="C401" s="15" t="n"/>
      <c r="D401" s="15" t="n"/>
      <c r="E401" s="15" t="n"/>
      <c r="F401" s="16" t="n"/>
      <c r="G401" s="16" t="n"/>
      <c r="H401" s="16" t="n"/>
      <c r="I401" s="15" t="n"/>
      <c r="J401" s="15" t="n"/>
      <c r="K401" s="15" t="n"/>
      <c r="L401" s="15" t="n"/>
      <c r="M401" s="15">
        <f>IF(G401="","",MAX(0,IF(H401&lt;&gt;"",H401-G401,IF(I401="Completed",0,TODAY()-G401))))</f>
        <v/>
      </c>
      <c r="N401" s="15" t="n"/>
    </row>
    <row r="402">
      <c r="A402" s="15" t="n"/>
      <c r="B402" s="15" t="n"/>
      <c r="C402" s="15" t="n"/>
      <c r="D402" s="15" t="n"/>
      <c r="E402" s="15" t="n"/>
      <c r="F402" s="16" t="n"/>
      <c r="G402" s="16" t="n"/>
      <c r="H402" s="16" t="n"/>
      <c r="I402" s="15" t="n"/>
      <c r="J402" s="15" t="n"/>
      <c r="K402" s="15" t="n"/>
      <c r="L402" s="15" t="n"/>
      <c r="M402" s="15">
        <f>IF(G402="","",MAX(0,IF(H402&lt;&gt;"",H402-G402,IF(I402="Completed",0,TODAY()-G402))))</f>
        <v/>
      </c>
      <c r="N402" s="15" t="n"/>
    </row>
    <row r="403">
      <c r="A403" s="15" t="n"/>
      <c r="B403" s="15" t="n"/>
      <c r="C403" s="15" t="n"/>
      <c r="D403" s="15" t="n"/>
      <c r="E403" s="15" t="n"/>
      <c r="F403" s="16" t="n"/>
      <c r="G403" s="16" t="n"/>
      <c r="H403" s="16" t="n"/>
      <c r="I403" s="15" t="n"/>
      <c r="J403" s="15" t="n"/>
      <c r="K403" s="15" t="n"/>
      <c r="L403" s="15" t="n"/>
      <c r="M403" s="15">
        <f>IF(G403="","",MAX(0,IF(H403&lt;&gt;"",H403-G403,IF(I403="Completed",0,TODAY()-G403))))</f>
        <v/>
      </c>
      <c r="N403" s="15" t="n"/>
    </row>
    <row r="404">
      <c r="A404" s="15" t="n"/>
      <c r="B404" s="15" t="n"/>
      <c r="C404" s="15" t="n"/>
      <c r="D404" s="15" t="n"/>
      <c r="E404" s="15" t="n"/>
      <c r="F404" s="16" t="n"/>
      <c r="G404" s="16" t="n"/>
      <c r="H404" s="16" t="n"/>
      <c r="I404" s="15" t="n"/>
      <c r="J404" s="15" t="n"/>
      <c r="K404" s="15" t="n"/>
      <c r="L404" s="15" t="n"/>
      <c r="M404" s="15">
        <f>IF(G404="","",MAX(0,IF(H404&lt;&gt;"",H404-G404,IF(I404="Completed",0,TODAY()-G404))))</f>
        <v/>
      </c>
      <c r="N404" s="15" t="n"/>
    </row>
    <row r="405">
      <c r="A405" s="15" t="n"/>
      <c r="B405" s="15" t="n"/>
      <c r="C405" s="15" t="n"/>
      <c r="D405" s="15" t="n"/>
      <c r="E405" s="15" t="n"/>
      <c r="F405" s="16" t="n"/>
      <c r="G405" s="16" t="n"/>
      <c r="H405" s="16" t="n"/>
      <c r="I405" s="15" t="n"/>
      <c r="J405" s="15" t="n"/>
      <c r="K405" s="15" t="n"/>
      <c r="L405" s="15" t="n"/>
      <c r="M405" s="15">
        <f>IF(G405="","",MAX(0,IF(H405&lt;&gt;"",H405-G405,IF(I405="Completed",0,TODAY()-G405))))</f>
        <v/>
      </c>
      <c r="N405" s="15" t="n"/>
    </row>
    <row r="406">
      <c r="A406" s="15" t="n"/>
      <c r="B406" s="15" t="n"/>
      <c r="C406" s="15" t="n"/>
      <c r="D406" s="15" t="n"/>
      <c r="E406" s="15" t="n"/>
      <c r="F406" s="16" t="n"/>
      <c r="G406" s="16" t="n"/>
      <c r="H406" s="16" t="n"/>
      <c r="I406" s="15" t="n"/>
      <c r="J406" s="15" t="n"/>
      <c r="K406" s="15" t="n"/>
      <c r="L406" s="15" t="n"/>
      <c r="M406" s="15">
        <f>IF(G406="","",MAX(0,IF(H406&lt;&gt;"",H406-G406,IF(I406="Completed",0,TODAY()-G406))))</f>
        <v/>
      </c>
      <c r="N406" s="15" t="n"/>
    </row>
    <row r="407">
      <c r="A407" s="15" t="n"/>
      <c r="B407" s="15" t="n"/>
      <c r="C407" s="15" t="n"/>
      <c r="D407" s="15" t="n"/>
      <c r="E407" s="15" t="n"/>
      <c r="F407" s="16" t="n"/>
      <c r="G407" s="16" t="n"/>
      <c r="H407" s="16" t="n"/>
      <c r="I407" s="15" t="n"/>
      <c r="J407" s="15" t="n"/>
      <c r="K407" s="15" t="n"/>
      <c r="L407" s="15" t="n"/>
      <c r="M407" s="15">
        <f>IF(G407="","",MAX(0,IF(H407&lt;&gt;"",H407-G407,IF(I407="Completed",0,TODAY()-G407))))</f>
        <v/>
      </c>
      <c r="N407" s="15" t="n"/>
    </row>
    <row r="408">
      <c r="A408" s="15" t="n"/>
      <c r="B408" s="15" t="n"/>
      <c r="C408" s="15" t="n"/>
      <c r="D408" s="15" t="n"/>
      <c r="E408" s="15" t="n"/>
      <c r="F408" s="16" t="n"/>
      <c r="G408" s="16" t="n"/>
      <c r="H408" s="16" t="n"/>
      <c r="I408" s="15" t="n"/>
      <c r="J408" s="15" t="n"/>
      <c r="K408" s="15" t="n"/>
      <c r="L408" s="15" t="n"/>
      <c r="M408" s="15">
        <f>IF(G408="","",MAX(0,IF(H408&lt;&gt;"",H408-G408,IF(I408="Completed",0,TODAY()-G408))))</f>
        <v/>
      </c>
      <c r="N408" s="15" t="n"/>
    </row>
    <row r="409">
      <c r="A409" s="15" t="n"/>
      <c r="B409" s="15" t="n"/>
      <c r="C409" s="15" t="n"/>
      <c r="D409" s="15" t="n"/>
      <c r="E409" s="15" t="n"/>
      <c r="F409" s="16" t="n"/>
      <c r="G409" s="16" t="n"/>
      <c r="H409" s="16" t="n"/>
      <c r="I409" s="15" t="n"/>
      <c r="J409" s="15" t="n"/>
      <c r="K409" s="15" t="n"/>
      <c r="L409" s="15" t="n"/>
      <c r="M409" s="15">
        <f>IF(G409="","",MAX(0,IF(H409&lt;&gt;"",H409-G409,IF(I409="Completed",0,TODAY()-G409))))</f>
        <v/>
      </c>
      <c r="N409" s="15" t="n"/>
    </row>
    <row r="410">
      <c r="A410" s="15" t="n"/>
      <c r="B410" s="15" t="n"/>
      <c r="C410" s="15" t="n"/>
      <c r="D410" s="15" t="n"/>
      <c r="E410" s="15" t="n"/>
      <c r="F410" s="16" t="n"/>
      <c r="G410" s="16" t="n"/>
      <c r="H410" s="16" t="n"/>
      <c r="I410" s="15" t="n"/>
      <c r="J410" s="15" t="n"/>
      <c r="K410" s="15" t="n"/>
      <c r="L410" s="15" t="n"/>
      <c r="M410" s="15">
        <f>IF(G410="","",MAX(0,IF(H410&lt;&gt;"",H410-G410,IF(I410="Completed",0,TODAY()-G410))))</f>
        <v/>
      </c>
      <c r="N410" s="15" t="n"/>
    </row>
    <row r="411">
      <c r="A411" s="15" t="n"/>
      <c r="B411" s="15" t="n"/>
      <c r="C411" s="15" t="n"/>
      <c r="D411" s="15" t="n"/>
      <c r="E411" s="15" t="n"/>
      <c r="F411" s="16" t="n"/>
      <c r="G411" s="16" t="n"/>
      <c r="H411" s="16" t="n"/>
      <c r="I411" s="15" t="n"/>
      <c r="J411" s="15" t="n"/>
      <c r="K411" s="15" t="n"/>
      <c r="L411" s="15" t="n"/>
      <c r="M411" s="15">
        <f>IF(G411="","",MAX(0,IF(H411&lt;&gt;"",H411-G411,IF(I411="Completed",0,TODAY()-G411))))</f>
        <v/>
      </c>
      <c r="N411" s="15" t="n"/>
    </row>
    <row r="412">
      <c r="A412" s="15" t="n"/>
      <c r="B412" s="15" t="n"/>
      <c r="C412" s="15" t="n"/>
      <c r="D412" s="15" t="n"/>
      <c r="E412" s="15" t="n"/>
      <c r="F412" s="16" t="n"/>
      <c r="G412" s="16" t="n"/>
      <c r="H412" s="16" t="n"/>
      <c r="I412" s="15" t="n"/>
      <c r="J412" s="15" t="n"/>
      <c r="K412" s="15" t="n"/>
      <c r="L412" s="15" t="n"/>
      <c r="M412" s="15">
        <f>IF(G412="","",MAX(0,IF(H412&lt;&gt;"",H412-G412,IF(I412="Completed",0,TODAY()-G412))))</f>
        <v/>
      </c>
      <c r="N412" s="15" t="n"/>
    </row>
    <row r="413">
      <c r="A413" s="15" t="n"/>
      <c r="B413" s="15" t="n"/>
      <c r="C413" s="15" t="n"/>
      <c r="D413" s="15" t="n"/>
      <c r="E413" s="15" t="n"/>
      <c r="F413" s="16" t="n"/>
      <c r="G413" s="16" t="n"/>
      <c r="H413" s="16" t="n"/>
      <c r="I413" s="15" t="n"/>
      <c r="J413" s="15" t="n"/>
      <c r="K413" s="15" t="n"/>
      <c r="L413" s="15" t="n"/>
      <c r="M413" s="15">
        <f>IF(G413="","",MAX(0,IF(H413&lt;&gt;"",H413-G413,IF(I413="Completed",0,TODAY()-G413))))</f>
        <v/>
      </c>
      <c r="N413" s="15" t="n"/>
    </row>
    <row r="414">
      <c r="A414" s="15" t="n"/>
      <c r="B414" s="15" t="n"/>
      <c r="C414" s="15" t="n"/>
      <c r="D414" s="15" t="n"/>
      <c r="E414" s="15" t="n"/>
      <c r="F414" s="16" t="n"/>
      <c r="G414" s="16" t="n"/>
      <c r="H414" s="16" t="n"/>
      <c r="I414" s="15" t="n"/>
      <c r="J414" s="15" t="n"/>
      <c r="K414" s="15" t="n"/>
      <c r="L414" s="15" t="n"/>
      <c r="M414" s="15">
        <f>IF(G414="","",MAX(0,IF(H414&lt;&gt;"",H414-G414,IF(I414="Completed",0,TODAY()-G414))))</f>
        <v/>
      </c>
      <c r="N414" s="15" t="n"/>
    </row>
    <row r="415">
      <c r="A415" s="15" t="n"/>
      <c r="B415" s="15" t="n"/>
      <c r="C415" s="15" t="n"/>
      <c r="D415" s="15" t="n"/>
      <c r="E415" s="15" t="n"/>
      <c r="F415" s="16" t="n"/>
      <c r="G415" s="16" t="n"/>
      <c r="H415" s="16" t="n"/>
      <c r="I415" s="15" t="n"/>
      <c r="J415" s="15" t="n"/>
      <c r="K415" s="15" t="n"/>
      <c r="L415" s="15" t="n"/>
      <c r="M415" s="15">
        <f>IF(G415="","",MAX(0,IF(H415&lt;&gt;"",H415-G415,IF(I415="Completed",0,TODAY()-G415))))</f>
        <v/>
      </c>
      <c r="N415" s="15" t="n"/>
    </row>
    <row r="416">
      <c r="A416" s="15" t="n"/>
      <c r="B416" s="15" t="n"/>
      <c r="C416" s="15" t="n"/>
      <c r="D416" s="15" t="n"/>
      <c r="E416" s="15" t="n"/>
      <c r="F416" s="16" t="n"/>
      <c r="G416" s="16" t="n"/>
      <c r="H416" s="16" t="n"/>
      <c r="I416" s="15" t="n"/>
      <c r="J416" s="15" t="n"/>
      <c r="K416" s="15" t="n"/>
      <c r="L416" s="15" t="n"/>
      <c r="M416" s="15">
        <f>IF(G416="","",MAX(0,IF(H416&lt;&gt;"",H416-G416,IF(I416="Completed",0,TODAY()-G416))))</f>
        <v/>
      </c>
      <c r="N416" s="15" t="n"/>
    </row>
    <row r="417">
      <c r="A417" s="15" t="n"/>
      <c r="B417" s="15" t="n"/>
      <c r="C417" s="15" t="n"/>
      <c r="D417" s="15" t="n"/>
      <c r="E417" s="15" t="n"/>
      <c r="F417" s="16" t="n"/>
      <c r="G417" s="16" t="n"/>
      <c r="H417" s="16" t="n"/>
      <c r="I417" s="15" t="n"/>
      <c r="J417" s="15" t="n"/>
      <c r="K417" s="15" t="n"/>
      <c r="L417" s="15" t="n"/>
      <c r="M417" s="15">
        <f>IF(G417="","",MAX(0,IF(H417&lt;&gt;"",H417-G417,IF(I417="Completed",0,TODAY()-G417))))</f>
        <v/>
      </c>
      <c r="N417" s="15" t="n"/>
    </row>
    <row r="418">
      <c r="A418" s="15" t="n"/>
      <c r="B418" s="15" t="n"/>
      <c r="C418" s="15" t="n"/>
      <c r="D418" s="15" t="n"/>
      <c r="E418" s="15" t="n"/>
      <c r="F418" s="16" t="n"/>
      <c r="G418" s="16" t="n"/>
      <c r="H418" s="16" t="n"/>
      <c r="I418" s="15" t="n"/>
      <c r="J418" s="15" t="n"/>
      <c r="K418" s="15" t="n"/>
      <c r="L418" s="15" t="n"/>
      <c r="M418" s="15">
        <f>IF(G418="","",MAX(0,IF(H418&lt;&gt;"",H418-G418,IF(I418="Completed",0,TODAY()-G418))))</f>
        <v/>
      </c>
      <c r="N418" s="15" t="n"/>
    </row>
    <row r="419">
      <c r="A419" s="15" t="n"/>
      <c r="B419" s="15" t="n"/>
      <c r="C419" s="15" t="n"/>
      <c r="D419" s="15" t="n"/>
      <c r="E419" s="15" t="n"/>
      <c r="F419" s="16" t="n"/>
      <c r="G419" s="16" t="n"/>
      <c r="H419" s="16" t="n"/>
      <c r="I419" s="15" t="n"/>
      <c r="J419" s="15" t="n"/>
      <c r="K419" s="15" t="n"/>
      <c r="L419" s="15" t="n"/>
      <c r="M419" s="15">
        <f>IF(G419="","",MAX(0,IF(H419&lt;&gt;"",H419-G419,IF(I419="Completed",0,TODAY()-G419))))</f>
        <v/>
      </c>
      <c r="N419" s="15" t="n"/>
    </row>
    <row r="420">
      <c r="A420" s="15" t="n"/>
      <c r="B420" s="15" t="n"/>
      <c r="C420" s="15" t="n"/>
      <c r="D420" s="15" t="n"/>
      <c r="E420" s="15" t="n"/>
      <c r="F420" s="16" t="n"/>
      <c r="G420" s="16" t="n"/>
      <c r="H420" s="16" t="n"/>
      <c r="I420" s="15" t="n"/>
      <c r="J420" s="15" t="n"/>
      <c r="K420" s="15" t="n"/>
      <c r="L420" s="15" t="n"/>
      <c r="M420" s="15">
        <f>IF(G420="","",MAX(0,IF(H420&lt;&gt;"",H420-G420,IF(I420="Completed",0,TODAY()-G420))))</f>
        <v/>
      </c>
      <c r="N420" s="15" t="n"/>
    </row>
    <row r="421">
      <c r="A421" s="15" t="n"/>
      <c r="B421" s="15" t="n"/>
      <c r="C421" s="15" t="n"/>
      <c r="D421" s="15" t="n"/>
      <c r="E421" s="15" t="n"/>
      <c r="F421" s="16" t="n"/>
      <c r="G421" s="16" t="n"/>
      <c r="H421" s="16" t="n"/>
      <c r="I421" s="15" t="n"/>
      <c r="J421" s="15" t="n"/>
      <c r="K421" s="15" t="n"/>
      <c r="L421" s="15" t="n"/>
      <c r="M421" s="15">
        <f>IF(G421="","",MAX(0,IF(H421&lt;&gt;"",H421-G421,IF(I421="Completed",0,TODAY()-G421))))</f>
        <v/>
      </c>
      <c r="N421" s="15" t="n"/>
    </row>
    <row r="422">
      <c r="A422" s="15" t="n"/>
      <c r="B422" s="15" t="n"/>
      <c r="C422" s="15" t="n"/>
      <c r="D422" s="15" t="n"/>
      <c r="E422" s="15" t="n"/>
      <c r="F422" s="16" t="n"/>
      <c r="G422" s="16" t="n"/>
      <c r="H422" s="16" t="n"/>
      <c r="I422" s="15" t="n"/>
      <c r="J422" s="15" t="n"/>
      <c r="K422" s="15" t="n"/>
      <c r="L422" s="15" t="n"/>
      <c r="M422" s="15">
        <f>IF(G422="","",MAX(0,IF(H422&lt;&gt;"",H422-G422,IF(I422="Completed",0,TODAY()-G422))))</f>
        <v/>
      </c>
      <c r="N422" s="15" t="n"/>
    </row>
    <row r="423">
      <c r="A423" s="15" t="n"/>
      <c r="B423" s="15" t="n"/>
      <c r="C423" s="15" t="n"/>
      <c r="D423" s="15" t="n"/>
      <c r="E423" s="15" t="n"/>
      <c r="F423" s="16" t="n"/>
      <c r="G423" s="16" t="n"/>
      <c r="H423" s="16" t="n"/>
      <c r="I423" s="15" t="n"/>
      <c r="J423" s="15" t="n"/>
      <c r="K423" s="15" t="n"/>
      <c r="L423" s="15" t="n"/>
      <c r="M423" s="15">
        <f>IF(G423="","",MAX(0,IF(H423&lt;&gt;"",H423-G423,IF(I423="Completed",0,TODAY()-G423))))</f>
        <v/>
      </c>
      <c r="N423" s="15" t="n"/>
    </row>
    <row r="424">
      <c r="A424" s="15" t="n"/>
      <c r="B424" s="15" t="n"/>
      <c r="C424" s="15" t="n"/>
      <c r="D424" s="15" t="n"/>
      <c r="E424" s="15" t="n"/>
      <c r="F424" s="16" t="n"/>
      <c r="G424" s="16" t="n"/>
      <c r="H424" s="16" t="n"/>
      <c r="I424" s="15" t="n"/>
      <c r="J424" s="15" t="n"/>
      <c r="K424" s="15" t="n"/>
      <c r="L424" s="15" t="n"/>
      <c r="M424" s="15">
        <f>IF(G424="","",MAX(0,IF(H424&lt;&gt;"",H424-G424,IF(I424="Completed",0,TODAY()-G424))))</f>
        <v/>
      </c>
      <c r="N424" s="15" t="n"/>
    </row>
    <row r="425">
      <c r="A425" s="15" t="n"/>
      <c r="B425" s="15" t="n"/>
      <c r="C425" s="15" t="n"/>
      <c r="D425" s="15" t="n"/>
      <c r="E425" s="15" t="n"/>
      <c r="F425" s="16" t="n"/>
      <c r="G425" s="16" t="n"/>
      <c r="H425" s="16" t="n"/>
      <c r="I425" s="15" t="n"/>
      <c r="J425" s="15" t="n"/>
      <c r="K425" s="15" t="n"/>
      <c r="L425" s="15" t="n"/>
      <c r="M425" s="15">
        <f>IF(G425="","",MAX(0,IF(H425&lt;&gt;"",H425-G425,IF(I425="Completed",0,TODAY()-G425))))</f>
        <v/>
      </c>
      <c r="N425" s="15" t="n"/>
    </row>
    <row r="426">
      <c r="A426" s="15" t="n"/>
      <c r="B426" s="15" t="n"/>
      <c r="C426" s="15" t="n"/>
      <c r="D426" s="15" t="n"/>
      <c r="E426" s="15" t="n"/>
      <c r="F426" s="16" t="n"/>
      <c r="G426" s="16" t="n"/>
      <c r="H426" s="16" t="n"/>
      <c r="I426" s="15" t="n"/>
      <c r="J426" s="15" t="n"/>
      <c r="K426" s="15" t="n"/>
      <c r="L426" s="15" t="n"/>
      <c r="M426" s="15">
        <f>IF(G426="","",MAX(0,IF(H426&lt;&gt;"",H426-G426,IF(I426="Completed",0,TODAY()-G426))))</f>
        <v/>
      </c>
      <c r="N426" s="15" t="n"/>
    </row>
    <row r="427">
      <c r="A427" s="15" t="n"/>
      <c r="B427" s="15" t="n"/>
      <c r="C427" s="15" t="n"/>
      <c r="D427" s="15" t="n"/>
      <c r="E427" s="15" t="n"/>
      <c r="F427" s="16" t="n"/>
      <c r="G427" s="16" t="n"/>
      <c r="H427" s="16" t="n"/>
      <c r="I427" s="15" t="n"/>
      <c r="J427" s="15" t="n"/>
      <c r="K427" s="15" t="n"/>
      <c r="L427" s="15" t="n"/>
      <c r="M427" s="15">
        <f>IF(G427="","",MAX(0,IF(H427&lt;&gt;"",H427-G427,IF(I427="Completed",0,TODAY()-G427))))</f>
        <v/>
      </c>
      <c r="N427" s="15" t="n"/>
    </row>
    <row r="428">
      <c r="A428" s="15" t="n"/>
      <c r="B428" s="15" t="n"/>
      <c r="C428" s="15" t="n"/>
      <c r="D428" s="15" t="n"/>
      <c r="E428" s="15" t="n"/>
      <c r="F428" s="16" t="n"/>
      <c r="G428" s="16" t="n"/>
      <c r="H428" s="16" t="n"/>
      <c r="I428" s="15" t="n"/>
      <c r="J428" s="15" t="n"/>
      <c r="K428" s="15" t="n"/>
      <c r="L428" s="15" t="n"/>
      <c r="M428" s="15">
        <f>IF(G428="","",MAX(0,IF(H428&lt;&gt;"",H428-G428,IF(I428="Completed",0,TODAY()-G428))))</f>
        <v/>
      </c>
      <c r="N428" s="15" t="n"/>
    </row>
    <row r="429">
      <c r="A429" s="15" t="n"/>
      <c r="B429" s="15" t="n"/>
      <c r="C429" s="15" t="n"/>
      <c r="D429" s="15" t="n"/>
      <c r="E429" s="15" t="n"/>
      <c r="F429" s="16" t="n"/>
      <c r="G429" s="16" t="n"/>
      <c r="H429" s="16" t="n"/>
      <c r="I429" s="15" t="n"/>
      <c r="J429" s="15" t="n"/>
      <c r="K429" s="15" t="n"/>
      <c r="L429" s="15" t="n"/>
      <c r="M429" s="15">
        <f>IF(G429="","",MAX(0,IF(H429&lt;&gt;"",H429-G429,IF(I429="Completed",0,TODAY()-G429))))</f>
        <v/>
      </c>
      <c r="N429" s="15" t="n"/>
    </row>
    <row r="430">
      <c r="A430" s="15" t="n"/>
      <c r="B430" s="15" t="n"/>
      <c r="C430" s="15" t="n"/>
      <c r="D430" s="15" t="n"/>
      <c r="E430" s="15" t="n"/>
      <c r="F430" s="16" t="n"/>
      <c r="G430" s="16" t="n"/>
      <c r="H430" s="16" t="n"/>
      <c r="I430" s="15" t="n"/>
      <c r="J430" s="15" t="n"/>
      <c r="K430" s="15" t="n"/>
      <c r="L430" s="15" t="n"/>
      <c r="M430" s="15">
        <f>IF(G430="","",MAX(0,IF(H430&lt;&gt;"",H430-G430,IF(I430="Completed",0,TODAY()-G430))))</f>
        <v/>
      </c>
      <c r="N430" s="15" t="n"/>
    </row>
    <row r="431">
      <c r="A431" s="15" t="n"/>
      <c r="B431" s="15" t="n"/>
      <c r="C431" s="15" t="n"/>
      <c r="D431" s="15" t="n"/>
      <c r="E431" s="15" t="n"/>
      <c r="F431" s="16" t="n"/>
      <c r="G431" s="16" t="n"/>
      <c r="H431" s="16" t="n"/>
      <c r="I431" s="15" t="n"/>
      <c r="J431" s="15" t="n"/>
      <c r="K431" s="15" t="n"/>
      <c r="L431" s="15" t="n"/>
      <c r="M431" s="15">
        <f>IF(G431="","",MAX(0,IF(H431&lt;&gt;"",H431-G431,IF(I431="Completed",0,TODAY()-G431))))</f>
        <v/>
      </c>
      <c r="N431" s="15" t="n"/>
    </row>
    <row r="432">
      <c r="A432" s="15" t="n"/>
      <c r="B432" s="15" t="n"/>
      <c r="C432" s="15" t="n"/>
      <c r="D432" s="15" t="n"/>
      <c r="E432" s="15" t="n"/>
      <c r="F432" s="16" t="n"/>
      <c r="G432" s="16" t="n"/>
      <c r="H432" s="16" t="n"/>
      <c r="I432" s="15" t="n"/>
      <c r="J432" s="15" t="n"/>
      <c r="K432" s="15" t="n"/>
      <c r="L432" s="15" t="n"/>
      <c r="M432" s="15">
        <f>IF(G432="","",MAX(0,IF(H432&lt;&gt;"",H432-G432,IF(I432="Completed",0,TODAY()-G432))))</f>
        <v/>
      </c>
      <c r="N432" s="15" t="n"/>
    </row>
    <row r="433">
      <c r="A433" s="15" t="n"/>
      <c r="B433" s="15" t="n"/>
      <c r="C433" s="15" t="n"/>
      <c r="D433" s="15" t="n"/>
      <c r="E433" s="15" t="n"/>
      <c r="F433" s="16" t="n"/>
      <c r="G433" s="16" t="n"/>
      <c r="H433" s="16" t="n"/>
      <c r="I433" s="15" t="n"/>
      <c r="J433" s="15" t="n"/>
      <c r="K433" s="15" t="n"/>
      <c r="L433" s="15" t="n"/>
      <c r="M433" s="15">
        <f>IF(G433="","",MAX(0,IF(H433&lt;&gt;"",H433-G433,IF(I433="Completed",0,TODAY()-G433))))</f>
        <v/>
      </c>
      <c r="N433" s="15" t="n"/>
    </row>
    <row r="434">
      <c r="A434" s="15" t="n"/>
      <c r="B434" s="15" t="n"/>
      <c r="C434" s="15" t="n"/>
      <c r="D434" s="15" t="n"/>
      <c r="E434" s="15" t="n"/>
      <c r="F434" s="16" t="n"/>
      <c r="G434" s="16" t="n"/>
      <c r="H434" s="16" t="n"/>
      <c r="I434" s="15" t="n"/>
      <c r="J434" s="15" t="n"/>
      <c r="K434" s="15" t="n"/>
      <c r="L434" s="15" t="n"/>
      <c r="M434" s="15">
        <f>IF(G434="","",MAX(0,IF(H434&lt;&gt;"",H434-G434,IF(I434="Completed",0,TODAY()-G434))))</f>
        <v/>
      </c>
      <c r="N434" s="15" t="n"/>
    </row>
    <row r="435">
      <c r="A435" s="15" t="n"/>
      <c r="B435" s="15" t="n"/>
      <c r="C435" s="15" t="n"/>
      <c r="D435" s="15" t="n"/>
      <c r="E435" s="15" t="n"/>
      <c r="F435" s="16" t="n"/>
      <c r="G435" s="16" t="n"/>
      <c r="H435" s="16" t="n"/>
      <c r="I435" s="15" t="n"/>
      <c r="J435" s="15" t="n"/>
      <c r="K435" s="15" t="n"/>
      <c r="L435" s="15" t="n"/>
      <c r="M435" s="15">
        <f>IF(G435="","",MAX(0,IF(H435&lt;&gt;"",H435-G435,IF(I435="Completed",0,TODAY()-G435))))</f>
        <v/>
      </c>
      <c r="N435" s="15" t="n"/>
    </row>
    <row r="436">
      <c r="A436" s="15" t="n"/>
      <c r="B436" s="15" t="n"/>
      <c r="C436" s="15" t="n"/>
      <c r="D436" s="15" t="n"/>
      <c r="E436" s="15" t="n"/>
      <c r="F436" s="16" t="n"/>
      <c r="G436" s="16" t="n"/>
      <c r="H436" s="16" t="n"/>
      <c r="I436" s="15" t="n"/>
      <c r="J436" s="15" t="n"/>
      <c r="K436" s="15" t="n"/>
      <c r="L436" s="15" t="n"/>
      <c r="M436" s="15">
        <f>IF(G436="","",MAX(0,IF(H436&lt;&gt;"",H436-G436,IF(I436="Completed",0,TODAY()-G436))))</f>
        <v/>
      </c>
      <c r="N436" s="15" t="n"/>
    </row>
    <row r="437">
      <c r="A437" s="15" t="n"/>
      <c r="B437" s="15" t="n"/>
      <c r="C437" s="15" t="n"/>
      <c r="D437" s="15" t="n"/>
      <c r="E437" s="15" t="n"/>
      <c r="F437" s="16" t="n"/>
      <c r="G437" s="16" t="n"/>
      <c r="H437" s="16" t="n"/>
      <c r="I437" s="15" t="n"/>
      <c r="J437" s="15" t="n"/>
      <c r="K437" s="15" t="n"/>
      <c r="L437" s="15" t="n"/>
      <c r="M437" s="15">
        <f>IF(G437="","",MAX(0,IF(H437&lt;&gt;"",H437-G437,IF(I437="Completed",0,TODAY()-G437))))</f>
        <v/>
      </c>
      <c r="N437" s="15" t="n"/>
    </row>
    <row r="438">
      <c r="A438" s="15" t="n"/>
      <c r="B438" s="15" t="n"/>
      <c r="C438" s="15" t="n"/>
      <c r="D438" s="15" t="n"/>
      <c r="E438" s="15" t="n"/>
      <c r="F438" s="16" t="n"/>
      <c r="G438" s="16" t="n"/>
      <c r="H438" s="16" t="n"/>
      <c r="I438" s="15" t="n"/>
      <c r="J438" s="15" t="n"/>
      <c r="K438" s="15" t="n"/>
      <c r="L438" s="15" t="n"/>
      <c r="M438" s="15">
        <f>IF(G438="","",MAX(0,IF(H438&lt;&gt;"",H438-G438,IF(I438="Completed",0,TODAY()-G438))))</f>
        <v/>
      </c>
      <c r="N438" s="15" t="n"/>
    </row>
    <row r="439">
      <c r="A439" s="15" t="n"/>
      <c r="B439" s="15" t="n"/>
      <c r="C439" s="15" t="n"/>
      <c r="D439" s="15" t="n"/>
      <c r="E439" s="15" t="n"/>
      <c r="F439" s="16" t="n"/>
      <c r="G439" s="16" t="n"/>
      <c r="H439" s="16" t="n"/>
      <c r="I439" s="15" t="n"/>
      <c r="J439" s="15" t="n"/>
      <c r="K439" s="15" t="n"/>
      <c r="L439" s="15" t="n"/>
      <c r="M439" s="15">
        <f>IF(G439="","",MAX(0,IF(H439&lt;&gt;"",H439-G439,IF(I439="Completed",0,TODAY()-G439))))</f>
        <v/>
      </c>
      <c r="N439" s="15" t="n"/>
    </row>
    <row r="440">
      <c r="A440" s="15" t="n"/>
      <c r="B440" s="15" t="n"/>
      <c r="C440" s="15" t="n"/>
      <c r="D440" s="15" t="n"/>
      <c r="E440" s="15" t="n"/>
      <c r="F440" s="16" t="n"/>
      <c r="G440" s="16" t="n"/>
      <c r="H440" s="16" t="n"/>
      <c r="I440" s="15" t="n"/>
      <c r="J440" s="15" t="n"/>
      <c r="K440" s="15" t="n"/>
      <c r="L440" s="15" t="n"/>
      <c r="M440" s="15">
        <f>IF(G440="","",MAX(0,IF(H440&lt;&gt;"",H440-G440,IF(I440="Completed",0,TODAY()-G440))))</f>
        <v/>
      </c>
      <c r="N440" s="15" t="n"/>
    </row>
    <row r="441">
      <c r="A441" s="15" t="n"/>
      <c r="B441" s="15" t="n"/>
      <c r="C441" s="15" t="n"/>
      <c r="D441" s="15" t="n"/>
      <c r="E441" s="15" t="n"/>
      <c r="F441" s="16" t="n"/>
      <c r="G441" s="16" t="n"/>
      <c r="H441" s="16" t="n"/>
      <c r="I441" s="15" t="n"/>
      <c r="J441" s="15" t="n"/>
      <c r="K441" s="15" t="n"/>
      <c r="L441" s="15" t="n"/>
      <c r="M441" s="15">
        <f>IF(G441="","",MAX(0,IF(H441&lt;&gt;"",H441-G441,IF(I441="Completed",0,TODAY()-G441))))</f>
        <v/>
      </c>
      <c r="N441" s="15" t="n"/>
    </row>
    <row r="442">
      <c r="A442" s="15" t="n"/>
      <c r="B442" s="15" t="n"/>
      <c r="C442" s="15" t="n"/>
      <c r="D442" s="15" t="n"/>
      <c r="E442" s="15" t="n"/>
      <c r="F442" s="16" t="n"/>
      <c r="G442" s="16" t="n"/>
      <c r="H442" s="16" t="n"/>
      <c r="I442" s="15" t="n"/>
      <c r="J442" s="15" t="n"/>
      <c r="K442" s="15" t="n"/>
      <c r="L442" s="15" t="n"/>
      <c r="M442" s="15">
        <f>IF(G442="","",MAX(0,IF(H442&lt;&gt;"",H442-G442,IF(I442="Completed",0,TODAY()-G442))))</f>
        <v/>
      </c>
      <c r="N442" s="15" t="n"/>
    </row>
    <row r="443">
      <c r="A443" s="15" t="n"/>
      <c r="B443" s="15" t="n"/>
      <c r="C443" s="15" t="n"/>
      <c r="D443" s="15" t="n"/>
      <c r="E443" s="15" t="n"/>
      <c r="F443" s="16" t="n"/>
      <c r="G443" s="16" t="n"/>
      <c r="H443" s="16" t="n"/>
      <c r="I443" s="15" t="n"/>
      <c r="J443" s="15" t="n"/>
      <c r="K443" s="15" t="n"/>
      <c r="L443" s="15" t="n"/>
      <c r="M443" s="15">
        <f>IF(G443="","",MAX(0,IF(H443&lt;&gt;"",H443-G443,IF(I443="Completed",0,TODAY()-G443))))</f>
        <v/>
      </c>
      <c r="N443" s="15" t="n"/>
    </row>
    <row r="444">
      <c r="A444" s="15" t="n"/>
      <c r="B444" s="15" t="n"/>
      <c r="C444" s="15" t="n"/>
      <c r="D444" s="15" t="n"/>
      <c r="E444" s="15" t="n"/>
      <c r="F444" s="16" t="n"/>
      <c r="G444" s="16" t="n"/>
      <c r="H444" s="16" t="n"/>
      <c r="I444" s="15" t="n"/>
      <c r="J444" s="15" t="n"/>
      <c r="K444" s="15" t="n"/>
      <c r="L444" s="15" t="n"/>
      <c r="M444" s="15">
        <f>IF(G444="","",MAX(0,IF(H444&lt;&gt;"",H444-G444,IF(I444="Completed",0,TODAY()-G444))))</f>
        <v/>
      </c>
      <c r="N444" s="15" t="n"/>
    </row>
    <row r="445">
      <c r="A445" s="15" t="n"/>
      <c r="B445" s="15" t="n"/>
      <c r="C445" s="15" t="n"/>
      <c r="D445" s="15" t="n"/>
      <c r="E445" s="15" t="n"/>
      <c r="F445" s="16" t="n"/>
      <c r="G445" s="16" t="n"/>
      <c r="H445" s="16" t="n"/>
      <c r="I445" s="15" t="n"/>
      <c r="J445" s="15" t="n"/>
      <c r="K445" s="15" t="n"/>
      <c r="L445" s="15" t="n"/>
      <c r="M445" s="15">
        <f>IF(G445="","",MAX(0,IF(H445&lt;&gt;"",H445-G445,IF(I445="Completed",0,TODAY()-G445))))</f>
        <v/>
      </c>
      <c r="N445" s="15" t="n"/>
    </row>
    <row r="446">
      <c r="A446" s="15" t="n"/>
      <c r="B446" s="15" t="n"/>
      <c r="C446" s="15" t="n"/>
      <c r="D446" s="15" t="n"/>
      <c r="E446" s="15" t="n"/>
      <c r="F446" s="16" t="n"/>
      <c r="G446" s="16" t="n"/>
      <c r="H446" s="16" t="n"/>
      <c r="I446" s="15" t="n"/>
      <c r="J446" s="15" t="n"/>
      <c r="K446" s="15" t="n"/>
      <c r="L446" s="15" t="n"/>
      <c r="M446" s="15">
        <f>IF(G446="","",MAX(0,IF(H446&lt;&gt;"",H446-G446,IF(I446="Completed",0,TODAY()-G446))))</f>
        <v/>
      </c>
      <c r="N446" s="15" t="n"/>
    </row>
    <row r="447">
      <c r="A447" s="15" t="n"/>
      <c r="B447" s="15" t="n"/>
      <c r="C447" s="15" t="n"/>
      <c r="D447" s="15" t="n"/>
      <c r="E447" s="15" t="n"/>
      <c r="F447" s="16" t="n"/>
      <c r="G447" s="16" t="n"/>
      <c r="H447" s="16" t="n"/>
      <c r="I447" s="15" t="n"/>
      <c r="J447" s="15" t="n"/>
      <c r="K447" s="15" t="n"/>
      <c r="L447" s="15" t="n"/>
      <c r="M447" s="15">
        <f>IF(G447="","",MAX(0,IF(H447&lt;&gt;"",H447-G447,IF(I447="Completed",0,TODAY()-G447))))</f>
        <v/>
      </c>
      <c r="N447" s="15" t="n"/>
    </row>
    <row r="448">
      <c r="A448" s="15" t="n"/>
      <c r="B448" s="15" t="n"/>
      <c r="C448" s="15" t="n"/>
      <c r="D448" s="15" t="n"/>
      <c r="E448" s="15" t="n"/>
      <c r="F448" s="16" t="n"/>
      <c r="G448" s="16" t="n"/>
      <c r="H448" s="16" t="n"/>
      <c r="I448" s="15" t="n"/>
      <c r="J448" s="15" t="n"/>
      <c r="K448" s="15" t="n"/>
      <c r="L448" s="15" t="n"/>
      <c r="M448" s="15">
        <f>IF(G448="","",MAX(0,IF(H448&lt;&gt;"",H448-G448,IF(I448="Completed",0,TODAY()-G448))))</f>
        <v/>
      </c>
      <c r="N448" s="15" t="n"/>
    </row>
    <row r="449">
      <c r="A449" s="15" t="n"/>
      <c r="B449" s="15" t="n"/>
      <c r="C449" s="15" t="n"/>
      <c r="D449" s="15" t="n"/>
      <c r="E449" s="15" t="n"/>
      <c r="F449" s="16" t="n"/>
      <c r="G449" s="16" t="n"/>
      <c r="H449" s="16" t="n"/>
      <c r="I449" s="15" t="n"/>
      <c r="J449" s="15" t="n"/>
      <c r="K449" s="15" t="n"/>
      <c r="L449" s="15" t="n"/>
      <c r="M449" s="15">
        <f>IF(G449="","",MAX(0,IF(H449&lt;&gt;"",H449-G449,IF(I449="Completed",0,TODAY()-G449))))</f>
        <v/>
      </c>
      <c r="N449" s="15" t="n"/>
    </row>
    <row r="450">
      <c r="A450" s="15" t="n"/>
      <c r="B450" s="15" t="n"/>
      <c r="C450" s="15" t="n"/>
      <c r="D450" s="15" t="n"/>
      <c r="E450" s="15" t="n"/>
      <c r="F450" s="16" t="n"/>
      <c r="G450" s="16" t="n"/>
      <c r="H450" s="16" t="n"/>
      <c r="I450" s="15" t="n"/>
      <c r="J450" s="15" t="n"/>
      <c r="K450" s="15" t="n"/>
      <c r="L450" s="15" t="n"/>
      <c r="M450" s="15">
        <f>IF(G450="","",MAX(0,IF(H450&lt;&gt;"",H450-G450,IF(I450="Completed",0,TODAY()-G450))))</f>
        <v/>
      </c>
      <c r="N450" s="15" t="n"/>
    </row>
    <row r="451">
      <c r="A451" s="15" t="n"/>
      <c r="B451" s="15" t="n"/>
      <c r="C451" s="15" t="n"/>
      <c r="D451" s="15" t="n"/>
      <c r="E451" s="15" t="n"/>
      <c r="F451" s="16" t="n"/>
      <c r="G451" s="16" t="n"/>
      <c r="H451" s="16" t="n"/>
      <c r="I451" s="15" t="n"/>
      <c r="J451" s="15" t="n"/>
      <c r="K451" s="15" t="n"/>
      <c r="L451" s="15" t="n"/>
      <c r="M451" s="15">
        <f>IF(G451="","",MAX(0,IF(H451&lt;&gt;"",H451-G451,IF(I451="Completed",0,TODAY()-G451))))</f>
        <v/>
      </c>
      <c r="N451" s="15" t="n"/>
    </row>
    <row r="452">
      <c r="A452" s="15" t="n"/>
      <c r="B452" s="15" t="n"/>
      <c r="C452" s="15" t="n"/>
      <c r="D452" s="15" t="n"/>
      <c r="E452" s="15" t="n"/>
      <c r="F452" s="16" t="n"/>
      <c r="G452" s="16" t="n"/>
      <c r="H452" s="16" t="n"/>
      <c r="I452" s="15" t="n"/>
      <c r="J452" s="15" t="n"/>
      <c r="K452" s="15" t="n"/>
      <c r="L452" s="15" t="n"/>
      <c r="M452" s="15">
        <f>IF(G452="","",MAX(0,IF(H452&lt;&gt;"",H452-G452,IF(I452="Completed",0,TODAY()-G452))))</f>
        <v/>
      </c>
      <c r="N452" s="15" t="n"/>
    </row>
    <row r="453">
      <c r="A453" s="15" t="n"/>
      <c r="B453" s="15" t="n"/>
      <c r="C453" s="15" t="n"/>
      <c r="D453" s="15" t="n"/>
      <c r="E453" s="15" t="n"/>
      <c r="F453" s="16" t="n"/>
      <c r="G453" s="16" t="n"/>
      <c r="H453" s="16" t="n"/>
      <c r="I453" s="15" t="n"/>
      <c r="J453" s="15" t="n"/>
      <c r="K453" s="15" t="n"/>
      <c r="L453" s="15" t="n"/>
      <c r="M453" s="15">
        <f>IF(G453="","",MAX(0,IF(H453&lt;&gt;"",H453-G453,IF(I453="Completed",0,TODAY()-G453))))</f>
        <v/>
      </c>
      <c r="N453" s="15" t="n"/>
    </row>
    <row r="454">
      <c r="A454" s="15" t="n"/>
      <c r="B454" s="15" t="n"/>
      <c r="C454" s="15" t="n"/>
      <c r="D454" s="15" t="n"/>
      <c r="E454" s="15" t="n"/>
      <c r="F454" s="16" t="n"/>
      <c r="G454" s="16" t="n"/>
      <c r="H454" s="16" t="n"/>
      <c r="I454" s="15" t="n"/>
      <c r="J454" s="15" t="n"/>
      <c r="K454" s="15" t="n"/>
      <c r="L454" s="15" t="n"/>
      <c r="M454" s="15">
        <f>IF(G454="","",MAX(0,IF(H454&lt;&gt;"",H454-G454,IF(I454="Completed",0,TODAY()-G454))))</f>
        <v/>
      </c>
      <c r="N454" s="15" t="n"/>
    </row>
    <row r="455">
      <c r="A455" s="15" t="n"/>
      <c r="B455" s="15" t="n"/>
      <c r="C455" s="15" t="n"/>
      <c r="D455" s="15" t="n"/>
      <c r="E455" s="15" t="n"/>
      <c r="F455" s="16" t="n"/>
      <c r="G455" s="16" t="n"/>
      <c r="H455" s="16" t="n"/>
      <c r="I455" s="15" t="n"/>
      <c r="J455" s="15" t="n"/>
      <c r="K455" s="15" t="n"/>
      <c r="L455" s="15" t="n"/>
      <c r="M455" s="15">
        <f>IF(G455="","",MAX(0,IF(H455&lt;&gt;"",H455-G455,IF(I455="Completed",0,TODAY()-G455))))</f>
        <v/>
      </c>
      <c r="N455" s="15" t="n"/>
    </row>
    <row r="456">
      <c r="A456" s="15" t="n"/>
      <c r="B456" s="15" t="n"/>
      <c r="C456" s="15" t="n"/>
      <c r="D456" s="15" t="n"/>
      <c r="E456" s="15" t="n"/>
      <c r="F456" s="16" t="n"/>
      <c r="G456" s="16" t="n"/>
      <c r="H456" s="16" t="n"/>
      <c r="I456" s="15" t="n"/>
      <c r="J456" s="15" t="n"/>
      <c r="K456" s="15" t="n"/>
      <c r="L456" s="15" t="n"/>
      <c r="M456" s="15">
        <f>IF(G456="","",MAX(0,IF(H456&lt;&gt;"",H456-G456,IF(I456="Completed",0,TODAY()-G456))))</f>
        <v/>
      </c>
      <c r="N456" s="15" t="n"/>
    </row>
    <row r="457">
      <c r="A457" s="15" t="n"/>
      <c r="B457" s="15" t="n"/>
      <c r="C457" s="15" t="n"/>
      <c r="D457" s="15" t="n"/>
      <c r="E457" s="15" t="n"/>
      <c r="F457" s="16" t="n"/>
      <c r="G457" s="16" t="n"/>
      <c r="H457" s="16" t="n"/>
      <c r="I457" s="15" t="n"/>
      <c r="J457" s="15" t="n"/>
      <c r="K457" s="15" t="n"/>
      <c r="L457" s="15" t="n"/>
      <c r="M457" s="15">
        <f>IF(G457="","",MAX(0,IF(H457&lt;&gt;"",H457-G457,IF(I457="Completed",0,TODAY()-G457))))</f>
        <v/>
      </c>
      <c r="N457" s="15" t="n"/>
    </row>
    <row r="458">
      <c r="A458" s="15" t="n"/>
      <c r="B458" s="15" t="n"/>
      <c r="C458" s="15" t="n"/>
      <c r="D458" s="15" t="n"/>
      <c r="E458" s="15" t="n"/>
      <c r="F458" s="16" t="n"/>
      <c r="G458" s="16" t="n"/>
      <c r="H458" s="16" t="n"/>
      <c r="I458" s="15" t="n"/>
      <c r="J458" s="15" t="n"/>
      <c r="K458" s="15" t="n"/>
      <c r="L458" s="15" t="n"/>
      <c r="M458" s="15">
        <f>IF(G458="","",MAX(0,IF(H458&lt;&gt;"",H458-G458,IF(I458="Completed",0,TODAY()-G458))))</f>
        <v/>
      </c>
      <c r="N458" s="15" t="n"/>
    </row>
    <row r="459">
      <c r="A459" s="15" t="n"/>
      <c r="B459" s="15" t="n"/>
      <c r="C459" s="15" t="n"/>
      <c r="D459" s="15" t="n"/>
      <c r="E459" s="15" t="n"/>
      <c r="F459" s="16" t="n"/>
      <c r="G459" s="16" t="n"/>
      <c r="H459" s="16" t="n"/>
      <c r="I459" s="15" t="n"/>
      <c r="J459" s="15" t="n"/>
      <c r="K459" s="15" t="n"/>
      <c r="L459" s="15" t="n"/>
      <c r="M459" s="15">
        <f>IF(G459="","",MAX(0,IF(H459&lt;&gt;"",H459-G459,IF(I459="Completed",0,TODAY()-G459))))</f>
        <v/>
      </c>
      <c r="N459" s="15" t="n"/>
    </row>
    <row r="460">
      <c r="A460" s="15" t="n"/>
      <c r="B460" s="15" t="n"/>
      <c r="C460" s="15" t="n"/>
      <c r="D460" s="15" t="n"/>
      <c r="E460" s="15" t="n"/>
      <c r="F460" s="16" t="n"/>
      <c r="G460" s="16" t="n"/>
      <c r="H460" s="16" t="n"/>
      <c r="I460" s="15" t="n"/>
      <c r="J460" s="15" t="n"/>
      <c r="K460" s="15" t="n"/>
      <c r="L460" s="15" t="n"/>
      <c r="M460" s="15">
        <f>IF(G460="","",MAX(0,IF(H460&lt;&gt;"",H460-G460,IF(I460="Completed",0,TODAY()-G460))))</f>
        <v/>
      </c>
      <c r="N460" s="15" t="n"/>
    </row>
    <row r="461">
      <c r="A461" s="15" t="n"/>
      <c r="B461" s="15" t="n"/>
      <c r="C461" s="15" t="n"/>
      <c r="D461" s="15" t="n"/>
      <c r="E461" s="15" t="n"/>
      <c r="F461" s="16" t="n"/>
      <c r="G461" s="16" t="n"/>
      <c r="H461" s="16" t="n"/>
      <c r="I461" s="15" t="n"/>
      <c r="J461" s="15" t="n"/>
      <c r="K461" s="15" t="n"/>
      <c r="L461" s="15" t="n"/>
      <c r="M461" s="15">
        <f>IF(G461="","",MAX(0,IF(H461&lt;&gt;"",H461-G461,IF(I461="Completed",0,TODAY()-G461))))</f>
        <v/>
      </c>
      <c r="N461" s="15" t="n"/>
    </row>
    <row r="462">
      <c r="A462" s="15" t="n"/>
      <c r="B462" s="15" t="n"/>
      <c r="C462" s="15" t="n"/>
      <c r="D462" s="15" t="n"/>
      <c r="E462" s="15" t="n"/>
      <c r="F462" s="16" t="n"/>
      <c r="G462" s="16" t="n"/>
      <c r="H462" s="16" t="n"/>
      <c r="I462" s="15" t="n"/>
      <c r="J462" s="15" t="n"/>
      <c r="K462" s="15" t="n"/>
      <c r="L462" s="15" t="n"/>
      <c r="M462" s="15">
        <f>IF(G462="","",MAX(0,IF(H462&lt;&gt;"",H462-G462,IF(I462="Completed",0,TODAY()-G462))))</f>
        <v/>
      </c>
      <c r="N462" s="15" t="n"/>
    </row>
    <row r="463">
      <c r="A463" s="15" t="n"/>
      <c r="B463" s="15" t="n"/>
      <c r="C463" s="15" t="n"/>
      <c r="D463" s="15" t="n"/>
      <c r="E463" s="15" t="n"/>
      <c r="F463" s="16" t="n"/>
      <c r="G463" s="16" t="n"/>
      <c r="H463" s="16" t="n"/>
      <c r="I463" s="15" t="n"/>
      <c r="J463" s="15" t="n"/>
      <c r="K463" s="15" t="n"/>
      <c r="L463" s="15" t="n"/>
      <c r="M463" s="15">
        <f>IF(G463="","",MAX(0,IF(H463&lt;&gt;"",H463-G463,IF(I463="Completed",0,TODAY()-G463))))</f>
        <v/>
      </c>
      <c r="N463" s="15" t="n"/>
    </row>
    <row r="464">
      <c r="A464" s="15" t="n"/>
      <c r="B464" s="15" t="n"/>
      <c r="C464" s="15" t="n"/>
      <c r="D464" s="15" t="n"/>
      <c r="E464" s="15" t="n"/>
      <c r="F464" s="16" t="n"/>
      <c r="G464" s="16" t="n"/>
      <c r="H464" s="16" t="n"/>
      <c r="I464" s="15" t="n"/>
      <c r="J464" s="15" t="n"/>
      <c r="K464" s="15" t="n"/>
      <c r="L464" s="15" t="n"/>
      <c r="M464" s="15">
        <f>IF(G464="","",MAX(0,IF(H464&lt;&gt;"",H464-G464,IF(I464="Completed",0,TODAY()-G464))))</f>
        <v/>
      </c>
      <c r="N464" s="15" t="n"/>
    </row>
    <row r="465">
      <c r="A465" s="15" t="n"/>
      <c r="B465" s="15" t="n"/>
      <c r="C465" s="15" t="n"/>
      <c r="D465" s="15" t="n"/>
      <c r="E465" s="15" t="n"/>
      <c r="F465" s="16" t="n"/>
      <c r="G465" s="16" t="n"/>
      <c r="H465" s="16" t="n"/>
      <c r="I465" s="15" t="n"/>
      <c r="J465" s="15" t="n"/>
      <c r="K465" s="15" t="n"/>
      <c r="L465" s="15" t="n"/>
      <c r="M465" s="15">
        <f>IF(G465="","",MAX(0,IF(H465&lt;&gt;"",H465-G465,IF(I465="Completed",0,TODAY()-G465))))</f>
        <v/>
      </c>
      <c r="N465" s="15" t="n"/>
    </row>
    <row r="466">
      <c r="A466" s="15" t="n"/>
      <c r="B466" s="15" t="n"/>
      <c r="C466" s="15" t="n"/>
      <c r="D466" s="15" t="n"/>
      <c r="E466" s="15" t="n"/>
      <c r="F466" s="16" t="n"/>
      <c r="G466" s="16" t="n"/>
      <c r="H466" s="16" t="n"/>
      <c r="I466" s="15" t="n"/>
      <c r="J466" s="15" t="n"/>
      <c r="K466" s="15" t="n"/>
      <c r="L466" s="15" t="n"/>
      <c r="M466" s="15">
        <f>IF(G466="","",MAX(0,IF(H466&lt;&gt;"",H466-G466,IF(I466="Completed",0,TODAY()-G466))))</f>
        <v/>
      </c>
      <c r="N466" s="15" t="n"/>
    </row>
    <row r="467">
      <c r="A467" s="15" t="n"/>
      <c r="B467" s="15" t="n"/>
      <c r="C467" s="15" t="n"/>
      <c r="D467" s="15" t="n"/>
      <c r="E467" s="15" t="n"/>
      <c r="F467" s="16" t="n"/>
      <c r="G467" s="16" t="n"/>
      <c r="H467" s="16" t="n"/>
      <c r="I467" s="15" t="n"/>
      <c r="J467" s="15" t="n"/>
      <c r="K467" s="15" t="n"/>
      <c r="L467" s="15" t="n"/>
      <c r="M467" s="15">
        <f>IF(G467="","",MAX(0,IF(H467&lt;&gt;"",H467-G467,IF(I467="Completed",0,TODAY()-G467))))</f>
        <v/>
      </c>
      <c r="N467" s="15" t="n"/>
    </row>
    <row r="468">
      <c r="A468" s="15" t="n"/>
      <c r="B468" s="15" t="n"/>
      <c r="C468" s="15" t="n"/>
      <c r="D468" s="15" t="n"/>
      <c r="E468" s="15" t="n"/>
      <c r="F468" s="16" t="n"/>
      <c r="G468" s="16" t="n"/>
      <c r="H468" s="16" t="n"/>
      <c r="I468" s="15" t="n"/>
      <c r="J468" s="15" t="n"/>
      <c r="K468" s="15" t="n"/>
      <c r="L468" s="15" t="n"/>
      <c r="M468" s="15">
        <f>IF(G468="","",MAX(0,IF(H468&lt;&gt;"",H468-G468,IF(I468="Completed",0,TODAY()-G468))))</f>
        <v/>
      </c>
      <c r="N468" s="15" t="n"/>
    </row>
    <row r="469">
      <c r="A469" s="15" t="n"/>
      <c r="B469" s="15" t="n"/>
      <c r="C469" s="15" t="n"/>
      <c r="D469" s="15" t="n"/>
      <c r="E469" s="15" t="n"/>
      <c r="F469" s="16" t="n"/>
      <c r="G469" s="16" t="n"/>
      <c r="H469" s="16" t="n"/>
      <c r="I469" s="15" t="n"/>
      <c r="J469" s="15" t="n"/>
      <c r="K469" s="15" t="n"/>
      <c r="L469" s="15" t="n"/>
      <c r="M469" s="15">
        <f>IF(G469="","",MAX(0,IF(H469&lt;&gt;"",H469-G469,IF(I469="Completed",0,TODAY()-G469))))</f>
        <v/>
      </c>
      <c r="N469" s="15" t="n"/>
    </row>
    <row r="470">
      <c r="A470" s="15" t="n"/>
      <c r="B470" s="15" t="n"/>
      <c r="C470" s="15" t="n"/>
      <c r="D470" s="15" t="n"/>
      <c r="E470" s="15" t="n"/>
      <c r="F470" s="16" t="n"/>
      <c r="G470" s="16" t="n"/>
      <c r="H470" s="16" t="n"/>
      <c r="I470" s="15" t="n"/>
      <c r="J470" s="15" t="n"/>
      <c r="K470" s="15" t="n"/>
      <c r="L470" s="15" t="n"/>
      <c r="M470" s="15">
        <f>IF(G470="","",MAX(0,IF(H470&lt;&gt;"",H470-G470,IF(I470="Completed",0,TODAY()-G470))))</f>
        <v/>
      </c>
      <c r="N470" s="15" t="n"/>
    </row>
    <row r="471">
      <c r="A471" s="15" t="n"/>
      <c r="B471" s="15" t="n"/>
      <c r="C471" s="15" t="n"/>
      <c r="D471" s="15" t="n"/>
      <c r="E471" s="15" t="n"/>
      <c r="F471" s="16" t="n"/>
      <c r="G471" s="16" t="n"/>
      <c r="H471" s="16" t="n"/>
      <c r="I471" s="15" t="n"/>
      <c r="J471" s="15" t="n"/>
      <c r="K471" s="15" t="n"/>
      <c r="L471" s="15" t="n"/>
      <c r="M471" s="15">
        <f>IF(G471="","",MAX(0,IF(H471&lt;&gt;"",H471-G471,IF(I471="Completed",0,TODAY()-G471))))</f>
        <v/>
      </c>
      <c r="N471" s="15" t="n"/>
    </row>
    <row r="472">
      <c r="A472" s="15" t="n"/>
      <c r="B472" s="15" t="n"/>
      <c r="C472" s="15" t="n"/>
      <c r="D472" s="15" t="n"/>
      <c r="E472" s="15" t="n"/>
      <c r="F472" s="16" t="n"/>
      <c r="G472" s="16" t="n"/>
      <c r="H472" s="16" t="n"/>
      <c r="I472" s="15" t="n"/>
      <c r="J472" s="15" t="n"/>
      <c r="K472" s="15" t="n"/>
      <c r="L472" s="15" t="n"/>
      <c r="M472" s="15">
        <f>IF(G472="","",MAX(0,IF(H472&lt;&gt;"",H472-G472,IF(I472="Completed",0,TODAY()-G472))))</f>
        <v/>
      </c>
      <c r="N472" s="15" t="n"/>
    </row>
    <row r="473">
      <c r="A473" s="15" t="n"/>
      <c r="B473" s="15" t="n"/>
      <c r="C473" s="15" t="n"/>
      <c r="D473" s="15" t="n"/>
      <c r="E473" s="15" t="n"/>
      <c r="F473" s="16" t="n"/>
      <c r="G473" s="16" t="n"/>
      <c r="H473" s="16" t="n"/>
      <c r="I473" s="15" t="n"/>
      <c r="J473" s="15" t="n"/>
      <c r="K473" s="15" t="n"/>
      <c r="L473" s="15" t="n"/>
      <c r="M473" s="15">
        <f>IF(G473="","",MAX(0,IF(H473&lt;&gt;"",H473-G473,IF(I473="Completed",0,TODAY()-G473))))</f>
        <v/>
      </c>
      <c r="N473" s="15" t="n"/>
    </row>
    <row r="474">
      <c r="A474" s="15" t="n"/>
      <c r="B474" s="15" t="n"/>
      <c r="C474" s="15" t="n"/>
      <c r="D474" s="15" t="n"/>
      <c r="E474" s="15" t="n"/>
      <c r="F474" s="16" t="n"/>
      <c r="G474" s="16" t="n"/>
      <c r="H474" s="16" t="n"/>
      <c r="I474" s="15" t="n"/>
      <c r="J474" s="15" t="n"/>
      <c r="K474" s="15" t="n"/>
      <c r="L474" s="15" t="n"/>
      <c r="M474" s="15">
        <f>IF(G474="","",MAX(0,IF(H474&lt;&gt;"",H474-G474,IF(I474="Completed",0,TODAY()-G474))))</f>
        <v/>
      </c>
      <c r="N474" s="15" t="n"/>
    </row>
    <row r="475">
      <c r="A475" s="15" t="n"/>
      <c r="B475" s="15" t="n"/>
      <c r="C475" s="15" t="n"/>
      <c r="D475" s="15" t="n"/>
      <c r="E475" s="15" t="n"/>
      <c r="F475" s="16" t="n"/>
      <c r="G475" s="16" t="n"/>
      <c r="H475" s="16" t="n"/>
      <c r="I475" s="15" t="n"/>
      <c r="J475" s="15" t="n"/>
      <c r="K475" s="15" t="n"/>
      <c r="L475" s="15" t="n"/>
      <c r="M475" s="15">
        <f>IF(G475="","",MAX(0,IF(H475&lt;&gt;"",H475-G475,IF(I475="Completed",0,TODAY()-G475))))</f>
        <v/>
      </c>
      <c r="N475" s="15" t="n"/>
    </row>
    <row r="476">
      <c r="A476" s="15" t="n"/>
      <c r="B476" s="15" t="n"/>
      <c r="C476" s="15" t="n"/>
      <c r="D476" s="15" t="n"/>
      <c r="E476" s="15" t="n"/>
      <c r="F476" s="16" t="n"/>
      <c r="G476" s="16" t="n"/>
      <c r="H476" s="16" t="n"/>
      <c r="I476" s="15" t="n"/>
      <c r="J476" s="15" t="n"/>
      <c r="K476" s="15" t="n"/>
      <c r="L476" s="15" t="n"/>
      <c r="M476" s="15">
        <f>IF(G476="","",MAX(0,IF(H476&lt;&gt;"",H476-G476,IF(I476="Completed",0,TODAY()-G476))))</f>
        <v/>
      </c>
      <c r="N476" s="15" t="n"/>
    </row>
    <row r="477">
      <c r="A477" s="15" t="n"/>
      <c r="B477" s="15" t="n"/>
      <c r="C477" s="15" t="n"/>
      <c r="D477" s="15" t="n"/>
      <c r="E477" s="15" t="n"/>
      <c r="F477" s="16" t="n"/>
      <c r="G477" s="16" t="n"/>
      <c r="H477" s="16" t="n"/>
      <c r="I477" s="15" t="n"/>
      <c r="J477" s="15" t="n"/>
      <c r="K477" s="15" t="n"/>
      <c r="L477" s="15" t="n"/>
      <c r="M477" s="15">
        <f>IF(G477="","",MAX(0,IF(H477&lt;&gt;"",H477-G477,IF(I477="Completed",0,TODAY()-G477))))</f>
        <v/>
      </c>
      <c r="N477" s="15" t="n"/>
    </row>
    <row r="478">
      <c r="A478" s="15" t="n"/>
      <c r="B478" s="15" t="n"/>
      <c r="C478" s="15" t="n"/>
      <c r="D478" s="15" t="n"/>
      <c r="E478" s="15" t="n"/>
      <c r="F478" s="16" t="n"/>
      <c r="G478" s="16" t="n"/>
      <c r="H478" s="16" t="n"/>
      <c r="I478" s="15" t="n"/>
      <c r="J478" s="15" t="n"/>
      <c r="K478" s="15" t="n"/>
      <c r="L478" s="15" t="n"/>
      <c r="M478" s="15">
        <f>IF(G478="","",MAX(0,IF(H478&lt;&gt;"",H478-G478,IF(I478="Completed",0,TODAY()-G478))))</f>
        <v/>
      </c>
      <c r="N478" s="15" t="n"/>
    </row>
    <row r="479">
      <c r="A479" s="15" t="n"/>
      <c r="B479" s="15" t="n"/>
      <c r="C479" s="15" t="n"/>
      <c r="D479" s="15" t="n"/>
      <c r="E479" s="15" t="n"/>
      <c r="F479" s="16" t="n"/>
      <c r="G479" s="16" t="n"/>
      <c r="H479" s="16" t="n"/>
      <c r="I479" s="15" t="n"/>
      <c r="J479" s="15" t="n"/>
      <c r="K479" s="15" t="n"/>
      <c r="L479" s="15" t="n"/>
      <c r="M479" s="15">
        <f>IF(G479="","",MAX(0,IF(H479&lt;&gt;"",H479-G479,IF(I479="Completed",0,TODAY()-G479))))</f>
        <v/>
      </c>
      <c r="N479" s="15" t="n"/>
    </row>
    <row r="480">
      <c r="A480" s="15" t="n"/>
      <c r="B480" s="15" t="n"/>
      <c r="C480" s="15" t="n"/>
      <c r="D480" s="15" t="n"/>
      <c r="E480" s="15" t="n"/>
      <c r="F480" s="16" t="n"/>
      <c r="G480" s="16" t="n"/>
      <c r="H480" s="16" t="n"/>
      <c r="I480" s="15" t="n"/>
      <c r="J480" s="15" t="n"/>
      <c r="K480" s="15" t="n"/>
      <c r="L480" s="15" t="n"/>
      <c r="M480" s="15">
        <f>IF(G480="","",MAX(0,IF(H480&lt;&gt;"",H480-G480,IF(I480="Completed",0,TODAY()-G480))))</f>
        <v/>
      </c>
      <c r="N480" s="15" t="n"/>
    </row>
    <row r="481">
      <c r="A481" s="15" t="n"/>
      <c r="B481" s="15" t="n"/>
      <c r="C481" s="15" t="n"/>
      <c r="D481" s="15" t="n"/>
      <c r="E481" s="15" t="n"/>
      <c r="F481" s="16" t="n"/>
      <c r="G481" s="16" t="n"/>
      <c r="H481" s="16" t="n"/>
      <c r="I481" s="15" t="n"/>
      <c r="J481" s="15" t="n"/>
      <c r="K481" s="15" t="n"/>
      <c r="L481" s="15" t="n"/>
      <c r="M481" s="15">
        <f>IF(G481="","",MAX(0,IF(H481&lt;&gt;"",H481-G481,IF(I481="Completed",0,TODAY()-G481))))</f>
        <v/>
      </c>
      <c r="N481" s="15" t="n"/>
    </row>
    <row r="482">
      <c r="A482" s="15" t="n"/>
      <c r="B482" s="15" t="n"/>
      <c r="C482" s="15" t="n"/>
      <c r="D482" s="15" t="n"/>
      <c r="E482" s="15" t="n"/>
      <c r="F482" s="16" t="n"/>
      <c r="G482" s="16" t="n"/>
      <c r="H482" s="16" t="n"/>
      <c r="I482" s="15" t="n"/>
      <c r="J482" s="15" t="n"/>
      <c r="K482" s="15" t="n"/>
      <c r="L482" s="15" t="n"/>
      <c r="M482" s="15">
        <f>IF(G482="","",MAX(0,IF(H482&lt;&gt;"",H482-G482,IF(I482="Completed",0,TODAY()-G482))))</f>
        <v/>
      </c>
      <c r="N482" s="15" t="n"/>
    </row>
    <row r="483">
      <c r="A483" s="15" t="n"/>
      <c r="B483" s="15" t="n"/>
      <c r="C483" s="15" t="n"/>
      <c r="D483" s="15" t="n"/>
      <c r="E483" s="15" t="n"/>
      <c r="F483" s="16" t="n"/>
      <c r="G483" s="16" t="n"/>
      <c r="H483" s="16" t="n"/>
      <c r="I483" s="15" t="n"/>
      <c r="J483" s="15" t="n"/>
      <c r="K483" s="15" t="n"/>
      <c r="L483" s="15" t="n"/>
      <c r="M483" s="15">
        <f>IF(G483="","",MAX(0,IF(H483&lt;&gt;"",H483-G483,IF(I483="Completed",0,TODAY()-G483))))</f>
        <v/>
      </c>
      <c r="N483" s="15" t="n"/>
    </row>
    <row r="484">
      <c r="A484" s="15" t="n"/>
      <c r="B484" s="15" t="n"/>
      <c r="C484" s="15" t="n"/>
      <c r="D484" s="15" t="n"/>
      <c r="E484" s="15" t="n"/>
      <c r="F484" s="16" t="n"/>
      <c r="G484" s="16" t="n"/>
      <c r="H484" s="16" t="n"/>
      <c r="I484" s="15" t="n"/>
      <c r="J484" s="15" t="n"/>
      <c r="K484" s="15" t="n"/>
      <c r="L484" s="15" t="n"/>
      <c r="M484" s="15">
        <f>IF(G484="","",MAX(0,IF(H484&lt;&gt;"",H484-G484,IF(I484="Completed",0,TODAY()-G484))))</f>
        <v/>
      </c>
      <c r="N484" s="15" t="n"/>
    </row>
    <row r="485">
      <c r="A485" s="15" t="n"/>
      <c r="B485" s="15" t="n"/>
      <c r="C485" s="15" t="n"/>
      <c r="D485" s="15" t="n"/>
      <c r="E485" s="15" t="n"/>
      <c r="F485" s="16" t="n"/>
      <c r="G485" s="16" t="n"/>
      <c r="H485" s="16" t="n"/>
      <c r="I485" s="15" t="n"/>
      <c r="J485" s="15" t="n"/>
      <c r="K485" s="15" t="n"/>
      <c r="L485" s="15" t="n"/>
      <c r="M485" s="15">
        <f>IF(G485="","",MAX(0,IF(H485&lt;&gt;"",H485-G485,IF(I485="Completed",0,TODAY()-G485))))</f>
        <v/>
      </c>
      <c r="N485" s="15" t="n"/>
    </row>
    <row r="486">
      <c r="A486" s="15" t="n"/>
      <c r="B486" s="15" t="n"/>
      <c r="C486" s="15" t="n"/>
      <c r="D486" s="15" t="n"/>
      <c r="E486" s="15" t="n"/>
      <c r="F486" s="16" t="n"/>
      <c r="G486" s="16" t="n"/>
      <c r="H486" s="16" t="n"/>
      <c r="I486" s="15" t="n"/>
      <c r="J486" s="15" t="n"/>
      <c r="K486" s="15" t="n"/>
      <c r="L486" s="15" t="n"/>
      <c r="M486" s="15">
        <f>IF(G486="","",MAX(0,IF(H486&lt;&gt;"",H486-G486,IF(I486="Completed",0,TODAY()-G486))))</f>
        <v/>
      </c>
      <c r="N486" s="15" t="n"/>
    </row>
    <row r="487">
      <c r="A487" s="15" t="n"/>
      <c r="B487" s="15" t="n"/>
      <c r="C487" s="15" t="n"/>
      <c r="D487" s="15" t="n"/>
      <c r="E487" s="15" t="n"/>
      <c r="F487" s="16" t="n"/>
      <c r="G487" s="16" t="n"/>
      <c r="H487" s="16" t="n"/>
      <c r="I487" s="15" t="n"/>
      <c r="J487" s="15" t="n"/>
      <c r="K487" s="15" t="n"/>
      <c r="L487" s="15" t="n"/>
      <c r="M487" s="15">
        <f>IF(G487="","",MAX(0,IF(H487&lt;&gt;"",H487-G487,IF(I487="Completed",0,TODAY()-G487))))</f>
        <v/>
      </c>
      <c r="N487" s="15" t="n"/>
    </row>
    <row r="488">
      <c r="A488" s="15" t="n"/>
      <c r="B488" s="15" t="n"/>
      <c r="C488" s="15" t="n"/>
      <c r="D488" s="15" t="n"/>
      <c r="E488" s="15" t="n"/>
      <c r="F488" s="16" t="n"/>
      <c r="G488" s="16" t="n"/>
      <c r="H488" s="16" t="n"/>
      <c r="I488" s="15" t="n"/>
      <c r="J488" s="15" t="n"/>
      <c r="K488" s="15" t="n"/>
      <c r="L488" s="15" t="n"/>
      <c r="M488" s="15">
        <f>IF(G488="","",MAX(0,IF(H488&lt;&gt;"",H488-G488,IF(I488="Completed",0,TODAY()-G488))))</f>
        <v/>
      </c>
      <c r="N488" s="15" t="n"/>
    </row>
    <row r="489">
      <c r="A489" s="15" t="n"/>
      <c r="B489" s="15" t="n"/>
      <c r="C489" s="15" t="n"/>
      <c r="D489" s="15" t="n"/>
      <c r="E489" s="15" t="n"/>
      <c r="F489" s="16" t="n"/>
      <c r="G489" s="16" t="n"/>
      <c r="H489" s="16" t="n"/>
      <c r="I489" s="15" t="n"/>
      <c r="J489" s="15" t="n"/>
      <c r="K489" s="15" t="n"/>
      <c r="L489" s="15" t="n"/>
      <c r="M489" s="15">
        <f>IF(G489="","",MAX(0,IF(H489&lt;&gt;"",H489-G489,IF(I489="Completed",0,TODAY()-G489))))</f>
        <v/>
      </c>
      <c r="N489" s="15" t="n"/>
    </row>
    <row r="490">
      <c r="A490" s="15" t="n"/>
      <c r="B490" s="15" t="n"/>
      <c r="C490" s="15" t="n"/>
      <c r="D490" s="15" t="n"/>
      <c r="E490" s="15" t="n"/>
      <c r="F490" s="16" t="n"/>
      <c r="G490" s="16" t="n"/>
      <c r="H490" s="16" t="n"/>
      <c r="I490" s="15" t="n"/>
      <c r="J490" s="15" t="n"/>
      <c r="K490" s="15" t="n"/>
      <c r="L490" s="15" t="n"/>
      <c r="M490" s="15">
        <f>IF(G490="","",MAX(0,IF(H490&lt;&gt;"",H490-G490,IF(I490="Completed",0,TODAY()-G490))))</f>
        <v/>
      </c>
      <c r="N490" s="15" t="n"/>
    </row>
    <row r="491">
      <c r="A491" s="15" t="n"/>
      <c r="B491" s="15" t="n"/>
      <c r="C491" s="15" t="n"/>
      <c r="D491" s="15" t="n"/>
      <c r="E491" s="15" t="n"/>
      <c r="F491" s="16" t="n"/>
      <c r="G491" s="16" t="n"/>
      <c r="H491" s="16" t="n"/>
      <c r="I491" s="15" t="n"/>
      <c r="J491" s="15" t="n"/>
      <c r="K491" s="15" t="n"/>
      <c r="L491" s="15" t="n"/>
      <c r="M491" s="15">
        <f>IF(G491="","",MAX(0,IF(H491&lt;&gt;"",H491-G491,IF(I491="Completed",0,TODAY()-G491))))</f>
        <v/>
      </c>
      <c r="N491" s="15" t="n"/>
    </row>
    <row r="492">
      <c r="A492" s="15" t="n"/>
      <c r="B492" s="15" t="n"/>
      <c r="C492" s="15" t="n"/>
      <c r="D492" s="15" t="n"/>
      <c r="E492" s="15" t="n"/>
      <c r="F492" s="16" t="n"/>
      <c r="G492" s="16" t="n"/>
      <c r="H492" s="16" t="n"/>
      <c r="I492" s="15" t="n"/>
      <c r="J492" s="15" t="n"/>
      <c r="K492" s="15" t="n"/>
      <c r="L492" s="15" t="n"/>
      <c r="M492" s="15">
        <f>IF(G492="","",MAX(0,IF(H492&lt;&gt;"",H492-G492,IF(I492="Completed",0,TODAY()-G492))))</f>
        <v/>
      </c>
      <c r="N492" s="15" t="n"/>
    </row>
    <row r="493">
      <c r="A493" s="15" t="n"/>
      <c r="B493" s="15" t="n"/>
      <c r="C493" s="15" t="n"/>
      <c r="D493" s="15" t="n"/>
      <c r="E493" s="15" t="n"/>
      <c r="F493" s="16" t="n"/>
      <c r="G493" s="16" t="n"/>
      <c r="H493" s="16" t="n"/>
      <c r="I493" s="15" t="n"/>
      <c r="J493" s="15" t="n"/>
      <c r="K493" s="15" t="n"/>
      <c r="L493" s="15" t="n"/>
      <c r="M493" s="15">
        <f>IF(G493="","",MAX(0,IF(H493&lt;&gt;"",H493-G493,IF(I493="Completed",0,TODAY()-G493))))</f>
        <v/>
      </c>
      <c r="N493" s="15" t="n"/>
    </row>
    <row r="494">
      <c r="A494" s="15" t="n"/>
      <c r="B494" s="15" t="n"/>
      <c r="C494" s="15" t="n"/>
      <c r="D494" s="15" t="n"/>
      <c r="E494" s="15" t="n"/>
      <c r="F494" s="16" t="n"/>
      <c r="G494" s="16" t="n"/>
      <c r="H494" s="16" t="n"/>
      <c r="I494" s="15" t="n"/>
      <c r="J494" s="15" t="n"/>
      <c r="K494" s="15" t="n"/>
      <c r="L494" s="15" t="n"/>
      <c r="M494" s="15">
        <f>IF(G494="","",MAX(0,IF(H494&lt;&gt;"",H494-G494,IF(I494="Completed",0,TODAY()-G494))))</f>
        <v/>
      </c>
      <c r="N494" s="15" t="n"/>
    </row>
    <row r="495">
      <c r="A495" s="15" t="n"/>
      <c r="B495" s="15" t="n"/>
      <c r="C495" s="15" t="n"/>
      <c r="D495" s="15" t="n"/>
      <c r="E495" s="15" t="n"/>
      <c r="F495" s="16" t="n"/>
      <c r="G495" s="16" t="n"/>
      <c r="H495" s="16" t="n"/>
      <c r="I495" s="15" t="n"/>
      <c r="J495" s="15" t="n"/>
      <c r="K495" s="15" t="n"/>
      <c r="L495" s="15" t="n"/>
      <c r="M495" s="15">
        <f>IF(G495="","",MAX(0,IF(H495&lt;&gt;"",H495-G495,IF(I495="Completed",0,TODAY()-G495))))</f>
        <v/>
      </c>
      <c r="N495" s="15" t="n"/>
    </row>
    <row r="496">
      <c r="A496" s="15" t="n"/>
      <c r="B496" s="15" t="n"/>
      <c r="C496" s="15" t="n"/>
      <c r="D496" s="15" t="n"/>
      <c r="E496" s="15" t="n"/>
      <c r="F496" s="16" t="n"/>
      <c r="G496" s="16" t="n"/>
      <c r="H496" s="16" t="n"/>
      <c r="I496" s="15" t="n"/>
      <c r="J496" s="15" t="n"/>
      <c r="K496" s="15" t="n"/>
      <c r="L496" s="15" t="n"/>
      <c r="M496" s="15">
        <f>IF(G496="","",MAX(0,IF(H496&lt;&gt;"",H496-G496,IF(I496="Completed",0,TODAY()-G496))))</f>
        <v/>
      </c>
      <c r="N496" s="15" t="n"/>
    </row>
    <row r="497">
      <c r="A497" s="15" t="n"/>
      <c r="B497" s="15" t="n"/>
      <c r="C497" s="15" t="n"/>
      <c r="D497" s="15" t="n"/>
      <c r="E497" s="15" t="n"/>
      <c r="F497" s="16" t="n"/>
      <c r="G497" s="16" t="n"/>
      <c r="H497" s="16" t="n"/>
      <c r="I497" s="15" t="n"/>
      <c r="J497" s="15" t="n"/>
      <c r="K497" s="15" t="n"/>
      <c r="L497" s="15" t="n"/>
      <c r="M497" s="15">
        <f>IF(G497="","",MAX(0,IF(H497&lt;&gt;"",H497-G497,IF(I497="Completed",0,TODAY()-G497))))</f>
        <v/>
      </c>
      <c r="N497" s="15" t="n"/>
    </row>
    <row r="498">
      <c r="A498" s="15" t="n"/>
      <c r="B498" s="15" t="n"/>
      <c r="C498" s="15" t="n"/>
      <c r="D498" s="15" t="n"/>
      <c r="E498" s="15" t="n"/>
      <c r="F498" s="16" t="n"/>
      <c r="G498" s="16" t="n"/>
      <c r="H498" s="16" t="n"/>
      <c r="I498" s="15" t="n"/>
      <c r="J498" s="15" t="n"/>
      <c r="K498" s="15" t="n"/>
      <c r="L498" s="15" t="n"/>
      <c r="M498" s="15">
        <f>IF(G498="","",MAX(0,IF(H498&lt;&gt;"",H498-G498,IF(I498="Completed",0,TODAY()-G498))))</f>
        <v/>
      </c>
      <c r="N498" s="15" t="n"/>
    </row>
    <row r="499">
      <c r="A499" s="15" t="n"/>
      <c r="B499" s="15" t="n"/>
      <c r="C499" s="15" t="n"/>
      <c r="D499" s="15" t="n"/>
      <c r="E499" s="15" t="n"/>
      <c r="F499" s="16" t="n"/>
      <c r="G499" s="16" t="n"/>
      <c r="H499" s="16" t="n"/>
      <c r="I499" s="15" t="n"/>
      <c r="J499" s="15" t="n"/>
      <c r="K499" s="15" t="n"/>
      <c r="L499" s="15" t="n"/>
      <c r="M499" s="15">
        <f>IF(G499="","",MAX(0,IF(H499&lt;&gt;"",H499-G499,IF(I499="Completed",0,TODAY()-G499))))</f>
        <v/>
      </c>
      <c r="N499" s="15" t="n"/>
    </row>
    <row r="500">
      <c r="A500" s="15" t="n"/>
      <c r="B500" s="15" t="n"/>
      <c r="C500" s="15" t="n"/>
      <c r="D500" s="15" t="n"/>
      <c r="E500" s="15" t="n"/>
      <c r="F500" s="16" t="n"/>
      <c r="G500" s="16" t="n"/>
      <c r="H500" s="16" t="n"/>
      <c r="I500" s="15" t="n"/>
      <c r="J500" s="15" t="n"/>
      <c r="K500" s="15" t="n"/>
      <c r="L500" s="15" t="n"/>
      <c r="M500" s="15">
        <f>IF(G500="","",MAX(0,IF(H500&lt;&gt;"",H500-G500,IF(I500="Completed",0,TODAY()-G500))))</f>
        <v/>
      </c>
      <c r="N500" s="15" t="n"/>
    </row>
    <row r="501">
      <c r="A501" s="15" t="n"/>
      <c r="B501" s="15" t="n"/>
      <c r="C501" s="15" t="n"/>
      <c r="D501" s="15" t="n"/>
      <c r="E501" s="15" t="n"/>
      <c r="F501" s="16" t="n"/>
      <c r="G501" s="16" t="n"/>
      <c r="H501" s="16" t="n"/>
      <c r="I501" s="15" t="n"/>
      <c r="J501" s="15" t="n"/>
      <c r="K501" s="15" t="n"/>
      <c r="L501" s="15" t="n"/>
      <c r="M501" s="15">
        <f>IF(G501="","",MAX(0,IF(H501&lt;&gt;"",H501-G501,IF(I501="Completed",0,TODAY()-G501))))</f>
        <v/>
      </c>
      <c r="N501" s="15" t="n"/>
    </row>
    <row r="502">
      <c r="A502" s="15" t="n"/>
      <c r="B502" s="15" t="n"/>
      <c r="C502" s="15" t="n"/>
      <c r="D502" s="15" t="n"/>
      <c r="E502" s="15" t="n"/>
      <c r="F502" s="16" t="n"/>
      <c r="G502" s="16" t="n"/>
      <c r="H502" s="16" t="n"/>
      <c r="I502" s="15" t="n"/>
      <c r="J502" s="15" t="n"/>
      <c r="K502" s="15" t="n"/>
      <c r="L502" s="15" t="n"/>
      <c r="M502" s="15">
        <f>IF(G502="","",MAX(0,IF(H502&lt;&gt;"",H502-G502,IF(I502="Completed",0,TODAY()-G502))))</f>
        <v/>
      </c>
      <c r="N502" s="15" t="n"/>
    </row>
    <row r="503">
      <c r="A503" s="15" t="n"/>
      <c r="B503" s="15" t="n"/>
      <c r="C503" s="15" t="n"/>
      <c r="D503" s="15" t="n"/>
      <c r="E503" s="15" t="n"/>
      <c r="F503" s="16" t="n"/>
      <c r="G503" s="16" t="n"/>
      <c r="H503" s="16" t="n"/>
      <c r="I503" s="15" t="n"/>
      <c r="J503" s="15" t="n"/>
      <c r="K503" s="15" t="n"/>
      <c r="L503" s="15" t="n"/>
      <c r="M503" s="15">
        <f>IF(G503="","",MAX(0,IF(H503&lt;&gt;"",H503-G503,IF(I503="Completed",0,TODAY()-G503))))</f>
        <v/>
      </c>
      <c r="N503" s="15" t="n"/>
    </row>
    <row r="504">
      <c r="A504" s="15" t="n"/>
      <c r="B504" s="15" t="n"/>
      <c r="C504" s="15" t="n"/>
      <c r="D504" s="15" t="n"/>
      <c r="E504" s="15" t="n"/>
      <c r="F504" s="16" t="n"/>
      <c r="G504" s="16" t="n"/>
      <c r="H504" s="16" t="n"/>
      <c r="I504" s="15" t="n"/>
      <c r="J504" s="15" t="n"/>
      <c r="K504" s="15" t="n"/>
      <c r="L504" s="15" t="n"/>
      <c r="M504" s="15">
        <f>IF(G504="","",MAX(0,IF(H504&lt;&gt;"",H504-G504,IF(I504="Completed",0,TODAY()-G504))))</f>
        <v/>
      </c>
      <c r="N504" s="15" t="n"/>
    </row>
    <row r="505">
      <c r="A505" s="15" t="n"/>
      <c r="B505" s="15" t="n"/>
      <c r="C505" s="15" t="n"/>
      <c r="D505" s="15" t="n"/>
      <c r="E505" s="15" t="n"/>
      <c r="F505" s="16" t="n"/>
      <c r="G505" s="16" t="n"/>
      <c r="H505" s="16" t="n"/>
      <c r="I505" s="15" t="n"/>
      <c r="J505" s="15" t="n"/>
      <c r="K505" s="15" t="n"/>
      <c r="L505" s="15" t="n"/>
      <c r="M505" s="15">
        <f>IF(G505="","",MAX(0,IF(H505&lt;&gt;"",H505-G505,IF(I505="Completed",0,TODAY()-G505))))</f>
        <v/>
      </c>
      <c r="N505" s="15" t="n"/>
    </row>
    <row r="506">
      <c r="A506" s="15" t="n"/>
      <c r="B506" s="15" t="n"/>
      <c r="C506" s="15" t="n"/>
      <c r="D506" s="15" t="n"/>
      <c r="E506" s="15" t="n"/>
      <c r="F506" s="16" t="n"/>
      <c r="G506" s="16" t="n"/>
      <c r="H506" s="16" t="n"/>
      <c r="I506" s="15" t="n"/>
      <c r="J506" s="15" t="n"/>
      <c r="K506" s="15" t="n"/>
      <c r="L506" s="15" t="n"/>
      <c r="M506" s="15">
        <f>IF(G506="","",MAX(0,IF(H506&lt;&gt;"",H506-G506,IF(I506="Completed",0,TODAY()-G506))))</f>
        <v/>
      </c>
      <c r="N506" s="15" t="n"/>
    </row>
    <row r="507">
      <c r="A507" s="15" t="n"/>
      <c r="B507" s="15" t="n"/>
      <c r="C507" s="15" t="n"/>
      <c r="D507" s="15" t="n"/>
      <c r="E507" s="15" t="n"/>
      <c r="F507" s="16" t="n"/>
      <c r="G507" s="16" t="n"/>
      <c r="H507" s="16" t="n"/>
      <c r="I507" s="15" t="n"/>
      <c r="J507" s="15" t="n"/>
      <c r="K507" s="15" t="n"/>
      <c r="L507" s="15" t="n"/>
      <c r="M507" s="15">
        <f>IF(G507="","",MAX(0,IF(H507&lt;&gt;"",H507-G507,IF(I507="Completed",0,TODAY()-G507))))</f>
        <v/>
      </c>
      <c r="N507" s="15" t="n"/>
    </row>
    <row r="508">
      <c r="A508" s="15" t="n"/>
      <c r="B508" s="15" t="n"/>
      <c r="C508" s="15" t="n"/>
      <c r="D508" s="15" t="n"/>
      <c r="E508" s="15" t="n"/>
      <c r="F508" s="16" t="n"/>
      <c r="G508" s="16" t="n"/>
      <c r="H508" s="16" t="n"/>
      <c r="I508" s="15" t="n"/>
      <c r="J508" s="15" t="n"/>
      <c r="K508" s="15" t="n"/>
      <c r="L508" s="15" t="n"/>
      <c r="M508" s="15">
        <f>IF(G508="","",MAX(0,IF(H508&lt;&gt;"",H508-G508,IF(I508="Completed",0,TODAY()-G508))))</f>
        <v/>
      </c>
      <c r="N508" s="15" t="n"/>
    </row>
    <row r="509">
      <c r="A509" s="15" t="n"/>
      <c r="B509" s="15" t="n"/>
      <c r="C509" s="15" t="n"/>
      <c r="D509" s="15" t="n"/>
      <c r="E509" s="15" t="n"/>
      <c r="F509" s="16" t="n"/>
      <c r="G509" s="16" t="n"/>
      <c r="H509" s="16" t="n"/>
      <c r="I509" s="15" t="n"/>
      <c r="J509" s="15" t="n"/>
      <c r="K509" s="15" t="n"/>
      <c r="L509" s="15" t="n"/>
      <c r="M509" s="15">
        <f>IF(G509="","",MAX(0,IF(H509&lt;&gt;"",H509-G509,IF(I509="Completed",0,TODAY()-G509))))</f>
        <v/>
      </c>
      <c r="N509" s="15" t="n"/>
    </row>
    <row r="510">
      <c r="A510" s="15" t="n"/>
      <c r="B510" s="15" t="n"/>
      <c r="C510" s="15" t="n"/>
      <c r="D510" s="15" t="n"/>
      <c r="E510" s="15" t="n"/>
      <c r="F510" s="16" t="n"/>
      <c r="G510" s="16" t="n"/>
      <c r="H510" s="16" t="n"/>
      <c r="I510" s="15" t="n"/>
      <c r="J510" s="15" t="n"/>
      <c r="K510" s="15" t="n"/>
      <c r="L510" s="15" t="n"/>
      <c r="M510" s="15">
        <f>IF(G510="","",MAX(0,IF(H510&lt;&gt;"",H510-G510,IF(I510="Completed",0,TODAY()-G510))))</f>
        <v/>
      </c>
      <c r="N510" s="15" t="n"/>
    </row>
    <row r="511">
      <c r="A511" s="15" t="n"/>
      <c r="B511" s="15" t="n"/>
      <c r="C511" s="15" t="n"/>
      <c r="D511" s="15" t="n"/>
      <c r="E511" s="15" t="n"/>
      <c r="F511" s="16" t="n"/>
      <c r="G511" s="16" t="n"/>
      <c r="H511" s="16" t="n"/>
      <c r="I511" s="15" t="n"/>
      <c r="J511" s="15" t="n"/>
      <c r="K511" s="15" t="n"/>
      <c r="L511" s="15" t="n"/>
      <c r="M511" s="15">
        <f>IF(G511="","",MAX(0,IF(H511&lt;&gt;"",H511-G511,IF(I511="Completed",0,TODAY()-G511))))</f>
        <v/>
      </c>
      <c r="N511" s="15" t="n"/>
    </row>
    <row r="512">
      <c r="A512" s="15" t="n"/>
      <c r="B512" s="15" t="n"/>
      <c r="C512" s="15" t="n"/>
      <c r="D512" s="15" t="n"/>
      <c r="E512" s="15" t="n"/>
      <c r="F512" s="16" t="n"/>
      <c r="G512" s="16" t="n"/>
      <c r="H512" s="16" t="n"/>
      <c r="I512" s="15" t="n"/>
      <c r="J512" s="15" t="n"/>
      <c r="K512" s="15" t="n"/>
      <c r="L512" s="15" t="n"/>
      <c r="M512" s="15">
        <f>IF(G512="","",MAX(0,IF(H512&lt;&gt;"",H512-G512,IF(I512="Completed",0,TODAY()-G512))))</f>
        <v/>
      </c>
      <c r="N512" s="15" t="n"/>
    </row>
    <row r="513">
      <c r="A513" s="15" t="n"/>
      <c r="B513" s="15" t="n"/>
      <c r="C513" s="15" t="n"/>
      <c r="D513" s="15" t="n"/>
      <c r="E513" s="15" t="n"/>
      <c r="F513" s="16" t="n"/>
      <c r="G513" s="16" t="n"/>
      <c r="H513" s="16" t="n"/>
      <c r="I513" s="15" t="n"/>
      <c r="J513" s="15" t="n"/>
      <c r="K513" s="15" t="n"/>
      <c r="L513" s="15" t="n"/>
      <c r="M513" s="15">
        <f>IF(G513="","",MAX(0,IF(H513&lt;&gt;"",H513-G513,IF(I513="Completed",0,TODAY()-G513))))</f>
        <v/>
      </c>
      <c r="N513" s="15" t="n"/>
    </row>
    <row r="514">
      <c r="A514" s="15" t="n"/>
      <c r="B514" s="15" t="n"/>
      <c r="C514" s="15" t="n"/>
      <c r="D514" s="15" t="n"/>
      <c r="E514" s="15" t="n"/>
      <c r="F514" s="16" t="n"/>
      <c r="G514" s="16" t="n"/>
      <c r="H514" s="16" t="n"/>
      <c r="I514" s="15" t="n"/>
      <c r="J514" s="15" t="n"/>
      <c r="K514" s="15" t="n"/>
      <c r="L514" s="15" t="n"/>
      <c r="M514" s="15">
        <f>IF(G514="","",MAX(0,IF(H514&lt;&gt;"",H514-G514,IF(I514="Completed",0,TODAY()-G514))))</f>
        <v/>
      </c>
      <c r="N514" s="15" t="n"/>
    </row>
    <row r="515">
      <c r="A515" s="15" t="n"/>
      <c r="B515" s="15" t="n"/>
      <c r="C515" s="15" t="n"/>
      <c r="D515" s="15" t="n"/>
      <c r="E515" s="15" t="n"/>
      <c r="F515" s="16" t="n"/>
      <c r="G515" s="16" t="n"/>
      <c r="H515" s="16" t="n"/>
      <c r="I515" s="15" t="n"/>
      <c r="J515" s="15" t="n"/>
      <c r="K515" s="15" t="n"/>
      <c r="L515" s="15" t="n"/>
      <c r="M515" s="15">
        <f>IF(G515="","",MAX(0,IF(H515&lt;&gt;"",H515-G515,IF(I515="Completed",0,TODAY()-G515))))</f>
        <v/>
      </c>
      <c r="N515" s="15" t="n"/>
    </row>
    <row r="516">
      <c r="A516" s="15" t="n"/>
      <c r="B516" s="15" t="n"/>
      <c r="C516" s="15" t="n"/>
      <c r="D516" s="15" t="n"/>
      <c r="E516" s="15" t="n"/>
      <c r="F516" s="16" t="n"/>
      <c r="G516" s="16" t="n"/>
      <c r="H516" s="16" t="n"/>
      <c r="I516" s="15" t="n"/>
      <c r="J516" s="15" t="n"/>
      <c r="K516" s="15" t="n"/>
      <c r="L516" s="15" t="n"/>
      <c r="M516" s="15">
        <f>IF(G516="","",MAX(0,IF(H516&lt;&gt;"",H516-G516,IF(I516="Completed",0,TODAY()-G516))))</f>
        <v/>
      </c>
      <c r="N516" s="15" t="n"/>
    </row>
    <row r="517">
      <c r="A517" s="15" t="n"/>
      <c r="B517" s="15" t="n"/>
      <c r="C517" s="15" t="n"/>
      <c r="D517" s="15" t="n"/>
      <c r="E517" s="15" t="n"/>
      <c r="F517" s="16" t="n"/>
      <c r="G517" s="16" t="n"/>
      <c r="H517" s="16" t="n"/>
      <c r="I517" s="15" t="n"/>
      <c r="J517" s="15" t="n"/>
      <c r="K517" s="15" t="n"/>
      <c r="L517" s="15" t="n"/>
      <c r="M517" s="15">
        <f>IF(G517="","",MAX(0,IF(H517&lt;&gt;"",H517-G517,IF(I517="Completed",0,TODAY()-G517))))</f>
        <v/>
      </c>
      <c r="N517" s="15" t="n"/>
    </row>
    <row r="518">
      <c r="A518" s="15" t="n"/>
      <c r="B518" s="15" t="n"/>
      <c r="C518" s="15" t="n"/>
      <c r="D518" s="15" t="n"/>
      <c r="E518" s="15" t="n"/>
      <c r="F518" s="16" t="n"/>
      <c r="G518" s="16" t="n"/>
      <c r="H518" s="16" t="n"/>
      <c r="I518" s="15" t="n"/>
      <c r="J518" s="15" t="n"/>
      <c r="K518" s="15" t="n"/>
      <c r="L518" s="15" t="n"/>
      <c r="M518" s="15">
        <f>IF(G518="","",MAX(0,IF(H518&lt;&gt;"",H518-G518,IF(I518="Completed",0,TODAY()-G518))))</f>
        <v/>
      </c>
      <c r="N518" s="15" t="n"/>
    </row>
    <row r="519">
      <c r="A519" s="15" t="n"/>
      <c r="B519" s="15" t="n"/>
      <c r="C519" s="15" t="n"/>
      <c r="D519" s="15" t="n"/>
      <c r="E519" s="15" t="n"/>
      <c r="F519" s="16" t="n"/>
      <c r="G519" s="16" t="n"/>
      <c r="H519" s="16" t="n"/>
      <c r="I519" s="15" t="n"/>
      <c r="J519" s="15" t="n"/>
      <c r="K519" s="15" t="n"/>
      <c r="L519" s="15" t="n"/>
      <c r="M519" s="15">
        <f>IF(G519="","",MAX(0,IF(H519&lt;&gt;"",H519-G519,IF(I519="Completed",0,TODAY()-G519))))</f>
        <v/>
      </c>
      <c r="N519" s="15" t="n"/>
    </row>
    <row r="520">
      <c r="A520" s="15" t="n"/>
      <c r="B520" s="15" t="n"/>
      <c r="C520" s="15" t="n"/>
      <c r="D520" s="15" t="n"/>
      <c r="E520" s="15" t="n"/>
      <c r="F520" s="16" t="n"/>
      <c r="G520" s="16" t="n"/>
      <c r="H520" s="16" t="n"/>
      <c r="I520" s="15" t="n"/>
      <c r="J520" s="15" t="n"/>
      <c r="K520" s="15" t="n"/>
      <c r="L520" s="15" t="n"/>
      <c r="M520" s="15">
        <f>IF(G520="","",MAX(0,IF(H520&lt;&gt;"",H520-G520,IF(I520="Completed",0,TODAY()-G520))))</f>
        <v/>
      </c>
      <c r="N520" s="15" t="n"/>
    </row>
    <row r="521">
      <c r="A521" s="15" t="n"/>
      <c r="B521" s="15" t="n"/>
      <c r="C521" s="15" t="n"/>
      <c r="D521" s="15" t="n"/>
      <c r="E521" s="15" t="n"/>
      <c r="F521" s="16" t="n"/>
      <c r="G521" s="16" t="n"/>
      <c r="H521" s="16" t="n"/>
      <c r="I521" s="15" t="n"/>
      <c r="J521" s="15" t="n"/>
      <c r="K521" s="15" t="n"/>
      <c r="L521" s="15" t="n"/>
      <c r="M521" s="15">
        <f>IF(G521="","",MAX(0,IF(H521&lt;&gt;"",H521-G521,IF(I521="Completed",0,TODAY()-G521))))</f>
        <v/>
      </c>
      <c r="N521" s="15" t="n"/>
    </row>
    <row r="522">
      <c r="A522" s="15" t="n"/>
      <c r="B522" s="15" t="n"/>
      <c r="C522" s="15" t="n"/>
      <c r="D522" s="15" t="n"/>
      <c r="E522" s="15" t="n"/>
      <c r="F522" s="16" t="n"/>
      <c r="G522" s="16" t="n"/>
      <c r="H522" s="16" t="n"/>
      <c r="I522" s="15" t="n"/>
      <c r="J522" s="15" t="n"/>
      <c r="K522" s="15" t="n"/>
      <c r="L522" s="15" t="n"/>
      <c r="M522" s="15">
        <f>IF(G522="","",MAX(0,IF(H522&lt;&gt;"",H522-G522,IF(I522="Completed",0,TODAY()-G522))))</f>
        <v/>
      </c>
      <c r="N522" s="15" t="n"/>
    </row>
    <row r="523">
      <c r="A523" s="15" t="n"/>
      <c r="B523" s="15" t="n"/>
      <c r="C523" s="15" t="n"/>
      <c r="D523" s="15" t="n"/>
      <c r="E523" s="15" t="n"/>
      <c r="F523" s="16" t="n"/>
      <c r="G523" s="16" t="n"/>
      <c r="H523" s="16" t="n"/>
      <c r="I523" s="15" t="n"/>
      <c r="J523" s="15" t="n"/>
      <c r="K523" s="15" t="n"/>
      <c r="L523" s="15" t="n"/>
      <c r="M523" s="15">
        <f>IF(G523="","",MAX(0,IF(H523&lt;&gt;"",H523-G523,IF(I523="Completed",0,TODAY()-G523))))</f>
        <v/>
      </c>
      <c r="N523" s="15" t="n"/>
    </row>
    <row r="524">
      <c r="A524" s="15" t="n"/>
      <c r="B524" s="15" t="n"/>
      <c r="C524" s="15" t="n"/>
      <c r="D524" s="15" t="n"/>
      <c r="E524" s="15" t="n"/>
      <c r="F524" s="16" t="n"/>
      <c r="G524" s="16" t="n"/>
      <c r="H524" s="16" t="n"/>
      <c r="I524" s="15" t="n"/>
      <c r="J524" s="15" t="n"/>
      <c r="K524" s="15" t="n"/>
      <c r="L524" s="15" t="n"/>
      <c r="M524" s="15">
        <f>IF(G524="","",MAX(0,IF(H524&lt;&gt;"",H524-G524,IF(I524="Completed",0,TODAY()-G524))))</f>
        <v/>
      </c>
      <c r="N524" s="15" t="n"/>
    </row>
    <row r="525">
      <c r="A525" s="15" t="n"/>
      <c r="B525" s="15" t="n"/>
      <c r="C525" s="15" t="n"/>
      <c r="D525" s="15" t="n"/>
      <c r="E525" s="15" t="n"/>
      <c r="F525" s="16" t="n"/>
      <c r="G525" s="16" t="n"/>
      <c r="H525" s="16" t="n"/>
      <c r="I525" s="15" t="n"/>
      <c r="J525" s="15" t="n"/>
      <c r="K525" s="15" t="n"/>
      <c r="L525" s="15" t="n"/>
      <c r="M525" s="15">
        <f>IF(G525="","",MAX(0,IF(H525&lt;&gt;"",H525-G525,IF(I525="Completed",0,TODAY()-G525))))</f>
        <v/>
      </c>
      <c r="N525" s="15" t="n"/>
    </row>
    <row r="526">
      <c r="A526" s="15" t="n"/>
      <c r="B526" s="15" t="n"/>
      <c r="C526" s="15" t="n"/>
      <c r="D526" s="15" t="n"/>
      <c r="E526" s="15" t="n"/>
      <c r="F526" s="16" t="n"/>
      <c r="G526" s="16" t="n"/>
      <c r="H526" s="16" t="n"/>
      <c r="I526" s="15" t="n"/>
      <c r="J526" s="15" t="n"/>
      <c r="K526" s="15" t="n"/>
      <c r="L526" s="15" t="n"/>
      <c r="M526" s="15">
        <f>IF(G526="","",MAX(0,IF(H526&lt;&gt;"",H526-G526,IF(I526="Completed",0,TODAY()-G526))))</f>
        <v/>
      </c>
      <c r="N526" s="15" t="n"/>
    </row>
    <row r="527">
      <c r="A527" s="15" t="n"/>
      <c r="B527" s="15" t="n"/>
      <c r="C527" s="15" t="n"/>
      <c r="D527" s="15" t="n"/>
      <c r="E527" s="15" t="n"/>
      <c r="F527" s="16" t="n"/>
      <c r="G527" s="16" t="n"/>
      <c r="H527" s="16" t="n"/>
      <c r="I527" s="15" t="n"/>
      <c r="J527" s="15" t="n"/>
      <c r="K527" s="15" t="n"/>
      <c r="L527" s="15" t="n"/>
      <c r="M527" s="15">
        <f>IF(G527="","",MAX(0,IF(H527&lt;&gt;"",H527-G527,IF(I527="Completed",0,TODAY()-G527))))</f>
        <v/>
      </c>
      <c r="N527" s="15" t="n"/>
    </row>
    <row r="528">
      <c r="A528" s="15" t="n"/>
      <c r="B528" s="15" t="n"/>
      <c r="C528" s="15" t="n"/>
      <c r="D528" s="15" t="n"/>
      <c r="E528" s="15" t="n"/>
      <c r="F528" s="16" t="n"/>
      <c r="G528" s="16" t="n"/>
      <c r="H528" s="16" t="n"/>
      <c r="I528" s="15" t="n"/>
      <c r="J528" s="15" t="n"/>
      <c r="K528" s="15" t="n"/>
      <c r="L528" s="15" t="n"/>
      <c r="M528" s="15">
        <f>IF(G528="","",MAX(0,IF(H528&lt;&gt;"",H528-G528,IF(I528="Completed",0,TODAY()-G528))))</f>
        <v/>
      </c>
      <c r="N528" s="15" t="n"/>
    </row>
    <row r="529">
      <c r="A529" s="15" t="n"/>
      <c r="B529" s="15" t="n"/>
      <c r="C529" s="15" t="n"/>
      <c r="D529" s="15" t="n"/>
      <c r="E529" s="15" t="n"/>
      <c r="F529" s="16" t="n"/>
      <c r="G529" s="16" t="n"/>
      <c r="H529" s="16" t="n"/>
      <c r="I529" s="15" t="n"/>
      <c r="J529" s="15" t="n"/>
      <c r="K529" s="15" t="n"/>
      <c r="L529" s="15" t="n"/>
      <c r="M529" s="15">
        <f>IF(G529="","",MAX(0,IF(H529&lt;&gt;"",H529-G529,IF(I529="Completed",0,TODAY()-G529))))</f>
        <v/>
      </c>
      <c r="N529" s="15" t="n"/>
    </row>
    <row r="530">
      <c r="A530" s="15" t="n"/>
      <c r="B530" s="15" t="n"/>
      <c r="C530" s="15" t="n"/>
      <c r="D530" s="15" t="n"/>
      <c r="E530" s="15" t="n"/>
      <c r="F530" s="16" t="n"/>
      <c r="G530" s="16" t="n"/>
      <c r="H530" s="16" t="n"/>
      <c r="I530" s="15" t="n"/>
      <c r="J530" s="15" t="n"/>
      <c r="K530" s="15" t="n"/>
      <c r="L530" s="15" t="n"/>
      <c r="M530" s="15">
        <f>IF(G530="","",MAX(0,IF(H530&lt;&gt;"",H530-G530,IF(I530="Completed",0,TODAY()-G530))))</f>
        <v/>
      </c>
      <c r="N530" s="15" t="n"/>
    </row>
    <row r="531">
      <c r="A531" s="15" t="n"/>
      <c r="B531" s="15" t="n"/>
      <c r="C531" s="15" t="n"/>
      <c r="D531" s="15" t="n"/>
      <c r="E531" s="15" t="n"/>
      <c r="F531" s="16" t="n"/>
      <c r="G531" s="16" t="n"/>
      <c r="H531" s="16" t="n"/>
      <c r="I531" s="15" t="n"/>
      <c r="J531" s="15" t="n"/>
      <c r="K531" s="15" t="n"/>
      <c r="L531" s="15" t="n"/>
      <c r="M531" s="15">
        <f>IF(G531="","",MAX(0,IF(H531&lt;&gt;"",H531-G531,IF(I531="Completed",0,TODAY()-G531))))</f>
        <v/>
      </c>
      <c r="N531" s="15" t="n"/>
    </row>
    <row r="532">
      <c r="A532" s="15" t="n"/>
      <c r="B532" s="15" t="n"/>
      <c r="C532" s="15" t="n"/>
      <c r="D532" s="15" t="n"/>
      <c r="E532" s="15" t="n"/>
      <c r="F532" s="16" t="n"/>
      <c r="G532" s="16" t="n"/>
      <c r="H532" s="16" t="n"/>
      <c r="I532" s="15" t="n"/>
      <c r="J532" s="15" t="n"/>
      <c r="K532" s="15" t="n"/>
      <c r="L532" s="15" t="n"/>
      <c r="M532" s="15">
        <f>IF(G532="","",MAX(0,IF(H532&lt;&gt;"",H532-G532,IF(I532="Completed",0,TODAY()-G532))))</f>
        <v/>
      </c>
      <c r="N532" s="15" t="n"/>
    </row>
    <row r="533">
      <c r="A533" s="15" t="n"/>
      <c r="B533" s="15" t="n"/>
      <c r="C533" s="15" t="n"/>
      <c r="D533" s="15" t="n"/>
      <c r="E533" s="15" t="n"/>
      <c r="F533" s="16" t="n"/>
      <c r="G533" s="16" t="n"/>
      <c r="H533" s="16" t="n"/>
      <c r="I533" s="15" t="n"/>
      <c r="J533" s="15" t="n"/>
      <c r="K533" s="15" t="n"/>
      <c r="L533" s="15" t="n"/>
      <c r="M533" s="15">
        <f>IF(G533="","",MAX(0,IF(H533&lt;&gt;"",H533-G533,IF(I533="Completed",0,TODAY()-G533))))</f>
        <v/>
      </c>
      <c r="N533" s="15" t="n"/>
    </row>
    <row r="534">
      <c r="A534" s="15" t="n"/>
      <c r="B534" s="15" t="n"/>
      <c r="C534" s="15" t="n"/>
      <c r="D534" s="15" t="n"/>
      <c r="E534" s="15" t="n"/>
      <c r="F534" s="16" t="n"/>
      <c r="G534" s="16" t="n"/>
      <c r="H534" s="16" t="n"/>
      <c r="I534" s="15" t="n"/>
      <c r="J534" s="15" t="n"/>
      <c r="K534" s="15" t="n"/>
      <c r="L534" s="15" t="n"/>
      <c r="M534" s="15">
        <f>IF(G534="","",MAX(0,IF(H534&lt;&gt;"",H534-G534,IF(I534="Completed",0,TODAY()-G534))))</f>
        <v/>
      </c>
      <c r="N534" s="15" t="n"/>
    </row>
    <row r="535">
      <c r="A535" s="15" t="n"/>
      <c r="B535" s="15" t="n"/>
      <c r="C535" s="15" t="n"/>
      <c r="D535" s="15" t="n"/>
      <c r="E535" s="15" t="n"/>
      <c r="F535" s="16" t="n"/>
      <c r="G535" s="16" t="n"/>
      <c r="H535" s="16" t="n"/>
      <c r="I535" s="15" t="n"/>
      <c r="J535" s="15" t="n"/>
      <c r="K535" s="15" t="n"/>
      <c r="L535" s="15" t="n"/>
      <c r="M535" s="15">
        <f>IF(G535="","",MAX(0,IF(H535&lt;&gt;"",H535-G535,IF(I535="Completed",0,TODAY()-G535))))</f>
        <v/>
      </c>
      <c r="N535" s="15" t="n"/>
    </row>
    <row r="536">
      <c r="A536" s="15" t="n"/>
      <c r="B536" s="15" t="n"/>
      <c r="C536" s="15" t="n"/>
      <c r="D536" s="15" t="n"/>
      <c r="E536" s="15" t="n"/>
      <c r="F536" s="16" t="n"/>
      <c r="G536" s="16" t="n"/>
      <c r="H536" s="16" t="n"/>
      <c r="I536" s="15" t="n"/>
      <c r="J536" s="15" t="n"/>
      <c r="K536" s="15" t="n"/>
      <c r="L536" s="15" t="n"/>
      <c r="M536" s="15">
        <f>IF(G536="","",MAX(0,IF(H536&lt;&gt;"",H536-G536,IF(I536="Completed",0,TODAY()-G536))))</f>
        <v/>
      </c>
      <c r="N536" s="15" t="n"/>
    </row>
    <row r="537">
      <c r="A537" s="15" t="n"/>
      <c r="B537" s="15" t="n"/>
      <c r="C537" s="15" t="n"/>
      <c r="D537" s="15" t="n"/>
      <c r="E537" s="15" t="n"/>
      <c r="F537" s="16" t="n"/>
      <c r="G537" s="16" t="n"/>
      <c r="H537" s="16" t="n"/>
      <c r="I537" s="15" t="n"/>
      <c r="J537" s="15" t="n"/>
      <c r="K537" s="15" t="n"/>
      <c r="L537" s="15" t="n"/>
      <c r="M537" s="15">
        <f>IF(G537="","",MAX(0,IF(H537&lt;&gt;"",H537-G537,IF(I537="Completed",0,TODAY()-G537))))</f>
        <v/>
      </c>
      <c r="N537" s="15" t="n"/>
    </row>
    <row r="538">
      <c r="A538" s="15" t="n"/>
      <c r="B538" s="15" t="n"/>
      <c r="C538" s="15" t="n"/>
      <c r="D538" s="15" t="n"/>
      <c r="E538" s="15" t="n"/>
      <c r="F538" s="16" t="n"/>
      <c r="G538" s="16" t="n"/>
      <c r="H538" s="16" t="n"/>
      <c r="I538" s="15" t="n"/>
      <c r="J538" s="15" t="n"/>
      <c r="K538" s="15" t="n"/>
      <c r="L538" s="15" t="n"/>
      <c r="M538" s="15">
        <f>IF(G538="","",MAX(0,IF(H538&lt;&gt;"",H538-G538,IF(I538="Completed",0,TODAY()-G538))))</f>
        <v/>
      </c>
      <c r="N538" s="15" t="n"/>
    </row>
    <row r="539">
      <c r="A539" s="15" t="n"/>
      <c r="B539" s="15" t="n"/>
      <c r="C539" s="15" t="n"/>
      <c r="D539" s="15" t="n"/>
      <c r="E539" s="15" t="n"/>
      <c r="F539" s="16" t="n"/>
      <c r="G539" s="16" t="n"/>
      <c r="H539" s="16" t="n"/>
      <c r="I539" s="15" t="n"/>
      <c r="J539" s="15" t="n"/>
      <c r="K539" s="15" t="n"/>
      <c r="L539" s="15" t="n"/>
      <c r="M539" s="15">
        <f>IF(G539="","",MAX(0,IF(H539&lt;&gt;"",H539-G539,IF(I539="Completed",0,TODAY()-G539))))</f>
        <v/>
      </c>
      <c r="N539" s="15" t="n"/>
    </row>
    <row r="540">
      <c r="A540" s="15" t="n"/>
      <c r="B540" s="15" t="n"/>
      <c r="C540" s="15" t="n"/>
      <c r="D540" s="15" t="n"/>
      <c r="E540" s="15" t="n"/>
      <c r="F540" s="16" t="n"/>
      <c r="G540" s="16" t="n"/>
      <c r="H540" s="16" t="n"/>
      <c r="I540" s="15" t="n"/>
      <c r="J540" s="15" t="n"/>
      <c r="K540" s="15" t="n"/>
      <c r="L540" s="15" t="n"/>
      <c r="M540" s="15">
        <f>IF(G540="","",MAX(0,IF(H540&lt;&gt;"",H540-G540,IF(I540="Completed",0,TODAY()-G540))))</f>
        <v/>
      </c>
      <c r="N540" s="15" t="n"/>
    </row>
    <row r="541">
      <c r="A541" s="15" t="n"/>
      <c r="B541" s="15" t="n"/>
      <c r="C541" s="15" t="n"/>
      <c r="D541" s="15" t="n"/>
      <c r="E541" s="15" t="n"/>
      <c r="F541" s="16" t="n"/>
      <c r="G541" s="16" t="n"/>
      <c r="H541" s="16" t="n"/>
      <c r="I541" s="15" t="n"/>
      <c r="J541" s="15" t="n"/>
      <c r="K541" s="15" t="n"/>
      <c r="L541" s="15" t="n"/>
      <c r="M541" s="15">
        <f>IF(G541="","",MAX(0,IF(H541&lt;&gt;"",H541-G541,IF(I541="Completed",0,TODAY()-G541))))</f>
        <v/>
      </c>
      <c r="N541" s="15" t="n"/>
    </row>
    <row r="542">
      <c r="A542" s="15" t="n"/>
      <c r="B542" s="15" t="n"/>
      <c r="C542" s="15" t="n"/>
      <c r="D542" s="15" t="n"/>
      <c r="E542" s="15" t="n"/>
      <c r="F542" s="16" t="n"/>
      <c r="G542" s="16" t="n"/>
      <c r="H542" s="16" t="n"/>
      <c r="I542" s="15" t="n"/>
      <c r="J542" s="15" t="n"/>
      <c r="K542" s="15" t="n"/>
      <c r="L542" s="15" t="n"/>
      <c r="M542" s="15">
        <f>IF(G542="","",MAX(0,IF(H542&lt;&gt;"",H542-G542,IF(I542="Completed",0,TODAY()-G542))))</f>
        <v/>
      </c>
      <c r="N542" s="15" t="n"/>
    </row>
    <row r="543">
      <c r="A543" s="15" t="n"/>
      <c r="B543" s="15" t="n"/>
      <c r="C543" s="15" t="n"/>
      <c r="D543" s="15" t="n"/>
      <c r="E543" s="15" t="n"/>
      <c r="F543" s="16" t="n"/>
      <c r="G543" s="16" t="n"/>
      <c r="H543" s="16" t="n"/>
      <c r="I543" s="15" t="n"/>
      <c r="J543" s="15" t="n"/>
      <c r="K543" s="15" t="n"/>
      <c r="L543" s="15" t="n"/>
      <c r="M543" s="15">
        <f>IF(G543="","",MAX(0,IF(H543&lt;&gt;"",H543-G543,IF(I543="Completed",0,TODAY()-G543))))</f>
        <v/>
      </c>
      <c r="N543" s="15" t="n"/>
    </row>
    <row r="544">
      <c r="A544" s="15" t="n"/>
      <c r="B544" s="15" t="n"/>
      <c r="C544" s="15" t="n"/>
      <c r="D544" s="15" t="n"/>
      <c r="E544" s="15" t="n"/>
      <c r="F544" s="16" t="n"/>
      <c r="G544" s="16" t="n"/>
      <c r="H544" s="16" t="n"/>
      <c r="I544" s="15" t="n"/>
      <c r="J544" s="15" t="n"/>
      <c r="K544" s="15" t="n"/>
      <c r="L544" s="15" t="n"/>
      <c r="M544" s="15">
        <f>IF(G544="","",MAX(0,IF(H544&lt;&gt;"",H544-G544,IF(I544="Completed",0,TODAY()-G544))))</f>
        <v/>
      </c>
      <c r="N544" s="15" t="n"/>
    </row>
    <row r="545">
      <c r="A545" s="15" t="n"/>
      <c r="B545" s="15" t="n"/>
      <c r="C545" s="15" t="n"/>
      <c r="D545" s="15" t="n"/>
      <c r="E545" s="15" t="n"/>
      <c r="F545" s="16" t="n"/>
      <c r="G545" s="16" t="n"/>
      <c r="H545" s="16" t="n"/>
      <c r="I545" s="15" t="n"/>
      <c r="J545" s="15" t="n"/>
      <c r="K545" s="15" t="n"/>
      <c r="L545" s="15" t="n"/>
      <c r="M545" s="15">
        <f>IF(G545="","",MAX(0,IF(H545&lt;&gt;"",H545-G545,IF(I545="Completed",0,TODAY()-G545))))</f>
        <v/>
      </c>
      <c r="N545" s="15" t="n"/>
    </row>
    <row r="546">
      <c r="A546" s="15" t="n"/>
      <c r="B546" s="15" t="n"/>
      <c r="C546" s="15" t="n"/>
      <c r="D546" s="15" t="n"/>
      <c r="E546" s="15" t="n"/>
      <c r="F546" s="16" t="n"/>
      <c r="G546" s="16" t="n"/>
      <c r="H546" s="16" t="n"/>
      <c r="I546" s="15" t="n"/>
      <c r="J546" s="15" t="n"/>
      <c r="K546" s="15" t="n"/>
      <c r="L546" s="15" t="n"/>
      <c r="M546" s="15">
        <f>IF(G546="","",MAX(0,IF(H546&lt;&gt;"",H546-G546,IF(I546="Completed",0,TODAY()-G546))))</f>
        <v/>
      </c>
      <c r="N546" s="15" t="n"/>
    </row>
    <row r="547">
      <c r="A547" s="15" t="n"/>
      <c r="B547" s="15" t="n"/>
      <c r="C547" s="15" t="n"/>
      <c r="D547" s="15" t="n"/>
      <c r="E547" s="15" t="n"/>
      <c r="F547" s="16" t="n"/>
      <c r="G547" s="16" t="n"/>
      <c r="H547" s="16" t="n"/>
      <c r="I547" s="15" t="n"/>
      <c r="J547" s="15" t="n"/>
      <c r="K547" s="15" t="n"/>
      <c r="L547" s="15" t="n"/>
      <c r="M547" s="15">
        <f>IF(G547="","",MAX(0,IF(H547&lt;&gt;"",H547-G547,IF(I547="Completed",0,TODAY()-G547))))</f>
        <v/>
      </c>
      <c r="N547" s="15" t="n"/>
    </row>
    <row r="548">
      <c r="A548" s="15" t="n"/>
      <c r="B548" s="15" t="n"/>
      <c r="C548" s="15" t="n"/>
      <c r="D548" s="15" t="n"/>
      <c r="E548" s="15" t="n"/>
      <c r="F548" s="16" t="n"/>
      <c r="G548" s="16" t="n"/>
      <c r="H548" s="16" t="n"/>
      <c r="I548" s="15" t="n"/>
      <c r="J548" s="15" t="n"/>
      <c r="K548" s="15" t="n"/>
      <c r="L548" s="15" t="n"/>
      <c r="M548" s="15">
        <f>IF(G548="","",MAX(0,IF(H548&lt;&gt;"",H548-G548,IF(I548="Completed",0,TODAY()-G548))))</f>
        <v/>
      </c>
      <c r="N548" s="15" t="n"/>
    </row>
    <row r="549">
      <c r="A549" s="15" t="n"/>
      <c r="B549" s="15" t="n"/>
      <c r="C549" s="15" t="n"/>
      <c r="D549" s="15" t="n"/>
      <c r="E549" s="15" t="n"/>
      <c r="F549" s="16" t="n"/>
      <c r="G549" s="16" t="n"/>
      <c r="H549" s="16" t="n"/>
      <c r="I549" s="15" t="n"/>
      <c r="J549" s="15" t="n"/>
      <c r="K549" s="15" t="n"/>
      <c r="L549" s="15" t="n"/>
      <c r="M549" s="15">
        <f>IF(G549="","",MAX(0,IF(H549&lt;&gt;"",H549-G549,IF(I549="Completed",0,TODAY()-G549))))</f>
        <v/>
      </c>
      <c r="N549" s="15" t="n"/>
    </row>
    <row r="550">
      <c r="A550" s="15" t="n"/>
      <c r="B550" s="15" t="n"/>
      <c r="C550" s="15" t="n"/>
      <c r="D550" s="15" t="n"/>
      <c r="E550" s="15" t="n"/>
      <c r="F550" s="16" t="n"/>
      <c r="G550" s="16" t="n"/>
      <c r="H550" s="16" t="n"/>
      <c r="I550" s="15" t="n"/>
      <c r="J550" s="15" t="n"/>
      <c r="K550" s="15" t="n"/>
      <c r="L550" s="15" t="n"/>
      <c r="M550" s="15">
        <f>IF(G550="","",MAX(0,IF(H550&lt;&gt;"",H550-G550,IF(I550="Completed",0,TODAY()-G550))))</f>
        <v/>
      </c>
      <c r="N550" s="15" t="n"/>
    </row>
    <row r="551">
      <c r="A551" s="15" t="n"/>
      <c r="B551" s="15" t="n"/>
      <c r="C551" s="15" t="n"/>
      <c r="D551" s="15" t="n"/>
      <c r="E551" s="15" t="n"/>
      <c r="F551" s="16" t="n"/>
      <c r="G551" s="16" t="n"/>
      <c r="H551" s="16" t="n"/>
      <c r="I551" s="15" t="n"/>
      <c r="J551" s="15" t="n"/>
      <c r="K551" s="15" t="n"/>
      <c r="L551" s="15" t="n"/>
      <c r="M551" s="15">
        <f>IF(G551="","",MAX(0,IF(H551&lt;&gt;"",H551-G551,IF(I551="Completed",0,TODAY()-G551))))</f>
        <v/>
      </c>
      <c r="N551" s="15" t="n"/>
    </row>
    <row r="552">
      <c r="A552" s="15" t="n"/>
      <c r="B552" s="15" t="n"/>
      <c r="C552" s="15" t="n"/>
      <c r="D552" s="15" t="n"/>
      <c r="E552" s="15" t="n"/>
      <c r="F552" s="16" t="n"/>
      <c r="G552" s="16" t="n"/>
      <c r="H552" s="16" t="n"/>
      <c r="I552" s="15" t="n"/>
      <c r="J552" s="15" t="n"/>
      <c r="K552" s="15" t="n"/>
      <c r="L552" s="15" t="n"/>
      <c r="M552" s="15">
        <f>IF(G552="","",MAX(0,IF(H552&lt;&gt;"",H552-G552,IF(I552="Completed",0,TODAY()-G552))))</f>
        <v/>
      </c>
      <c r="N552" s="15" t="n"/>
    </row>
    <row r="553">
      <c r="A553" s="15" t="n"/>
      <c r="B553" s="15" t="n"/>
      <c r="C553" s="15" t="n"/>
      <c r="D553" s="15" t="n"/>
      <c r="E553" s="15" t="n"/>
      <c r="F553" s="16" t="n"/>
      <c r="G553" s="16" t="n"/>
      <c r="H553" s="16" t="n"/>
      <c r="I553" s="15" t="n"/>
      <c r="J553" s="15" t="n"/>
      <c r="K553" s="15" t="n"/>
      <c r="L553" s="15" t="n"/>
      <c r="M553" s="15">
        <f>IF(G553="","",MAX(0,IF(H553&lt;&gt;"",H553-G553,IF(I553="Completed",0,TODAY()-G553))))</f>
        <v/>
      </c>
      <c r="N553" s="15" t="n"/>
    </row>
    <row r="554">
      <c r="A554" s="15" t="n"/>
      <c r="B554" s="15" t="n"/>
      <c r="C554" s="15" t="n"/>
      <c r="D554" s="15" t="n"/>
      <c r="E554" s="15" t="n"/>
      <c r="F554" s="16" t="n"/>
      <c r="G554" s="16" t="n"/>
      <c r="H554" s="16" t="n"/>
      <c r="I554" s="15" t="n"/>
      <c r="J554" s="15" t="n"/>
      <c r="K554" s="15" t="n"/>
      <c r="L554" s="15" t="n"/>
      <c r="M554" s="15">
        <f>IF(G554="","",MAX(0,IF(H554&lt;&gt;"",H554-G554,IF(I554="Completed",0,TODAY()-G554))))</f>
        <v/>
      </c>
      <c r="N554" s="15" t="n"/>
    </row>
    <row r="555">
      <c r="A555" s="15" t="n"/>
      <c r="B555" s="15" t="n"/>
      <c r="C555" s="15" t="n"/>
      <c r="D555" s="15" t="n"/>
      <c r="E555" s="15" t="n"/>
      <c r="F555" s="16" t="n"/>
      <c r="G555" s="16" t="n"/>
      <c r="H555" s="16" t="n"/>
      <c r="I555" s="15" t="n"/>
      <c r="J555" s="15" t="n"/>
      <c r="K555" s="15" t="n"/>
      <c r="L555" s="15" t="n"/>
      <c r="M555" s="15">
        <f>IF(G555="","",MAX(0,IF(H555&lt;&gt;"",H555-G555,IF(I555="Completed",0,TODAY()-G555))))</f>
        <v/>
      </c>
      <c r="N555" s="15" t="n"/>
    </row>
    <row r="556">
      <c r="A556" s="15" t="n"/>
      <c r="B556" s="15" t="n"/>
      <c r="C556" s="15" t="n"/>
      <c r="D556" s="15" t="n"/>
      <c r="E556" s="15" t="n"/>
      <c r="F556" s="16" t="n"/>
      <c r="G556" s="16" t="n"/>
      <c r="H556" s="16" t="n"/>
      <c r="I556" s="15" t="n"/>
      <c r="J556" s="15" t="n"/>
      <c r="K556" s="15" t="n"/>
      <c r="L556" s="15" t="n"/>
      <c r="M556" s="15">
        <f>IF(G556="","",MAX(0,IF(H556&lt;&gt;"",H556-G556,IF(I556="Completed",0,TODAY()-G556))))</f>
        <v/>
      </c>
      <c r="N556" s="15" t="n"/>
    </row>
    <row r="557">
      <c r="A557" s="15" t="n"/>
      <c r="B557" s="15" t="n"/>
      <c r="C557" s="15" t="n"/>
      <c r="D557" s="15" t="n"/>
      <c r="E557" s="15" t="n"/>
      <c r="F557" s="16" t="n"/>
      <c r="G557" s="16" t="n"/>
      <c r="H557" s="16" t="n"/>
      <c r="I557" s="15" t="n"/>
      <c r="J557" s="15" t="n"/>
      <c r="K557" s="15" t="n"/>
      <c r="L557" s="15" t="n"/>
      <c r="M557" s="15">
        <f>IF(G557="","",MAX(0,IF(H557&lt;&gt;"",H557-G557,IF(I557="Completed",0,TODAY()-G557))))</f>
        <v/>
      </c>
      <c r="N557" s="15" t="n"/>
    </row>
    <row r="558">
      <c r="A558" s="15" t="n"/>
      <c r="B558" s="15" t="n"/>
      <c r="C558" s="15" t="n"/>
      <c r="D558" s="15" t="n"/>
      <c r="E558" s="15" t="n"/>
      <c r="F558" s="16" t="n"/>
      <c r="G558" s="16" t="n"/>
      <c r="H558" s="16" t="n"/>
      <c r="I558" s="15" t="n"/>
      <c r="J558" s="15" t="n"/>
      <c r="K558" s="15" t="n"/>
      <c r="L558" s="15" t="n"/>
      <c r="M558" s="15">
        <f>IF(G558="","",MAX(0,IF(H558&lt;&gt;"",H558-G558,IF(I558="Completed",0,TODAY()-G558))))</f>
        <v/>
      </c>
      <c r="N558" s="15" t="n"/>
    </row>
    <row r="559">
      <c r="A559" s="15" t="n"/>
      <c r="B559" s="15" t="n"/>
      <c r="C559" s="15" t="n"/>
      <c r="D559" s="15" t="n"/>
      <c r="E559" s="15" t="n"/>
      <c r="F559" s="16" t="n"/>
      <c r="G559" s="16" t="n"/>
      <c r="H559" s="16" t="n"/>
      <c r="I559" s="15" t="n"/>
      <c r="J559" s="15" t="n"/>
      <c r="K559" s="15" t="n"/>
      <c r="L559" s="15" t="n"/>
      <c r="M559" s="15">
        <f>IF(G559="","",MAX(0,IF(H559&lt;&gt;"",H559-G559,IF(I559="Completed",0,TODAY()-G559))))</f>
        <v/>
      </c>
      <c r="N559" s="15" t="n"/>
    </row>
    <row r="560">
      <c r="A560" s="15" t="n"/>
      <c r="B560" s="15" t="n"/>
      <c r="C560" s="15" t="n"/>
      <c r="D560" s="15" t="n"/>
      <c r="E560" s="15" t="n"/>
      <c r="F560" s="16" t="n"/>
      <c r="G560" s="16" t="n"/>
      <c r="H560" s="16" t="n"/>
      <c r="I560" s="15" t="n"/>
      <c r="J560" s="15" t="n"/>
      <c r="K560" s="15" t="n"/>
      <c r="L560" s="15" t="n"/>
      <c r="M560" s="15">
        <f>IF(G560="","",MAX(0,IF(H560&lt;&gt;"",H560-G560,IF(I560="Completed",0,TODAY()-G560))))</f>
        <v/>
      </c>
      <c r="N560" s="15" t="n"/>
    </row>
    <row r="561">
      <c r="A561" s="15" t="n"/>
      <c r="B561" s="15" t="n"/>
      <c r="C561" s="15" t="n"/>
      <c r="D561" s="15" t="n"/>
      <c r="E561" s="15" t="n"/>
      <c r="F561" s="16" t="n"/>
      <c r="G561" s="16" t="n"/>
      <c r="H561" s="16" t="n"/>
      <c r="I561" s="15" t="n"/>
      <c r="J561" s="15" t="n"/>
      <c r="K561" s="15" t="n"/>
      <c r="L561" s="15" t="n"/>
      <c r="M561" s="15">
        <f>IF(G561="","",MAX(0,IF(H561&lt;&gt;"",H561-G561,IF(I561="Completed",0,TODAY()-G561))))</f>
        <v/>
      </c>
      <c r="N561" s="15" t="n"/>
    </row>
    <row r="562">
      <c r="A562" s="15" t="n"/>
      <c r="B562" s="15" t="n"/>
      <c r="C562" s="15" t="n"/>
      <c r="D562" s="15" t="n"/>
      <c r="E562" s="15" t="n"/>
      <c r="F562" s="16" t="n"/>
      <c r="G562" s="16" t="n"/>
      <c r="H562" s="16" t="n"/>
      <c r="I562" s="15" t="n"/>
      <c r="J562" s="15" t="n"/>
      <c r="K562" s="15" t="n"/>
      <c r="L562" s="15" t="n"/>
      <c r="M562" s="15">
        <f>IF(G562="","",MAX(0,IF(H562&lt;&gt;"",H562-G562,IF(I562="Completed",0,TODAY()-G562))))</f>
        <v/>
      </c>
      <c r="N562" s="15" t="n"/>
    </row>
    <row r="563">
      <c r="A563" s="15" t="n"/>
      <c r="B563" s="15" t="n"/>
      <c r="C563" s="15" t="n"/>
      <c r="D563" s="15" t="n"/>
      <c r="E563" s="15" t="n"/>
      <c r="F563" s="16" t="n"/>
      <c r="G563" s="16" t="n"/>
      <c r="H563" s="16" t="n"/>
      <c r="I563" s="15" t="n"/>
      <c r="J563" s="15" t="n"/>
      <c r="K563" s="15" t="n"/>
      <c r="L563" s="15" t="n"/>
      <c r="M563" s="15">
        <f>IF(G563="","",MAX(0,IF(H563&lt;&gt;"",H563-G563,IF(I563="Completed",0,TODAY()-G563))))</f>
        <v/>
      </c>
      <c r="N563" s="15" t="n"/>
    </row>
    <row r="564">
      <c r="A564" s="15" t="n"/>
      <c r="B564" s="15" t="n"/>
      <c r="C564" s="15" t="n"/>
      <c r="D564" s="15" t="n"/>
      <c r="E564" s="15" t="n"/>
      <c r="F564" s="16" t="n"/>
      <c r="G564" s="16" t="n"/>
      <c r="H564" s="16" t="n"/>
      <c r="I564" s="15" t="n"/>
      <c r="J564" s="15" t="n"/>
      <c r="K564" s="15" t="n"/>
      <c r="L564" s="15" t="n"/>
      <c r="M564" s="15">
        <f>IF(G564="","",MAX(0,IF(H564&lt;&gt;"",H564-G564,IF(I564="Completed",0,TODAY()-G564))))</f>
        <v/>
      </c>
      <c r="N564" s="15" t="n"/>
    </row>
    <row r="565">
      <c r="A565" s="15" t="n"/>
      <c r="B565" s="15" t="n"/>
      <c r="C565" s="15" t="n"/>
      <c r="D565" s="15" t="n"/>
      <c r="E565" s="15" t="n"/>
      <c r="F565" s="16" t="n"/>
      <c r="G565" s="16" t="n"/>
      <c r="H565" s="16" t="n"/>
      <c r="I565" s="15" t="n"/>
      <c r="J565" s="15" t="n"/>
      <c r="K565" s="15" t="n"/>
      <c r="L565" s="15" t="n"/>
      <c r="M565" s="15">
        <f>IF(G565="","",MAX(0,IF(H565&lt;&gt;"",H565-G565,IF(I565="Completed",0,TODAY()-G565))))</f>
        <v/>
      </c>
      <c r="N565" s="15" t="n"/>
    </row>
    <row r="566">
      <c r="A566" s="15" t="n"/>
      <c r="B566" s="15" t="n"/>
      <c r="C566" s="15" t="n"/>
      <c r="D566" s="15" t="n"/>
      <c r="E566" s="15" t="n"/>
      <c r="F566" s="16" t="n"/>
      <c r="G566" s="16" t="n"/>
      <c r="H566" s="16" t="n"/>
      <c r="I566" s="15" t="n"/>
      <c r="J566" s="15" t="n"/>
      <c r="K566" s="15" t="n"/>
      <c r="L566" s="15" t="n"/>
      <c r="M566" s="15">
        <f>IF(G566="","",MAX(0,IF(H566&lt;&gt;"",H566-G566,IF(I566="Completed",0,TODAY()-G566))))</f>
        <v/>
      </c>
      <c r="N566" s="15" t="n"/>
    </row>
    <row r="567">
      <c r="A567" s="15" t="n"/>
      <c r="B567" s="15" t="n"/>
      <c r="C567" s="15" t="n"/>
      <c r="D567" s="15" t="n"/>
      <c r="E567" s="15" t="n"/>
      <c r="F567" s="16" t="n"/>
      <c r="G567" s="16" t="n"/>
      <c r="H567" s="16" t="n"/>
      <c r="I567" s="15" t="n"/>
      <c r="J567" s="15" t="n"/>
      <c r="K567" s="15" t="n"/>
      <c r="L567" s="15" t="n"/>
      <c r="M567" s="15">
        <f>IF(G567="","",MAX(0,IF(H567&lt;&gt;"",H567-G567,IF(I567="Completed",0,TODAY()-G567))))</f>
        <v/>
      </c>
      <c r="N567" s="15" t="n"/>
    </row>
    <row r="568">
      <c r="A568" s="15" t="n"/>
      <c r="B568" s="15" t="n"/>
      <c r="C568" s="15" t="n"/>
      <c r="D568" s="15" t="n"/>
      <c r="E568" s="15" t="n"/>
      <c r="F568" s="16" t="n"/>
      <c r="G568" s="16" t="n"/>
      <c r="H568" s="16" t="n"/>
      <c r="I568" s="15" t="n"/>
      <c r="J568" s="15" t="n"/>
      <c r="K568" s="15" t="n"/>
      <c r="L568" s="15" t="n"/>
      <c r="M568" s="15">
        <f>IF(G568="","",MAX(0,IF(H568&lt;&gt;"",H568-G568,IF(I568="Completed",0,TODAY()-G568))))</f>
        <v/>
      </c>
      <c r="N568" s="15" t="n"/>
    </row>
    <row r="569">
      <c r="A569" s="15" t="n"/>
      <c r="B569" s="15" t="n"/>
      <c r="C569" s="15" t="n"/>
      <c r="D569" s="15" t="n"/>
      <c r="E569" s="15" t="n"/>
      <c r="F569" s="16" t="n"/>
      <c r="G569" s="16" t="n"/>
      <c r="H569" s="16" t="n"/>
      <c r="I569" s="15" t="n"/>
      <c r="J569" s="15" t="n"/>
      <c r="K569" s="15" t="n"/>
      <c r="L569" s="15" t="n"/>
      <c r="M569" s="15">
        <f>IF(G569="","",MAX(0,IF(H569&lt;&gt;"",H569-G569,IF(I569="Completed",0,TODAY()-G569))))</f>
        <v/>
      </c>
      <c r="N569" s="15" t="n"/>
    </row>
    <row r="570">
      <c r="A570" s="15" t="n"/>
      <c r="B570" s="15" t="n"/>
      <c r="C570" s="15" t="n"/>
      <c r="D570" s="15" t="n"/>
      <c r="E570" s="15" t="n"/>
      <c r="F570" s="16" t="n"/>
      <c r="G570" s="16" t="n"/>
      <c r="H570" s="16" t="n"/>
      <c r="I570" s="15" t="n"/>
      <c r="J570" s="15" t="n"/>
      <c r="K570" s="15" t="n"/>
      <c r="L570" s="15" t="n"/>
      <c r="M570" s="15">
        <f>IF(G570="","",MAX(0,IF(H570&lt;&gt;"",H570-G570,IF(I570="Completed",0,TODAY()-G570))))</f>
        <v/>
      </c>
      <c r="N570" s="15" t="n"/>
    </row>
    <row r="571">
      <c r="A571" s="15" t="n"/>
      <c r="B571" s="15" t="n"/>
      <c r="C571" s="15" t="n"/>
      <c r="D571" s="15" t="n"/>
      <c r="E571" s="15" t="n"/>
      <c r="F571" s="16" t="n"/>
      <c r="G571" s="16" t="n"/>
      <c r="H571" s="16" t="n"/>
      <c r="I571" s="15" t="n"/>
      <c r="J571" s="15" t="n"/>
      <c r="K571" s="15" t="n"/>
      <c r="L571" s="15" t="n"/>
      <c r="M571" s="15">
        <f>IF(G571="","",MAX(0,IF(H571&lt;&gt;"",H571-G571,IF(I571="Completed",0,TODAY()-G571))))</f>
        <v/>
      </c>
      <c r="N571" s="15" t="n"/>
    </row>
    <row r="572">
      <c r="A572" s="15" t="n"/>
      <c r="B572" s="15" t="n"/>
      <c r="C572" s="15" t="n"/>
      <c r="D572" s="15" t="n"/>
      <c r="E572" s="15" t="n"/>
      <c r="F572" s="16" t="n"/>
      <c r="G572" s="16" t="n"/>
      <c r="H572" s="16" t="n"/>
      <c r="I572" s="15" t="n"/>
      <c r="J572" s="15" t="n"/>
      <c r="K572" s="15" t="n"/>
      <c r="L572" s="15" t="n"/>
      <c r="M572" s="15">
        <f>IF(G572="","",MAX(0,IF(H572&lt;&gt;"",H572-G572,IF(I572="Completed",0,TODAY()-G572))))</f>
        <v/>
      </c>
      <c r="N572" s="15" t="n"/>
    </row>
    <row r="573">
      <c r="A573" s="15" t="n"/>
      <c r="B573" s="15" t="n"/>
      <c r="C573" s="15" t="n"/>
      <c r="D573" s="15" t="n"/>
      <c r="E573" s="15" t="n"/>
      <c r="F573" s="16" t="n"/>
      <c r="G573" s="16" t="n"/>
      <c r="H573" s="16" t="n"/>
      <c r="I573" s="15" t="n"/>
      <c r="J573" s="15" t="n"/>
      <c r="K573" s="15" t="n"/>
      <c r="L573" s="15" t="n"/>
      <c r="M573" s="15">
        <f>IF(G573="","",MAX(0,IF(H573&lt;&gt;"",H573-G573,IF(I573="Completed",0,TODAY()-G573))))</f>
        <v/>
      </c>
      <c r="N573" s="15" t="n"/>
    </row>
    <row r="574">
      <c r="A574" s="15" t="n"/>
      <c r="B574" s="15" t="n"/>
      <c r="C574" s="15" t="n"/>
      <c r="D574" s="15" t="n"/>
      <c r="E574" s="15" t="n"/>
      <c r="F574" s="16" t="n"/>
      <c r="G574" s="16" t="n"/>
      <c r="H574" s="16" t="n"/>
      <c r="I574" s="15" t="n"/>
      <c r="J574" s="15" t="n"/>
      <c r="K574" s="15" t="n"/>
      <c r="L574" s="15" t="n"/>
      <c r="M574" s="15">
        <f>IF(G574="","",MAX(0,IF(H574&lt;&gt;"",H574-G574,IF(I574="Completed",0,TODAY()-G574))))</f>
        <v/>
      </c>
      <c r="N574" s="15" t="n"/>
    </row>
    <row r="575">
      <c r="A575" s="15" t="n"/>
      <c r="B575" s="15" t="n"/>
      <c r="C575" s="15" t="n"/>
      <c r="D575" s="15" t="n"/>
      <c r="E575" s="15" t="n"/>
      <c r="F575" s="16" t="n"/>
      <c r="G575" s="16" t="n"/>
      <c r="H575" s="16" t="n"/>
      <c r="I575" s="15" t="n"/>
      <c r="J575" s="15" t="n"/>
      <c r="K575" s="15" t="n"/>
      <c r="L575" s="15" t="n"/>
      <c r="M575" s="15">
        <f>IF(G575="","",MAX(0,IF(H575&lt;&gt;"",H575-G575,IF(I575="Completed",0,TODAY()-G575))))</f>
        <v/>
      </c>
      <c r="N575" s="15" t="n"/>
    </row>
    <row r="576">
      <c r="A576" s="15" t="n"/>
      <c r="B576" s="15" t="n"/>
      <c r="C576" s="15" t="n"/>
      <c r="D576" s="15" t="n"/>
      <c r="E576" s="15" t="n"/>
      <c r="F576" s="16" t="n"/>
      <c r="G576" s="16" t="n"/>
      <c r="H576" s="16" t="n"/>
      <c r="I576" s="15" t="n"/>
      <c r="J576" s="15" t="n"/>
      <c r="K576" s="15" t="n"/>
      <c r="L576" s="15" t="n"/>
      <c r="M576" s="15">
        <f>IF(G576="","",MAX(0,IF(H576&lt;&gt;"",H576-G576,IF(I576="Completed",0,TODAY()-G576))))</f>
        <v/>
      </c>
      <c r="N576" s="15" t="n"/>
    </row>
    <row r="577">
      <c r="A577" s="15" t="n"/>
      <c r="B577" s="15" t="n"/>
      <c r="C577" s="15" t="n"/>
      <c r="D577" s="15" t="n"/>
      <c r="E577" s="15" t="n"/>
      <c r="F577" s="16" t="n"/>
      <c r="G577" s="16" t="n"/>
      <c r="H577" s="16" t="n"/>
      <c r="I577" s="15" t="n"/>
      <c r="J577" s="15" t="n"/>
      <c r="K577" s="15" t="n"/>
      <c r="L577" s="15" t="n"/>
      <c r="M577" s="15">
        <f>IF(G577="","",MAX(0,IF(H577&lt;&gt;"",H577-G577,IF(I577="Completed",0,TODAY()-G577))))</f>
        <v/>
      </c>
      <c r="N577" s="15" t="n"/>
    </row>
    <row r="578">
      <c r="A578" s="15" t="n"/>
      <c r="B578" s="15" t="n"/>
      <c r="C578" s="15" t="n"/>
      <c r="D578" s="15" t="n"/>
      <c r="E578" s="15" t="n"/>
      <c r="F578" s="16" t="n"/>
      <c r="G578" s="16" t="n"/>
      <c r="H578" s="16" t="n"/>
      <c r="I578" s="15" t="n"/>
      <c r="J578" s="15" t="n"/>
      <c r="K578" s="15" t="n"/>
      <c r="L578" s="15" t="n"/>
      <c r="M578" s="15">
        <f>IF(G578="","",MAX(0,IF(H578&lt;&gt;"",H578-G578,IF(I578="Completed",0,TODAY()-G578))))</f>
        <v/>
      </c>
      <c r="N578" s="15" t="n"/>
    </row>
    <row r="579">
      <c r="A579" s="15" t="n"/>
      <c r="B579" s="15" t="n"/>
      <c r="C579" s="15" t="n"/>
      <c r="D579" s="15" t="n"/>
      <c r="E579" s="15" t="n"/>
      <c r="F579" s="16" t="n"/>
      <c r="G579" s="16" t="n"/>
      <c r="H579" s="16" t="n"/>
      <c r="I579" s="15" t="n"/>
      <c r="J579" s="15" t="n"/>
      <c r="K579" s="15" t="n"/>
      <c r="L579" s="15" t="n"/>
      <c r="M579" s="15">
        <f>IF(G579="","",MAX(0,IF(H579&lt;&gt;"",H579-G579,IF(I579="Completed",0,TODAY()-G579))))</f>
        <v/>
      </c>
      <c r="N579" s="15" t="n"/>
    </row>
    <row r="580">
      <c r="A580" s="15" t="n"/>
      <c r="B580" s="15" t="n"/>
      <c r="C580" s="15" t="n"/>
      <c r="D580" s="15" t="n"/>
      <c r="E580" s="15" t="n"/>
      <c r="F580" s="16" t="n"/>
      <c r="G580" s="16" t="n"/>
      <c r="H580" s="16" t="n"/>
      <c r="I580" s="15" t="n"/>
      <c r="J580" s="15" t="n"/>
      <c r="K580" s="15" t="n"/>
      <c r="L580" s="15" t="n"/>
      <c r="M580" s="15">
        <f>IF(G580="","",MAX(0,IF(H580&lt;&gt;"",H580-G580,IF(I580="Completed",0,TODAY()-G580))))</f>
        <v/>
      </c>
      <c r="N580" s="15" t="n"/>
    </row>
    <row r="581">
      <c r="A581" s="15" t="n"/>
      <c r="B581" s="15" t="n"/>
      <c r="C581" s="15" t="n"/>
      <c r="D581" s="15" t="n"/>
      <c r="E581" s="15" t="n"/>
      <c r="F581" s="16" t="n"/>
      <c r="G581" s="16" t="n"/>
      <c r="H581" s="16" t="n"/>
      <c r="I581" s="15" t="n"/>
      <c r="J581" s="15" t="n"/>
      <c r="K581" s="15" t="n"/>
      <c r="L581" s="15" t="n"/>
      <c r="M581" s="15">
        <f>IF(G581="","",MAX(0,IF(H581&lt;&gt;"",H581-G581,IF(I581="Completed",0,TODAY()-G581))))</f>
        <v/>
      </c>
      <c r="N581" s="15" t="n"/>
    </row>
    <row r="582">
      <c r="A582" s="15" t="n"/>
      <c r="B582" s="15" t="n"/>
      <c r="C582" s="15" t="n"/>
      <c r="D582" s="15" t="n"/>
      <c r="E582" s="15" t="n"/>
      <c r="F582" s="16" t="n"/>
      <c r="G582" s="16" t="n"/>
      <c r="H582" s="16" t="n"/>
      <c r="I582" s="15" t="n"/>
      <c r="J582" s="15" t="n"/>
      <c r="K582" s="15" t="n"/>
      <c r="L582" s="15" t="n"/>
      <c r="M582" s="15">
        <f>IF(G582="","",MAX(0,IF(H582&lt;&gt;"",H582-G582,IF(I582="Completed",0,TODAY()-G582))))</f>
        <v/>
      </c>
      <c r="N582" s="15" t="n"/>
    </row>
    <row r="583">
      <c r="A583" s="15" t="n"/>
      <c r="B583" s="15" t="n"/>
      <c r="C583" s="15" t="n"/>
      <c r="D583" s="15" t="n"/>
      <c r="E583" s="15" t="n"/>
      <c r="F583" s="16" t="n"/>
      <c r="G583" s="16" t="n"/>
      <c r="H583" s="16" t="n"/>
      <c r="I583" s="15" t="n"/>
      <c r="J583" s="15" t="n"/>
      <c r="K583" s="15" t="n"/>
      <c r="L583" s="15" t="n"/>
      <c r="M583" s="15">
        <f>IF(G583="","",MAX(0,IF(H583&lt;&gt;"",H583-G583,IF(I583="Completed",0,TODAY()-G583))))</f>
        <v/>
      </c>
      <c r="N583" s="15" t="n"/>
    </row>
    <row r="584">
      <c r="A584" s="15" t="n"/>
      <c r="B584" s="15" t="n"/>
      <c r="C584" s="15" t="n"/>
      <c r="D584" s="15" t="n"/>
      <c r="E584" s="15" t="n"/>
      <c r="F584" s="16" t="n"/>
      <c r="G584" s="16" t="n"/>
      <c r="H584" s="16" t="n"/>
      <c r="I584" s="15" t="n"/>
      <c r="J584" s="15" t="n"/>
      <c r="K584" s="15" t="n"/>
      <c r="L584" s="15" t="n"/>
      <c r="M584" s="15">
        <f>IF(G584="","",MAX(0,IF(H584&lt;&gt;"",H584-G584,IF(I584="Completed",0,TODAY()-G584))))</f>
        <v/>
      </c>
      <c r="N584" s="15" t="n"/>
    </row>
    <row r="585">
      <c r="A585" s="15" t="n"/>
      <c r="B585" s="15" t="n"/>
      <c r="C585" s="15" t="n"/>
      <c r="D585" s="15" t="n"/>
      <c r="E585" s="15" t="n"/>
      <c r="F585" s="16" t="n"/>
      <c r="G585" s="16" t="n"/>
      <c r="H585" s="16" t="n"/>
      <c r="I585" s="15" t="n"/>
      <c r="J585" s="15" t="n"/>
      <c r="K585" s="15" t="n"/>
      <c r="L585" s="15" t="n"/>
      <c r="M585" s="15">
        <f>IF(G585="","",MAX(0,IF(H585&lt;&gt;"",H585-G585,IF(I585="Completed",0,TODAY()-G585))))</f>
        <v/>
      </c>
      <c r="N585" s="15" t="n"/>
    </row>
    <row r="586">
      <c r="A586" s="15" t="n"/>
      <c r="B586" s="15" t="n"/>
      <c r="C586" s="15" t="n"/>
      <c r="D586" s="15" t="n"/>
      <c r="E586" s="15" t="n"/>
      <c r="F586" s="16" t="n"/>
      <c r="G586" s="16" t="n"/>
      <c r="H586" s="16" t="n"/>
      <c r="I586" s="15" t="n"/>
      <c r="J586" s="15" t="n"/>
      <c r="K586" s="15" t="n"/>
      <c r="L586" s="15" t="n"/>
      <c r="M586" s="15">
        <f>IF(G586="","",MAX(0,IF(H586&lt;&gt;"",H586-G586,IF(I586="Completed",0,TODAY()-G586))))</f>
        <v/>
      </c>
      <c r="N586" s="15" t="n"/>
    </row>
    <row r="587">
      <c r="A587" s="15" t="n"/>
      <c r="B587" s="15" t="n"/>
      <c r="C587" s="15" t="n"/>
      <c r="D587" s="15" t="n"/>
      <c r="E587" s="15" t="n"/>
      <c r="F587" s="16" t="n"/>
      <c r="G587" s="16" t="n"/>
      <c r="H587" s="16" t="n"/>
      <c r="I587" s="15" t="n"/>
      <c r="J587" s="15" t="n"/>
      <c r="K587" s="15" t="n"/>
      <c r="L587" s="15" t="n"/>
      <c r="M587" s="15">
        <f>IF(G587="","",MAX(0,IF(H587&lt;&gt;"",H587-G587,IF(I587="Completed",0,TODAY()-G587))))</f>
        <v/>
      </c>
      <c r="N587" s="15" t="n"/>
    </row>
    <row r="588">
      <c r="A588" s="15" t="n"/>
      <c r="B588" s="15" t="n"/>
      <c r="C588" s="15" t="n"/>
      <c r="D588" s="15" t="n"/>
      <c r="E588" s="15" t="n"/>
      <c r="F588" s="16" t="n"/>
      <c r="G588" s="16" t="n"/>
      <c r="H588" s="16" t="n"/>
      <c r="I588" s="15" t="n"/>
      <c r="J588" s="15" t="n"/>
      <c r="K588" s="15" t="n"/>
      <c r="L588" s="15" t="n"/>
      <c r="M588" s="15">
        <f>IF(G588="","",MAX(0,IF(H588&lt;&gt;"",H588-G588,IF(I588="Completed",0,TODAY()-G588))))</f>
        <v/>
      </c>
      <c r="N588" s="15" t="n"/>
    </row>
    <row r="589">
      <c r="A589" s="15" t="n"/>
      <c r="B589" s="15" t="n"/>
      <c r="C589" s="15" t="n"/>
      <c r="D589" s="15" t="n"/>
      <c r="E589" s="15" t="n"/>
      <c r="F589" s="16" t="n"/>
      <c r="G589" s="16" t="n"/>
      <c r="H589" s="16" t="n"/>
      <c r="I589" s="15" t="n"/>
      <c r="J589" s="15" t="n"/>
      <c r="K589" s="15" t="n"/>
      <c r="L589" s="15" t="n"/>
      <c r="M589" s="15">
        <f>IF(G589="","",MAX(0,IF(H589&lt;&gt;"",H589-G589,IF(I589="Completed",0,TODAY()-G589))))</f>
        <v/>
      </c>
      <c r="N589" s="15" t="n"/>
    </row>
    <row r="590">
      <c r="A590" s="15" t="n"/>
      <c r="B590" s="15" t="n"/>
      <c r="C590" s="15" t="n"/>
      <c r="D590" s="15" t="n"/>
      <c r="E590" s="15" t="n"/>
      <c r="F590" s="16" t="n"/>
      <c r="G590" s="16" t="n"/>
      <c r="H590" s="16" t="n"/>
      <c r="I590" s="15" t="n"/>
      <c r="J590" s="15" t="n"/>
      <c r="K590" s="15" t="n"/>
      <c r="L590" s="15" t="n"/>
      <c r="M590" s="15">
        <f>IF(G590="","",MAX(0,IF(H590&lt;&gt;"",H590-G590,IF(I590="Completed",0,TODAY()-G590))))</f>
        <v/>
      </c>
      <c r="N590" s="15" t="n"/>
    </row>
    <row r="591">
      <c r="A591" s="15" t="n"/>
      <c r="B591" s="15" t="n"/>
      <c r="C591" s="15" t="n"/>
      <c r="D591" s="15" t="n"/>
      <c r="E591" s="15" t="n"/>
      <c r="F591" s="16" t="n"/>
      <c r="G591" s="16" t="n"/>
      <c r="H591" s="16" t="n"/>
      <c r="I591" s="15" t="n"/>
      <c r="J591" s="15" t="n"/>
      <c r="K591" s="15" t="n"/>
      <c r="L591" s="15" t="n"/>
      <c r="M591" s="15">
        <f>IF(G591="","",MAX(0,IF(H591&lt;&gt;"",H591-G591,IF(I591="Completed",0,TODAY()-G591))))</f>
        <v/>
      </c>
      <c r="N591" s="15" t="n"/>
    </row>
    <row r="592">
      <c r="A592" s="15" t="n"/>
      <c r="B592" s="15" t="n"/>
      <c r="C592" s="15" t="n"/>
      <c r="D592" s="15" t="n"/>
      <c r="E592" s="15" t="n"/>
      <c r="F592" s="16" t="n"/>
      <c r="G592" s="16" t="n"/>
      <c r="H592" s="16" t="n"/>
      <c r="I592" s="15" t="n"/>
      <c r="J592" s="15" t="n"/>
      <c r="K592" s="15" t="n"/>
      <c r="L592" s="15" t="n"/>
      <c r="M592" s="15">
        <f>IF(G592="","",MAX(0,IF(H592&lt;&gt;"",H592-G592,IF(I592="Completed",0,TODAY()-G592))))</f>
        <v/>
      </c>
      <c r="N592" s="15" t="n"/>
    </row>
    <row r="593">
      <c r="A593" s="15" t="n"/>
      <c r="B593" s="15" t="n"/>
      <c r="C593" s="15" t="n"/>
      <c r="D593" s="15" t="n"/>
      <c r="E593" s="15" t="n"/>
      <c r="F593" s="16" t="n"/>
      <c r="G593" s="16" t="n"/>
      <c r="H593" s="16" t="n"/>
      <c r="I593" s="15" t="n"/>
      <c r="J593" s="15" t="n"/>
      <c r="K593" s="15" t="n"/>
      <c r="L593" s="15" t="n"/>
      <c r="M593" s="15">
        <f>IF(G593="","",MAX(0,IF(H593&lt;&gt;"",H593-G593,IF(I593="Completed",0,TODAY()-G593))))</f>
        <v/>
      </c>
      <c r="N593" s="15" t="n"/>
    </row>
    <row r="594">
      <c r="A594" s="15" t="n"/>
      <c r="B594" s="15" t="n"/>
      <c r="C594" s="15" t="n"/>
      <c r="D594" s="15" t="n"/>
      <c r="E594" s="15" t="n"/>
      <c r="F594" s="16" t="n"/>
      <c r="G594" s="16" t="n"/>
      <c r="H594" s="16" t="n"/>
      <c r="I594" s="15" t="n"/>
      <c r="J594" s="15" t="n"/>
      <c r="K594" s="15" t="n"/>
      <c r="L594" s="15" t="n"/>
      <c r="M594" s="15">
        <f>IF(G594="","",MAX(0,IF(H594&lt;&gt;"",H594-G594,IF(I594="Completed",0,TODAY()-G594))))</f>
        <v/>
      </c>
      <c r="N594" s="15" t="n"/>
    </row>
    <row r="595">
      <c r="A595" s="15" t="n"/>
      <c r="B595" s="15" t="n"/>
      <c r="C595" s="15" t="n"/>
      <c r="D595" s="15" t="n"/>
      <c r="E595" s="15" t="n"/>
      <c r="F595" s="16" t="n"/>
      <c r="G595" s="16" t="n"/>
      <c r="H595" s="16" t="n"/>
      <c r="I595" s="15" t="n"/>
      <c r="J595" s="15" t="n"/>
      <c r="K595" s="15" t="n"/>
      <c r="L595" s="15" t="n"/>
      <c r="M595" s="15">
        <f>IF(G595="","",MAX(0,IF(H595&lt;&gt;"",H595-G595,IF(I595="Completed",0,TODAY()-G595))))</f>
        <v/>
      </c>
      <c r="N595" s="15" t="n"/>
    </row>
    <row r="596">
      <c r="A596" s="15" t="n"/>
      <c r="B596" s="15" t="n"/>
      <c r="C596" s="15" t="n"/>
      <c r="D596" s="15" t="n"/>
      <c r="E596" s="15" t="n"/>
      <c r="F596" s="16" t="n"/>
      <c r="G596" s="16" t="n"/>
      <c r="H596" s="16" t="n"/>
      <c r="I596" s="15" t="n"/>
      <c r="J596" s="15" t="n"/>
      <c r="K596" s="15" t="n"/>
      <c r="L596" s="15" t="n"/>
      <c r="M596" s="15">
        <f>IF(G596="","",MAX(0,IF(H596&lt;&gt;"",H596-G596,IF(I596="Completed",0,TODAY()-G596))))</f>
        <v/>
      </c>
      <c r="N596" s="15" t="n"/>
    </row>
    <row r="597">
      <c r="A597" s="15" t="n"/>
      <c r="B597" s="15" t="n"/>
      <c r="C597" s="15" t="n"/>
      <c r="D597" s="15" t="n"/>
      <c r="E597" s="15" t="n"/>
      <c r="F597" s="16" t="n"/>
      <c r="G597" s="16" t="n"/>
      <c r="H597" s="16" t="n"/>
      <c r="I597" s="15" t="n"/>
      <c r="J597" s="15" t="n"/>
      <c r="K597" s="15" t="n"/>
      <c r="L597" s="15" t="n"/>
      <c r="M597" s="15">
        <f>IF(G597="","",MAX(0,IF(H597&lt;&gt;"",H597-G597,IF(I597="Completed",0,TODAY()-G597))))</f>
        <v/>
      </c>
      <c r="N597" s="15" t="n"/>
    </row>
    <row r="598">
      <c r="A598" s="15" t="n"/>
      <c r="B598" s="15" t="n"/>
      <c r="C598" s="15" t="n"/>
      <c r="D598" s="15" t="n"/>
      <c r="E598" s="15" t="n"/>
      <c r="F598" s="16" t="n"/>
      <c r="G598" s="16" t="n"/>
      <c r="H598" s="16" t="n"/>
      <c r="I598" s="15" t="n"/>
      <c r="J598" s="15" t="n"/>
      <c r="K598" s="15" t="n"/>
      <c r="L598" s="15" t="n"/>
      <c r="M598" s="15">
        <f>IF(G598="","",MAX(0,IF(H598&lt;&gt;"",H598-G598,IF(I598="Completed",0,TODAY()-G598))))</f>
        <v/>
      </c>
      <c r="N598" s="15" t="n"/>
    </row>
    <row r="599">
      <c r="A599" s="15" t="n"/>
      <c r="B599" s="15" t="n"/>
      <c r="C599" s="15" t="n"/>
      <c r="D599" s="15" t="n"/>
      <c r="E599" s="15" t="n"/>
      <c r="F599" s="16" t="n"/>
      <c r="G599" s="16" t="n"/>
      <c r="H599" s="16" t="n"/>
      <c r="I599" s="15" t="n"/>
      <c r="J599" s="15" t="n"/>
      <c r="K599" s="15" t="n"/>
      <c r="L599" s="15" t="n"/>
      <c r="M599" s="15">
        <f>IF(G599="","",MAX(0,IF(H599&lt;&gt;"",H599-G599,IF(I599="Completed",0,TODAY()-G599))))</f>
        <v/>
      </c>
      <c r="N599" s="15" t="n"/>
    </row>
    <row r="600">
      <c r="A600" s="15" t="n"/>
      <c r="B600" s="15" t="n"/>
      <c r="C600" s="15" t="n"/>
      <c r="D600" s="15" t="n"/>
      <c r="E600" s="15" t="n"/>
      <c r="F600" s="16" t="n"/>
      <c r="G600" s="16" t="n"/>
      <c r="H600" s="16" t="n"/>
      <c r="I600" s="15" t="n"/>
      <c r="J600" s="15" t="n"/>
      <c r="K600" s="15" t="n"/>
      <c r="L600" s="15" t="n"/>
      <c r="M600" s="15">
        <f>IF(G600="","",MAX(0,IF(H600&lt;&gt;"",H600-G600,IF(I600="Completed",0,TODAY()-G600))))</f>
        <v/>
      </c>
      <c r="N600" s="15" t="n"/>
    </row>
    <row r="601">
      <c r="F601" s="27" t="n"/>
      <c r="G601" s="27" t="n"/>
      <c r="H601" s="27" t="n"/>
    </row>
    <row r="602">
      <c r="F602" s="27" t="n"/>
      <c r="G602" s="27" t="n"/>
      <c r="H602" s="27" t="n"/>
    </row>
    <row r="603">
      <c r="F603" s="27" t="n"/>
      <c r="G603" s="27" t="n"/>
      <c r="H603" s="27" t="n"/>
    </row>
    <row r="604">
      <c r="F604" s="27" t="n"/>
      <c r="G604" s="27" t="n"/>
      <c r="H604" s="27" t="n"/>
    </row>
    <row r="605">
      <c r="F605" s="27" t="n"/>
      <c r="G605" s="27" t="n"/>
      <c r="H605" s="27" t="n"/>
    </row>
    <row r="606">
      <c r="F606" s="27" t="n"/>
      <c r="G606" s="27" t="n"/>
      <c r="H606" s="27" t="n"/>
    </row>
    <row r="607">
      <c r="F607" s="27" t="n"/>
      <c r="G607" s="27" t="n"/>
      <c r="H607" s="27" t="n"/>
    </row>
    <row r="608">
      <c r="F608" s="27" t="n"/>
      <c r="G608" s="27" t="n"/>
      <c r="H608" s="27" t="n"/>
    </row>
    <row r="609">
      <c r="F609" s="27" t="n"/>
      <c r="G609" s="27" t="n"/>
      <c r="H609" s="27" t="n"/>
    </row>
    <row r="610">
      <c r="F610" s="27" t="n"/>
      <c r="G610" s="27" t="n"/>
      <c r="H610" s="27" t="n"/>
    </row>
    <row r="611">
      <c r="F611" s="27" t="n"/>
      <c r="G611" s="27" t="n"/>
      <c r="H611" s="27" t="n"/>
    </row>
    <row r="612">
      <c r="F612" s="27" t="n"/>
      <c r="G612" s="27" t="n"/>
      <c r="H612" s="27" t="n"/>
    </row>
    <row r="613">
      <c r="F613" s="27" t="n"/>
      <c r="G613" s="27" t="n"/>
      <c r="H613" s="27" t="n"/>
    </row>
    <row r="614">
      <c r="F614" s="27" t="n"/>
      <c r="G614" s="27" t="n"/>
      <c r="H614" s="27" t="n"/>
    </row>
    <row r="615">
      <c r="F615" s="27" t="n"/>
      <c r="G615" s="27" t="n"/>
      <c r="H615" s="27" t="n"/>
    </row>
    <row r="616">
      <c r="F616" s="27" t="n"/>
      <c r="G616" s="27" t="n"/>
      <c r="H616" s="27" t="n"/>
    </row>
    <row r="617">
      <c r="F617" s="27" t="n"/>
      <c r="G617" s="27" t="n"/>
      <c r="H617" s="27" t="n"/>
    </row>
    <row r="618">
      <c r="F618" s="27" t="n"/>
      <c r="G618" s="27" t="n"/>
      <c r="H618" s="27" t="n"/>
    </row>
    <row r="619">
      <c r="F619" s="27" t="n"/>
      <c r="G619" s="27" t="n"/>
      <c r="H619" s="27" t="n"/>
    </row>
    <row r="620">
      <c r="F620" s="27" t="n"/>
      <c r="G620" s="27" t="n"/>
      <c r="H620" s="27" t="n"/>
    </row>
    <row r="621">
      <c r="F621" s="27" t="n"/>
      <c r="G621" s="27" t="n"/>
      <c r="H621" s="27" t="n"/>
    </row>
    <row r="622">
      <c r="F622" s="27" t="n"/>
      <c r="G622" s="27" t="n"/>
      <c r="H622" s="27" t="n"/>
    </row>
    <row r="623">
      <c r="F623" s="27" t="n"/>
      <c r="G623" s="27" t="n"/>
      <c r="H623" s="27" t="n"/>
    </row>
    <row r="624">
      <c r="F624" s="27" t="n"/>
      <c r="G624" s="27" t="n"/>
      <c r="H624" s="27" t="n"/>
    </row>
    <row r="625">
      <c r="F625" s="27" t="n"/>
      <c r="G625" s="27" t="n"/>
      <c r="H625" s="27" t="n"/>
    </row>
    <row r="626">
      <c r="F626" s="27" t="n"/>
      <c r="G626" s="27" t="n"/>
      <c r="H626" s="27" t="n"/>
    </row>
    <row r="627">
      <c r="F627" s="27" t="n"/>
      <c r="G627" s="27" t="n"/>
      <c r="H627" s="27" t="n"/>
    </row>
    <row r="628">
      <c r="F628" s="27" t="n"/>
      <c r="G628" s="27" t="n"/>
      <c r="H628" s="27" t="n"/>
    </row>
    <row r="629">
      <c r="F629" s="27" t="n"/>
      <c r="G629" s="27" t="n"/>
      <c r="H629" s="27" t="n"/>
    </row>
    <row r="630">
      <c r="F630" s="27" t="n"/>
      <c r="G630" s="27" t="n"/>
      <c r="H630" s="27" t="n"/>
    </row>
    <row r="631">
      <c r="F631" s="27" t="n"/>
      <c r="G631" s="27" t="n"/>
      <c r="H631" s="27" t="n"/>
    </row>
    <row r="632">
      <c r="F632" s="27" t="n"/>
      <c r="G632" s="27" t="n"/>
      <c r="H632" s="27" t="n"/>
    </row>
    <row r="633">
      <c r="F633" s="27" t="n"/>
      <c r="G633" s="27" t="n"/>
      <c r="H633" s="27" t="n"/>
    </row>
    <row r="634">
      <c r="F634" s="27" t="n"/>
      <c r="G634" s="27" t="n"/>
      <c r="H634" s="27" t="n"/>
    </row>
    <row r="635">
      <c r="F635" s="27" t="n"/>
      <c r="G635" s="27" t="n"/>
      <c r="H635" s="27" t="n"/>
    </row>
    <row r="636">
      <c r="F636" s="27" t="n"/>
      <c r="G636" s="27" t="n"/>
      <c r="H636" s="27" t="n"/>
    </row>
    <row r="637">
      <c r="F637" s="27" t="n"/>
      <c r="G637" s="27" t="n"/>
      <c r="H637" s="27" t="n"/>
    </row>
    <row r="638">
      <c r="F638" s="27" t="n"/>
      <c r="G638" s="27" t="n"/>
      <c r="H638" s="27" t="n"/>
    </row>
    <row r="639">
      <c r="F639" s="27" t="n"/>
      <c r="G639" s="27" t="n"/>
      <c r="H639" s="27" t="n"/>
    </row>
    <row r="640">
      <c r="F640" s="27" t="n"/>
      <c r="G640" s="27" t="n"/>
      <c r="H640" s="27" t="n"/>
    </row>
    <row r="641">
      <c r="F641" s="27" t="n"/>
      <c r="G641" s="27" t="n"/>
      <c r="H641" s="27" t="n"/>
    </row>
    <row r="642">
      <c r="F642" s="27" t="n"/>
      <c r="G642" s="27" t="n"/>
      <c r="H642" s="27" t="n"/>
    </row>
    <row r="643">
      <c r="F643" s="27" t="n"/>
      <c r="G643" s="27" t="n"/>
      <c r="H643" s="27" t="n"/>
    </row>
    <row r="644">
      <c r="F644" s="27" t="n"/>
      <c r="G644" s="27" t="n"/>
      <c r="H644" s="27" t="n"/>
    </row>
    <row r="645">
      <c r="F645" s="27" t="n"/>
      <c r="G645" s="27" t="n"/>
      <c r="H645" s="27" t="n"/>
    </row>
    <row r="646">
      <c r="F646" s="27" t="n"/>
      <c r="G646" s="27" t="n"/>
      <c r="H646" s="27" t="n"/>
    </row>
    <row r="647">
      <c r="F647" s="27" t="n"/>
      <c r="G647" s="27" t="n"/>
      <c r="H647" s="27" t="n"/>
    </row>
    <row r="648">
      <c r="F648" s="27" t="n"/>
      <c r="G648" s="27" t="n"/>
      <c r="H648" s="27" t="n"/>
    </row>
    <row r="649">
      <c r="F649" s="27" t="n"/>
      <c r="G649" s="27" t="n"/>
      <c r="H649" s="27" t="n"/>
    </row>
    <row r="650">
      <c r="F650" s="27" t="n"/>
      <c r="G650" s="27" t="n"/>
      <c r="H650" s="27" t="n"/>
    </row>
    <row r="651">
      <c r="F651" s="27" t="n"/>
      <c r="G651" s="27" t="n"/>
      <c r="H651" s="27" t="n"/>
    </row>
    <row r="652">
      <c r="F652" s="27" t="n"/>
      <c r="G652" s="27" t="n"/>
      <c r="H652" s="27" t="n"/>
    </row>
    <row r="653">
      <c r="F653" s="27" t="n"/>
      <c r="G653" s="27" t="n"/>
      <c r="H653" s="27" t="n"/>
    </row>
    <row r="654">
      <c r="F654" s="27" t="n"/>
      <c r="G654" s="27" t="n"/>
      <c r="H654" s="27" t="n"/>
    </row>
    <row r="655">
      <c r="F655" s="27" t="n"/>
      <c r="G655" s="27" t="n"/>
      <c r="H655" s="27" t="n"/>
    </row>
    <row r="656">
      <c r="F656" s="27" t="n"/>
      <c r="G656" s="27" t="n"/>
      <c r="H656" s="27" t="n"/>
    </row>
    <row r="657">
      <c r="F657" s="27" t="n"/>
      <c r="G657" s="27" t="n"/>
      <c r="H657" s="27" t="n"/>
    </row>
    <row r="658">
      <c r="F658" s="27" t="n"/>
      <c r="G658" s="27" t="n"/>
      <c r="H658" s="27" t="n"/>
    </row>
    <row r="659">
      <c r="F659" s="27" t="n"/>
      <c r="G659" s="27" t="n"/>
      <c r="H659" s="27" t="n"/>
    </row>
    <row r="660">
      <c r="F660" s="27" t="n"/>
      <c r="G660" s="27" t="n"/>
      <c r="H660" s="27" t="n"/>
    </row>
    <row r="661">
      <c r="F661" s="27" t="n"/>
      <c r="G661" s="27" t="n"/>
      <c r="H661" s="27" t="n"/>
    </row>
    <row r="662">
      <c r="F662" s="27" t="n"/>
      <c r="G662" s="27" t="n"/>
      <c r="H662" s="27" t="n"/>
    </row>
    <row r="663">
      <c r="F663" s="27" t="n"/>
      <c r="G663" s="27" t="n"/>
      <c r="H663" s="27" t="n"/>
    </row>
    <row r="664">
      <c r="F664" s="27" t="n"/>
      <c r="G664" s="27" t="n"/>
      <c r="H664" s="27" t="n"/>
    </row>
    <row r="665">
      <c r="F665" s="27" t="n"/>
      <c r="G665" s="27" t="n"/>
      <c r="H665" s="27" t="n"/>
    </row>
    <row r="666">
      <c r="F666" s="27" t="n"/>
      <c r="G666" s="27" t="n"/>
      <c r="H666" s="27" t="n"/>
    </row>
    <row r="667">
      <c r="F667" s="27" t="n"/>
      <c r="G667" s="27" t="n"/>
      <c r="H667" s="27" t="n"/>
    </row>
    <row r="668">
      <c r="F668" s="27" t="n"/>
      <c r="G668" s="27" t="n"/>
      <c r="H668" s="27" t="n"/>
    </row>
    <row r="669">
      <c r="F669" s="27" t="n"/>
      <c r="G669" s="27" t="n"/>
      <c r="H669" s="27" t="n"/>
    </row>
    <row r="670">
      <c r="F670" s="27" t="n"/>
      <c r="G670" s="27" t="n"/>
      <c r="H670" s="27" t="n"/>
    </row>
    <row r="671">
      <c r="F671" s="27" t="n"/>
      <c r="G671" s="27" t="n"/>
      <c r="H671" s="27" t="n"/>
    </row>
    <row r="672">
      <c r="F672" s="27" t="n"/>
      <c r="G672" s="27" t="n"/>
      <c r="H672" s="27" t="n"/>
    </row>
    <row r="673">
      <c r="F673" s="27" t="n"/>
      <c r="G673" s="27" t="n"/>
      <c r="H673" s="27" t="n"/>
    </row>
    <row r="674">
      <c r="F674" s="27" t="n"/>
      <c r="G674" s="27" t="n"/>
      <c r="H674" s="27" t="n"/>
    </row>
    <row r="675">
      <c r="F675" s="27" t="n"/>
      <c r="G675" s="27" t="n"/>
      <c r="H675" s="27" t="n"/>
    </row>
    <row r="676">
      <c r="F676" s="27" t="n"/>
      <c r="G676" s="27" t="n"/>
      <c r="H676" s="27" t="n"/>
    </row>
    <row r="677">
      <c r="F677" s="27" t="n"/>
      <c r="G677" s="27" t="n"/>
      <c r="H677" s="27" t="n"/>
    </row>
    <row r="678">
      <c r="F678" s="27" t="n"/>
      <c r="G678" s="27" t="n"/>
      <c r="H678" s="27" t="n"/>
    </row>
    <row r="679">
      <c r="F679" s="27" t="n"/>
      <c r="G679" s="27" t="n"/>
      <c r="H679" s="27" t="n"/>
    </row>
    <row r="680">
      <c r="F680" s="27" t="n"/>
      <c r="G680" s="27" t="n"/>
      <c r="H680" s="27" t="n"/>
    </row>
    <row r="681">
      <c r="F681" s="27" t="n"/>
      <c r="G681" s="27" t="n"/>
      <c r="H681" s="27" t="n"/>
    </row>
    <row r="682">
      <c r="F682" s="27" t="n"/>
      <c r="G682" s="27" t="n"/>
      <c r="H682" s="27" t="n"/>
    </row>
    <row r="683">
      <c r="F683" s="27" t="n"/>
      <c r="G683" s="27" t="n"/>
      <c r="H683" s="27" t="n"/>
    </row>
    <row r="684">
      <c r="F684" s="27" t="n"/>
      <c r="G684" s="27" t="n"/>
      <c r="H684" s="27" t="n"/>
    </row>
    <row r="685">
      <c r="F685" s="27" t="n"/>
      <c r="G685" s="27" t="n"/>
      <c r="H685" s="27" t="n"/>
    </row>
    <row r="686">
      <c r="F686" s="27" t="n"/>
      <c r="G686" s="27" t="n"/>
      <c r="H686" s="27" t="n"/>
    </row>
    <row r="687">
      <c r="F687" s="27" t="n"/>
      <c r="G687" s="27" t="n"/>
      <c r="H687" s="27" t="n"/>
    </row>
    <row r="688">
      <c r="F688" s="27" t="n"/>
      <c r="G688" s="27" t="n"/>
      <c r="H688" s="27" t="n"/>
    </row>
    <row r="689">
      <c r="F689" s="27" t="n"/>
      <c r="G689" s="27" t="n"/>
      <c r="H689" s="27" t="n"/>
    </row>
    <row r="690">
      <c r="F690" s="27" t="n"/>
      <c r="G690" s="27" t="n"/>
      <c r="H690" s="27" t="n"/>
    </row>
    <row r="691">
      <c r="F691" s="27" t="n"/>
      <c r="G691" s="27" t="n"/>
      <c r="H691" s="27" t="n"/>
    </row>
    <row r="692">
      <c r="F692" s="27" t="n"/>
      <c r="G692" s="27" t="n"/>
      <c r="H692" s="27" t="n"/>
    </row>
    <row r="693">
      <c r="F693" s="27" t="n"/>
      <c r="G693" s="27" t="n"/>
      <c r="H693" s="27" t="n"/>
    </row>
    <row r="694">
      <c r="F694" s="27" t="n"/>
      <c r="G694" s="27" t="n"/>
      <c r="H694" s="27" t="n"/>
    </row>
    <row r="695">
      <c r="F695" s="27" t="n"/>
      <c r="G695" s="27" t="n"/>
      <c r="H695" s="27" t="n"/>
    </row>
    <row r="696">
      <c r="F696" s="27" t="n"/>
      <c r="G696" s="27" t="n"/>
      <c r="H696" s="27" t="n"/>
    </row>
    <row r="697">
      <c r="F697" s="27" t="n"/>
      <c r="G697" s="27" t="n"/>
      <c r="H697" s="27" t="n"/>
    </row>
    <row r="698">
      <c r="F698" s="27" t="n"/>
      <c r="G698" s="27" t="n"/>
      <c r="H698" s="27" t="n"/>
    </row>
    <row r="699">
      <c r="F699" s="27" t="n"/>
      <c r="G699" s="27" t="n"/>
      <c r="H699" s="27" t="n"/>
    </row>
    <row r="700">
      <c r="F700" s="27" t="n"/>
      <c r="G700" s="27" t="n"/>
      <c r="H700" s="27" t="n"/>
    </row>
  </sheetData>
  <autoFilter ref="A1:N600"/>
  <dataValidations count="5">
    <dataValidation sqref="B2:B6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60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6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600" showDropDown="0" showInputMessage="0" showErrorMessage="1" allowBlank="1" errorTitle="Invalid selection" error="Select from dropdown." type="list">
      <formula1>"Not Started,In Progress,Blocked,Completed,Delayed,Deferred,On Hold"</formula1>
    </dataValidation>
    <dataValidation sqref="J2:J60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0" t="inlineStr">
        <is>
          <t>Milestone ID</t>
        </is>
      </c>
      <c r="B1" s="10" t="inlineStr">
        <is>
          <t>Project ID</t>
        </is>
      </c>
      <c r="C1" s="10" t="inlineStr">
        <is>
          <t>Milestone Name</t>
        </is>
      </c>
      <c r="D1" s="10" t="inlineStr">
        <is>
          <t>Planned Date</t>
        </is>
      </c>
      <c r="E1" s="10" t="inlineStr">
        <is>
          <t>Actual Date</t>
        </is>
      </c>
      <c r="F1" s="10" t="inlineStr">
        <is>
          <t>Status</t>
        </is>
      </c>
      <c r="G1" s="10" t="inlineStr">
        <is>
          <t>Delay Days</t>
        </is>
      </c>
      <c r="H1" s="10" t="inlineStr">
        <is>
          <t>Owner</t>
        </is>
      </c>
      <c r="I1" s="10" t="inlineStr">
        <is>
          <t>Remarks</t>
        </is>
      </c>
    </row>
    <row r="2">
      <c r="A2" s="15" t="inlineStr">
        <is>
          <t>MS-001</t>
        </is>
      </c>
      <c r="B2" s="15" t="inlineStr">
        <is>
          <t>PRJ-001</t>
        </is>
      </c>
      <c r="C2" s="15" t="inlineStr">
        <is>
          <t>UAT Signoff</t>
        </is>
      </c>
      <c r="D2" s="16" t="n">
        <v>46191</v>
      </c>
      <c r="E2" s="16" t="inlineStr"/>
      <c r="F2" s="15" t="inlineStr">
        <is>
          <t>At Risk</t>
        </is>
      </c>
      <c r="G2" s="15">
        <f>IF(D2="","",MAX(0,IF(E2&lt;&gt;"",E2-D2,IF(F2="Completed",0,TODAY()-D2))))</f>
        <v/>
      </c>
      <c r="H2" s="15" t="inlineStr">
        <is>
          <t>Ananya Rao</t>
        </is>
      </c>
      <c r="I2" s="15" t="inlineStr">
        <is>
          <t>Open defects</t>
        </is>
      </c>
    </row>
    <row r="3">
      <c r="A3" s="15" t="inlineStr">
        <is>
          <t>MS-002</t>
        </is>
      </c>
      <c r="B3" s="15" t="inlineStr">
        <is>
          <t>PRJ-002</t>
        </is>
      </c>
      <c r="C3" s="15" t="inlineStr">
        <is>
          <t>SIT Entry</t>
        </is>
      </c>
      <c r="D3" s="16" t="n">
        <v>46198</v>
      </c>
      <c r="E3" s="16" t="inlineStr"/>
      <c r="F3" s="15" t="inlineStr">
        <is>
          <t>Delayed</t>
        </is>
      </c>
      <c r="G3" s="15">
        <f>IF(D3="","",MAX(0,IF(E3&lt;&gt;"",E3-D3,IF(F3="Completed",0,TODAY()-D3))))</f>
        <v/>
      </c>
      <c r="H3" s="15" t="inlineStr">
        <is>
          <t>Rohit Menon</t>
        </is>
      </c>
      <c r="I3" s="15" t="inlineStr">
        <is>
          <t>Integration blocked</t>
        </is>
      </c>
    </row>
    <row r="4">
      <c r="A4" s="15" t="inlineStr">
        <is>
          <t>MS-003</t>
        </is>
      </c>
      <c r="B4" s="15" t="inlineStr">
        <is>
          <t>PRJ-003</t>
        </is>
      </c>
      <c r="C4" s="15" t="inlineStr">
        <is>
          <t>Production Release</t>
        </is>
      </c>
      <c r="D4" s="16" t="n">
        <v>46147</v>
      </c>
      <c r="E4" s="16" t="n">
        <v>46148</v>
      </c>
      <c r="F4" s="15" t="inlineStr">
        <is>
          <t>Completed</t>
        </is>
      </c>
      <c r="G4" s="15">
        <f>IF(D4="","",MAX(0,IF(E4&lt;&gt;"",E4-D4,IF(F4="Completed",0,TODAY()-D4))))</f>
        <v/>
      </c>
      <c r="H4" s="15" t="inlineStr">
        <is>
          <t>Meera Iyer</t>
        </is>
      </c>
      <c r="I4" s="15" t="inlineStr">
        <is>
          <t>Released</t>
        </is>
      </c>
    </row>
    <row r="5">
      <c r="A5" s="15" t="n"/>
      <c r="B5" s="15" t="n"/>
      <c r="C5" s="15" t="n"/>
      <c r="D5" s="16" t="n"/>
      <c r="E5" s="16" t="n"/>
      <c r="F5" s="15" t="n"/>
      <c r="G5" s="15">
        <f>IF(D5="","",MAX(0,IF(E5&lt;&gt;"",E5-D5,IF(F5="Completed",0,TODAY()-D5))))</f>
        <v/>
      </c>
      <c r="H5" s="15" t="n"/>
      <c r="I5" s="15" t="n"/>
    </row>
    <row r="6">
      <c r="A6" s="15" t="n"/>
      <c r="B6" s="15" t="n"/>
      <c r="C6" s="15" t="n"/>
      <c r="D6" s="16" t="n"/>
      <c r="E6" s="16" t="n"/>
      <c r="F6" s="15" t="n"/>
      <c r="G6" s="15">
        <f>IF(D6="","",MAX(0,IF(E6&lt;&gt;"",E6-D6,IF(F6="Completed",0,TODAY()-D6))))</f>
        <v/>
      </c>
      <c r="H6" s="15" t="n"/>
      <c r="I6" s="15" t="n"/>
    </row>
    <row r="7">
      <c r="A7" s="15" t="n"/>
      <c r="B7" s="15" t="n"/>
      <c r="C7" s="15" t="n"/>
      <c r="D7" s="16" t="n"/>
      <c r="E7" s="16" t="n"/>
      <c r="F7" s="15" t="n"/>
      <c r="G7" s="15">
        <f>IF(D7="","",MAX(0,IF(E7&lt;&gt;"",E7-D7,IF(F7="Completed",0,TODAY()-D7))))</f>
        <v/>
      </c>
      <c r="H7" s="15" t="n"/>
      <c r="I7" s="15" t="n"/>
    </row>
    <row r="8">
      <c r="A8" s="15" t="n"/>
      <c r="B8" s="15" t="n"/>
      <c r="C8" s="15" t="n"/>
      <c r="D8" s="16" t="n"/>
      <c r="E8" s="16" t="n"/>
      <c r="F8" s="15" t="n"/>
      <c r="G8" s="15">
        <f>IF(D8="","",MAX(0,IF(E8&lt;&gt;"",E8-D8,IF(F8="Completed",0,TODAY()-D8))))</f>
        <v/>
      </c>
      <c r="H8" s="15" t="n"/>
      <c r="I8" s="15" t="n"/>
    </row>
    <row r="9">
      <c r="A9" s="15" t="n"/>
      <c r="B9" s="15" t="n"/>
      <c r="C9" s="15" t="n"/>
      <c r="D9" s="16" t="n"/>
      <c r="E9" s="16" t="n"/>
      <c r="F9" s="15" t="n"/>
      <c r="G9" s="15">
        <f>IF(D9="","",MAX(0,IF(E9&lt;&gt;"",E9-D9,IF(F9="Completed",0,TODAY()-D9))))</f>
        <v/>
      </c>
      <c r="H9" s="15" t="n"/>
      <c r="I9" s="15" t="n"/>
    </row>
    <row r="10">
      <c r="A10" s="15" t="n"/>
      <c r="B10" s="15" t="n"/>
      <c r="C10" s="15" t="n"/>
      <c r="D10" s="16" t="n"/>
      <c r="E10" s="16" t="n"/>
      <c r="F10" s="15" t="n"/>
      <c r="G10" s="15">
        <f>IF(D10="","",MAX(0,IF(E10&lt;&gt;"",E10-D10,IF(F10="Completed",0,TODAY()-D10))))</f>
        <v/>
      </c>
      <c r="H10" s="15" t="n"/>
      <c r="I10" s="15" t="n"/>
    </row>
    <row r="11">
      <c r="A11" s="15" t="n"/>
      <c r="B11" s="15" t="n"/>
      <c r="C11" s="15" t="n"/>
      <c r="D11" s="16" t="n"/>
      <c r="E11" s="16" t="n"/>
      <c r="F11" s="15" t="n"/>
      <c r="G11" s="15">
        <f>IF(D11="","",MAX(0,IF(E11&lt;&gt;"",E11-D11,IF(F11="Completed",0,TODAY()-D11))))</f>
        <v/>
      </c>
      <c r="H11" s="15" t="n"/>
      <c r="I11" s="15" t="n"/>
    </row>
    <row r="12">
      <c r="A12" s="15" t="n"/>
      <c r="B12" s="15" t="n"/>
      <c r="C12" s="15" t="n"/>
      <c r="D12" s="16" t="n"/>
      <c r="E12" s="16" t="n"/>
      <c r="F12" s="15" t="n"/>
      <c r="G12" s="15">
        <f>IF(D12="","",MAX(0,IF(E12&lt;&gt;"",E12-D12,IF(F12="Completed",0,TODAY()-D12))))</f>
        <v/>
      </c>
      <c r="H12" s="15" t="n"/>
      <c r="I12" s="15" t="n"/>
    </row>
    <row r="13">
      <c r="A13" s="15" t="n"/>
      <c r="B13" s="15" t="n"/>
      <c r="C13" s="15" t="n"/>
      <c r="D13" s="16" t="n"/>
      <c r="E13" s="16" t="n"/>
      <c r="F13" s="15" t="n"/>
      <c r="G13" s="15">
        <f>IF(D13="","",MAX(0,IF(E13&lt;&gt;"",E13-D13,IF(F13="Completed",0,TODAY()-D13))))</f>
        <v/>
      </c>
      <c r="H13" s="15" t="n"/>
      <c r="I13" s="15" t="n"/>
    </row>
    <row r="14">
      <c r="A14" s="15" t="n"/>
      <c r="B14" s="15" t="n"/>
      <c r="C14" s="15" t="n"/>
      <c r="D14" s="16" t="n"/>
      <c r="E14" s="16" t="n"/>
      <c r="F14" s="15" t="n"/>
      <c r="G14" s="15">
        <f>IF(D14="","",MAX(0,IF(E14&lt;&gt;"",E14-D14,IF(F14="Completed",0,TODAY()-D14))))</f>
        <v/>
      </c>
      <c r="H14" s="15" t="n"/>
      <c r="I14" s="15" t="n"/>
    </row>
    <row r="15">
      <c r="A15" s="15" t="n"/>
      <c r="B15" s="15" t="n"/>
      <c r="C15" s="15" t="n"/>
      <c r="D15" s="16" t="n"/>
      <c r="E15" s="16" t="n"/>
      <c r="F15" s="15" t="n"/>
      <c r="G15" s="15">
        <f>IF(D15="","",MAX(0,IF(E15&lt;&gt;"",E15-D15,IF(F15="Completed",0,TODAY()-D15))))</f>
        <v/>
      </c>
      <c r="H15" s="15" t="n"/>
      <c r="I15" s="15" t="n"/>
    </row>
    <row r="16">
      <c r="A16" s="15" t="n"/>
      <c r="B16" s="15" t="n"/>
      <c r="C16" s="15" t="n"/>
      <c r="D16" s="16" t="n"/>
      <c r="E16" s="16" t="n"/>
      <c r="F16" s="15" t="n"/>
      <c r="G16" s="15">
        <f>IF(D16="","",MAX(0,IF(E16&lt;&gt;"",E16-D16,IF(F16="Completed",0,TODAY()-D16))))</f>
        <v/>
      </c>
      <c r="H16" s="15" t="n"/>
      <c r="I16" s="15" t="n"/>
    </row>
    <row r="17">
      <c r="A17" s="15" t="n"/>
      <c r="B17" s="15" t="n"/>
      <c r="C17" s="15" t="n"/>
      <c r="D17" s="16" t="n"/>
      <c r="E17" s="16" t="n"/>
      <c r="F17" s="15" t="n"/>
      <c r="G17" s="15">
        <f>IF(D17="","",MAX(0,IF(E17&lt;&gt;"",E17-D17,IF(F17="Completed",0,TODAY()-D17))))</f>
        <v/>
      </c>
      <c r="H17" s="15" t="n"/>
      <c r="I17" s="15" t="n"/>
    </row>
    <row r="18">
      <c r="A18" s="15" t="n"/>
      <c r="B18" s="15" t="n"/>
      <c r="C18" s="15" t="n"/>
      <c r="D18" s="16" t="n"/>
      <c r="E18" s="16" t="n"/>
      <c r="F18" s="15" t="n"/>
      <c r="G18" s="15">
        <f>IF(D18="","",MAX(0,IF(E18&lt;&gt;"",E18-D18,IF(F18="Completed",0,TODAY()-D18))))</f>
        <v/>
      </c>
      <c r="H18" s="15" t="n"/>
      <c r="I18" s="15" t="n"/>
    </row>
    <row r="19">
      <c r="A19" s="15" t="n"/>
      <c r="B19" s="15" t="n"/>
      <c r="C19" s="15" t="n"/>
      <c r="D19" s="16" t="n"/>
      <c r="E19" s="16" t="n"/>
      <c r="F19" s="15" t="n"/>
      <c r="G19" s="15">
        <f>IF(D19="","",MAX(0,IF(E19&lt;&gt;"",E19-D19,IF(F19="Completed",0,TODAY()-D19))))</f>
        <v/>
      </c>
      <c r="H19" s="15" t="n"/>
      <c r="I19" s="15" t="n"/>
    </row>
    <row r="20">
      <c r="A20" s="15" t="n"/>
      <c r="B20" s="15" t="n"/>
      <c r="C20" s="15" t="n"/>
      <c r="D20" s="16" t="n"/>
      <c r="E20" s="16" t="n"/>
      <c r="F20" s="15" t="n"/>
      <c r="G20" s="15">
        <f>IF(D20="","",MAX(0,IF(E20&lt;&gt;"",E20-D20,IF(F20="Completed",0,TODAY()-D20))))</f>
        <v/>
      </c>
      <c r="H20" s="15" t="n"/>
      <c r="I20" s="15" t="n"/>
    </row>
    <row r="21">
      <c r="A21" s="15" t="n"/>
      <c r="B21" s="15" t="n"/>
      <c r="C21" s="15" t="n"/>
      <c r="D21" s="16" t="n"/>
      <c r="E21" s="16" t="n"/>
      <c r="F21" s="15" t="n"/>
      <c r="G21" s="15">
        <f>IF(D21="","",MAX(0,IF(E21&lt;&gt;"",E21-D21,IF(F21="Completed",0,TODAY()-D21))))</f>
        <v/>
      </c>
      <c r="H21" s="15" t="n"/>
      <c r="I21" s="15" t="n"/>
    </row>
    <row r="22">
      <c r="A22" s="15" t="n"/>
      <c r="B22" s="15" t="n"/>
      <c r="C22" s="15" t="n"/>
      <c r="D22" s="16" t="n"/>
      <c r="E22" s="16" t="n"/>
      <c r="F22" s="15" t="n"/>
      <c r="G22" s="15">
        <f>IF(D22="","",MAX(0,IF(E22&lt;&gt;"",E22-D22,IF(F22="Completed",0,TODAY()-D22))))</f>
        <v/>
      </c>
      <c r="H22" s="15" t="n"/>
      <c r="I22" s="15" t="n"/>
    </row>
    <row r="23">
      <c r="A23" s="15" t="n"/>
      <c r="B23" s="15" t="n"/>
      <c r="C23" s="15" t="n"/>
      <c r="D23" s="16" t="n"/>
      <c r="E23" s="16" t="n"/>
      <c r="F23" s="15" t="n"/>
      <c r="G23" s="15">
        <f>IF(D23="","",MAX(0,IF(E23&lt;&gt;"",E23-D23,IF(F23="Completed",0,TODAY()-D23))))</f>
        <v/>
      </c>
      <c r="H23" s="15" t="n"/>
      <c r="I23" s="15" t="n"/>
    </row>
    <row r="24">
      <c r="A24" s="15" t="n"/>
      <c r="B24" s="15" t="n"/>
      <c r="C24" s="15" t="n"/>
      <c r="D24" s="16" t="n"/>
      <c r="E24" s="16" t="n"/>
      <c r="F24" s="15" t="n"/>
      <c r="G24" s="15">
        <f>IF(D24="","",MAX(0,IF(E24&lt;&gt;"",E24-D24,IF(F24="Completed",0,TODAY()-D24))))</f>
        <v/>
      </c>
      <c r="H24" s="15" t="n"/>
      <c r="I24" s="15" t="n"/>
    </row>
    <row r="25">
      <c r="A25" s="15" t="n"/>
      <c r="B25" s="15" t="n"/>
      <c r="C25" s="15" t="n"/>
      <c r="D25" s="16" t="n"/>
      <c r="E25" s="16" t="n"/>
      <c r="F25" s="15" t="n"/>
      <c r="G25" s="15">
        <f>IF(D25="","",MAX(0,IF(E25&lt;&gt;"",E25-D25,IF(F25="Completed",0,TODAY()-D25))))</f>
        <v/>
      </c>
      <c r="H25" s="15" t="n"/>
      <c r="I25" s="15" t="n"/>
    </row>
    <row r="26">
      <c r="A26" s="15" t="n"/>
      <c r="B26" s="15" t="n"/>
      <c r="C26" s="15" t="n"/>
      <c r="D26" s="16" t="n"/>
      <c r="E26" s="16" t="n"/>
      <c r="F26" s="15" t="n"/>
      <c r="G26" s="15">
        <f>IF(D26="","",MAX(0,IF(E26&lt;&gt;"",E26-D26,IF(F26="Completed",0,TODAY()-D26))))</f>
        <v/>
      </c>
      <c r="H26" s="15" t="n"/>
      <c r="I26" s="15" t="n"/>
    </row>
    <row r="27">
      <c r="A27" s="15" t="n"/>
      <c r="B27" s="15" t="n"/>
      <c r="C27" s="15" t="n"/>
      <c r="D27" s="16" t="n"/>
      <c r="E27" s="16" t="n"/>
      <c r="F27" s="15" t="n"/>
      <c r="G27" s="15">
        <f>IF(D27="","",MAX(0,IF(E27&lt;&gt;"",E27-D27,IF(F27="Completed",0,TODAY()-D27))))</f>
        <v/>
      </c>
      <c r="H27" s="15" t="n"/>
      <c r="I27" s="15" t="n"/>
    </row>
    <row r="28">
      <c r="A28" s="15" t="n"/>
      <c r="B28" s="15" t="n"/>
      <c r="C28" s="15" t="n"/>
      <c r="D28" s="16" t="n"/>
      <c r="E28" s="16" t="n"/>
      <c r="F28" s="15" t="n"/>
      <c r="G28" s="15">
        <f>IF(D28="","",MAX(0,IF(E28&lt;&gt;"",E28-D28,IF(F28="Completed",0,TODAY()-D28))))</f>
        <v/>
      </c>
      <c r="H28" s="15" t="n"/>
      <c r="I28" s="15" t="n"/>
    </row>
    <row r="29">
      <c r="A29" s="15" t="n"/>
      <c r="B29" s="15" t="n"/>
      <c r="C29" s="15" t="n"/>
      <c r="D29" s="16" t="n"/>
      <c r="E29" s="16" t="n"/>
      <c r="F29" s="15" t="n"/>
      <c r="G29" s="15">
        <f>IF(D29="","",MAX(0,IF(E29&lt;&gt;"",E29-D29,IF(F29="Completed",0,TODAY()-D29))))</f>
        <v/>
      </c>
      <c r="H29" s="15" t="n"/>
      <c r="I29" s="15" t="n"/>
    </row>
    <row r="30">
      <c r="A30" s="15" t="n"/>
      <c r="B30" s="15" t="n"/>
      <c r="C30" s="15" t="n"/>
      <c r="D30" s="16" t="n"/>
      <c r="E30" s="16" t="n"/>
      <c r="F30" s="15" t="n"/>
      <c r="G30" s="15">
        <f>IF(D30="","",MAX(0,IF(E30&lt;&gt;"",E30-D30,IF(F30="Completed",0,TODAY()-D30))))</f>
        <v/>
      </c>
      <c r="H30" s="15" t="n"/>
      <c r="I30" s="15" t="n"/>
    </row>
    <row r="31">
      <c r="A31" s="15" t="n"/>
      <c r="B31" s="15" t="n"/>
      <c r="C31" s="15" t="n"/>
      <c r="D31" s="16" t="n"/>
      <c r="E31" s="16" t="n"/>
      <c r="F31" s="15" t="n"/>
      <c r="G31" s="15">
        <f>IF(D31="","",MAX(0,IF(E31&lt;&gt;"",E31-D31,IF(F31="Completed",0,TODAY()-D31))))</f>
        <v/>
      </c>
      <c r="H31" s="15" t="n"/>
      <c r="I31" s="15" t="n"/>
    </row>
    <row r="32">
      <c r="A32" s="15" t="n"/>
      <c r="B32" s="15" t="n"/>
      <c r="C32" s="15" t="n"/>
      <c r="D32" s="16" t="n"/>
      <c r="E32" s="16" t="n"/>
      <c r="F32" s="15" t="n"/>
      <c r="G32" s="15">
        <f>IF(D32="","",MAX(0,IF(E32&lt;&gt;"",E32-D32,IF(F32="Completed",0,TODAY()-D32))))</f>
        <v/>
      </c>
      <c r="H32" s="15" t="n"/>
      <c r="I32" s="15" t="n"/>
    </row>
    <row r="33">
      <c r="A33" s="15" t="n"/>
      <c r="B33" s="15" t="n"/>
      <c r="C33" s="15" t="n"/>
      <c r="D33" s="16" t="n"/>
      <c r="E33" s="16" t="n"/>
      <c r="F33" s="15" t="n"/>
      <c r="G33" s="15">
        <f>IF(D33="","",MAX(0,IF(E33&lt;&gt;"",E33-D33,IF(F33="Completed",0,TODAY()-D33))))</f>
        <v/>
      </c>
      <c r="H33" s="15" t="n"/>
      <c r="I33" s="15" t="n"/>
    </row>
    <row r="34">
      <c r="A34" s="15" t="n"/>
      <c r="B34" s="15" t="n"/>
      <c r="C34" s="15" t="n"/>
      <c r="D34" s="16" t="n"/>
      <c r="E34" s="16" t="n"/>
      <c r="F34" s="15" t="n"/>
      <c r="G34" s="15">
        <f>IF(D34="","",MAX(0,IF(E34&lt;&gt;"",E34-D34,IF(F34="Completed",0,TODAY()-D34))))</f>
        <v/>
      </c>
      <c r="H34" s="15" t="n"/>
      <c r="I34" s="15" t="n"/>
    </row>
    <row r="35">
      <c r="A35" s="15" t="n"/>
      <c r="B35" s="15" t="n"/>
      <c r="C35" s="15" t="n"/>
      <c r="D35" s="16" t="n"/>
      <c r="E35" s="16" t="n"/>
      <c r="F35" s="15" t="n"/>
      <c r="G35" s="15">
        <f>IF(D35="","",MAX(0,IF(E35&lt;&gt;"",E35-D35,IF(F35="Completed",0,TODAY()-D35))))</f>
        <v/>
      </c>
      <c r="H35" s="15" t="n"/>
      <c r="I35" s="15" t="n"/>
    </row>
    <row r="36">
      <c r="A36" s="15" t="n"/>
      <c r="B36" s="15" t="n"/>
      <c r="C36" s="15" t="n"/>
      <c r="D36" s="16" t="n"/>
      <c r="E36" s="16" t="n"/>
      <c r="F36" s="15" t="n"/>
      <c r="G36" s="15">
        <f>IF(D36="","",MAX(0,IF(E36&lt;&gt;"",E36-D36,IF(F36="Completed",0,TODAY()-D36))))</f>
        <v/>
      </c>
      <c r="H36" s="15" t="n"/>
      <c r="I36" s="15" t="n"/>
    </row>
    <row r="37">
      <c r="A37" s="15" t="n"/>
      <c r="B37" s="15" t="n"/>
      <c r="C37" s="15" t="n"/>
      <c r="D37" s="16" t="n"/>
      <c r="E37" s="16" t="n"/>
      <c r="F37" s="15" t="n"/>
      <c r="G37" s="15">
        <f>IF(D37="","",MAX(0,IF(E37&lt;&gt;"",E37-D37,IF(F37="Completed",0,TODAY()-D37))))</f>
        <v/>
      </c>
      <c r="H37" s="15" t="n"/>
      <c r="I37" s="15" t="n"/>
    </row>
    <row r="38">
      <c r="A38" s="15" t="n"/>
      <c r="B38" s="15" t="n"/>
      <c r="C38" s="15" t="n"/>
      <c r="D38" s="16" t="n"/>
      <c r="E38" s="16" t="n"/>
      <c r="F38" s="15" t="n"/>
      <c r="G38" s="15">
        <f>IF(D38="","",MAX(0,IF(E38&lt;&gt;"",E38-D38,IF(F38="Completed",0,TODAY()-D38))))</f>
        <v/>
      </c>
      <c r="H38" s="15" t="n"/>
      <c r="I38" s="15" t="n"/>
    </row>
    <row r="39">
      <c r="A39" s="15" t="n"/>
      <c r="B39" s="15" t="n"/>
      <c r="C39" s="15" t="n"/>
      <c r="D39" s="16" t="n"/>
      <c r="E39" s="16" t="n"/>
      <c r="F39" s="15" t="n"/>
      <c r="G39" s="15">
        <f>IF(D39="","",MAX(0,IF(E39&lt;&gt;"",E39-D39,IF(F39="Completed",0,TODAY()-D39))))</f>
        <v/>
      </c>
      <c r="H39" s="15" t="n"/>
      <c r="I39" s="15" t="n"/>
    </row>
    <row r="40">
      <c r="A40" s="15" t="n"/>
      <c r="B40" s="15" t="n"/>
      <c r="C40" s="15" t="n"/>
      <c r="D40" s="16" t="n"/>
      <c r="E40" s="16" t="n"/>
      <c r="F40" s="15" t="n"/>
      <c r="G40" s="15">
        <f>IF(D40="","",MAX(0,IF(E40&lt;&gt;"",E40-D40,IF(F40="Completed",0,TODAY()-D40))))</f>
        <v/>
      </c>
      <c r="H40" s="15" t="n"/>
      <c r="I40" s="15" t="n"/>
    </row>
    <row r="41">
      <c r="A41" s="15" t="n"/>
      <c r="B41" s="15" t="n"/>
      <c r="C41" s="15" t="n"/>
      <c r="D41" s="16" t="n"/>
      <c r="E41" s="16" t="n"/>
      <c r="F41" s="15" t="n"/>
      <c r="G41" s="15">
        <f>IF(D41="","",MAX(0,IF(E41&lt;&gt;"",E41-D41,IF(F41="Completed",0,TODAY()-D41))))</f>
        <v/>
      </c>
      <c r="H41" s="15" t="n"/>
      <c r="I41" s="15" t="n"/>
    </row>
    <row r="42">
      <c r="A42" s="15" t="n"/>
      <c r="B42" s="15" t="n"/>
      <c r="C42" s="15" t="n"/>
      <c r="D42" s="16" t="n"/>
      <c r="E42" s="16" t="n"/>
      <c r="F42" s="15" t="n"/>
      <c r="G42" s="15">
        <f>IF(D42="","",MAX(0,IF(E42&lt;&gt;"",E42-D42,IF(F42="Completed",0,TODAY()-D42))))</f>
        <v/>
      </c>
      <c r="H42" s="15" t="n"/>
      <c r="I42" s="15" t="n"/>
    </row>
    <row r="43">
      <c r="A43" s="15" t="n"/>
      <c r="B43" s="15" t="n"/>
      <c r="C43" s="15" t="n"/>
      <c r="D43" s="16" t="n"/>
      <c r="E43" s="16" t="n"/>
      <c r="F43" s="15" t="n"/>
      <c r="G43" s="15">
        <f>IF(D43="","",MAX(0,IF(E43&lt;&gt;"",E43-D43,IF(F43="Completed",0,TODAY()-D43))))</f>
        <v/>
      </c>
      <c r="H43" s="15" t="n"/>
      <c r="I43" s="15" t="n"/>
    </row>
    <row r="44">
      <c r="A44" s="15" t="n"/>
      <c r="B44" s="15" t="n"/>
      <c r="C44" s="15" t="n"/>
      <c r="D44" s="16" t="n"/>
      <c r="E44" s="16" t="n"/>
      <c r="F44" s="15" t="n"/>
      <c r="G44" s="15">
        <f>IF(D44="","",MAX(0,IF(E44&lt;&gt;"",E44-D44,IF(F44="Completed",0,TODAY()-D44))))</f>
        <v/>
      </c>
      <c r="H44" s="15" t="n"/>
      <c r="I44" s="15" t="n"/>
    </row>
    <row r="45">
      <c r="A45" s="15" t="n"/>
      <c r="B45" s="15" t="n"/>
      <c r="C45" s="15" t="n"/>
      <c r="D45" s="16" t="n"/>
      <c r="E45" s="16" t="n"/>
      <c r="F45" s="15" t="n"/>
      <c r="G45" s="15">
        <f>IF(D45="","",MAX(0,IF(E45&lt;&gt;"",E45-D45,IF(F45="Completed",0,TODAY()-D45))))</f>
        <v/>
      </c>
      <c r="H45" s="15" t="n"/>
      <c r="I45" s="15" t="n"/>
    </row>
    <row r="46">
      <c r="A46" s="15" t="n"/>
      <c r="B46" s="15" t="n"/>
      <c r="C46" s="15" t="n"/>
      <c r="D46" s="16" t="n"/>
      <c r="E46" s="16" t="n"/>
      <c r="F46" s="15" t="n"/>
      <c r="G46" s="15">
        <f>IF(D46="","",MAX(0,IF(E46&lt;&gt;"",E46-D46,IF(F46="Completed",0,TODAY()-D46))))</f>
        <v/>
      </c>
      <c r="H46" s="15" t="n"/>
      <c r="I46" s="15" t="n"/>
    </row>
    <row r="47">
      <c r="A47" s="15" t="n"/>
      <c r="B47" s="15" t="n"/>
      <c r="C47" s="15" t="n"/>
      <c r="D47" s="16" t="n"/>
      <c r="E47" s="16" t="n"/>
      <c r="F47" s="15" t="n"/>
      <c r="G47" s="15">
        <f>IF(D47="","",MAX(0,IF(E47&lt;&gt;"",E47-D47,IF(F47="Completed",0,TODAY()-D47))))</f>
        <v/>
      </c>
      <c r="H47" s="15" t="n"/>
      <c r="I47" s="15" t="n"/>
    </row>
    <row r="48">
      <c r="A48" s="15" t="n"/>
      <c r="B48" s="15" t="n"/>
      <c r="C48" s="15" t="n"/>
      <c r="D48" s="16" t="n"/>
      <c r="E48" s="16" t="n"/>
      <c r="F48" s="15" t="n"/>
      <c r="G48" s="15">
        <f>IF(D48="","",MAX(0,IF(E48&lt;&gt;"",E48-D48,IF(F48="Completed",0,TODAY()-D48))))</f>
        <v/>
      </c>
      <c r="H48" s="15" t="n"/>
      <c r="I48" s="15" t="n"/>
    </row>
    <row r="49">
      <c r="A49" s="15" t="n"/>
      <c r="B49" s="15" t="n"/>
      <c r="C49" s="15" t="n"/>
      <c r="D49" s="16" t="n"/>
      <c r="E49" s="16" t="n"/>
      <c r="F49" s="15" t="n"/>
      <c r="G49" s="15">
        <f>IF(D49="","",MAX(0,IF(E49&lt;&gt;"",E49-D49,IF(F49="Completed",0,TODAY()-D49))))</f>
        <v/>
      </c>
      <c r="H49" s="15" t="n"/>
      <c r="I49" s="15" t="n"/>
    </row>
    <row r="50">
      <c r="A50" s="15" t="n"/>
      <c r="B50" s="15" t="n"/>
      <c r="C50" s="15" t="n"/>
      <c r="D50" s="16" t="n"/>
      <c r="E50" s="16" t="n"/>
      <c r="F50" s="15" t="n"/>
      <c r="G50" s="15">
        <f>IF(D50="","",MAX(0,IF(E50&lt;&gt;"",E50-D50,IF(F50="Completed",0,TODAY()-D50))))</f>
        <v/>
      </c>
      <c r="H50" s="15" t="n"/>
      <c r="I50" s="15" t="n"/>
    </row>
    <row r="51">
      <c r="A51" s="15" t="n"/>
      <c r="B51" s="15" t="n"/>
      <c r="C51" s="15" t="n"/>
      <c r="D51" s="16" t="n"/>
      <c r="E51" s="16" t="n"/>
      <c r="F51" s="15" t="n"/>
      <c r="G51" s="15">
        <f>IF(D51="","",MAX(0,IF(E51&lt;&gt;"",E51-D51,IF(F51="Completed",0,TODAY()-D51))))</f>
        <v/>
      </c>
      <c r="H51" s="15" t="n"/>
      <c r="I51" s="15" t="n"/>
    </row>
    <row r="52">
      <c r="A52" s="15" t="n"/>
      <c r="B52" s="15" t="n"/>
      <c r="C52" s="15" t="n"/>
      <c r="D52" s="16" t="n"/>
      <c r="E52" s="16" t="n"/>
      <c r="F52" s="15" t="n"/>
      <c r="G52" s="15">
        <f>IF(D52="","",MAX(0,IF(E52&lt;&gt;"",E52-D52,IF(F52="Completed",0,TODAY()-D52))))</f>
        <v/>
      </c>
      <c r="H52" s="15" t="n"/>
      <c r="I52" s="15" t="n"/>
    </row>
    <row r="53">
      <c r="A53" s="15" t="n"/>
      <c r="B53" s="15" t="n"/>
      <c r="C53" s="15" t="n"/>
      <c r="D53" s="16" t="n"/>
      <c r="E53" s="16" t="n"/>
      <c r="F53" s="15" t="n"/>
      <c r="G53" s="15">
        <f>IF(D53="","",MAX(0,IF(E53&lt;&gt;"",E53-D53,IF(F53="Completed",0,TODAY()-D53))))</f>
        <v/>
      </c>
      <c r="H53" s="15" t="n"/>
      <c r="I53" s="15" t="n"/>
    </row>
    <row r="54">
      <c r="A54" s="15" t="n"/>
      <c r="B54" s="15" t="n"/>
      <c r="C54" s="15" t="n"/>
      <c r="D54" s="16" t="n"/>
      <c r="E54" s="16" t="n"/>
      <c r="F54" s="15" t="n"/>
      <c r="G54" s="15">
        <f>IF(D54="","",MAX(0,IF(E54&lt;&gt;"",E54-D54,IF(F54="Completed",0,TODAY()-D54))))</f>
        <v/>
      </c>
      <c r="H54" s="15" t="n"/>
      <c r="I54" s="15" t="n"/>
    </row>
    <row r="55">
      <c r="A55" s="15" t="n"/>
      <c r="B55" s="15" t="n"/>
      <c r="C55" s="15" t="n"/>
      <c r="D55" s="16" t="n"/>
      <c r="E55" s="16" t="n"/>
      <c r="F55" s="15" t="n"/>
      <c r="G55" s="15">
        <f>IF(D55="","",MAX(0,IF(E55&lt;&gt;"",E55-D55,IF(F55="Completed",0,TODAY()-D55))))</f>
        <v/>
      </c>
      <c r="H55" s="15" t="n"/>
      <c r="I55" s="15" t="n"/>
    </row>
    <row r="56">
      <c r="A56" s="15" t="n"/>
      <c r="B56" s="15" t="n"/>
      <c r="C56" s="15" t="n"/>
      <c r="D56" s="16" t="n"/>
      <c r="E56" s="16" t="n"/>
      <c r="F56" s="15" t="n"/>
      <c r="G56" s="15">
        <f>IF(D56="","",MAX(0,IF(E56&lt;&gt;"",E56-D56,IF(F56="Completed",0,TODAY()-D56))))</f>
        <v/>
      </c>
      <c r="H56" s="15" t="n"/>
      <c r="I56" s="15" t="n"/>
    </row>
    <row r="57">
      <c r="A57" s="15" t="n"/>
      <c r="B57" s="15" t="n"/>
      <c r="C57" s="15" t="n"/>
      <c r="D57" s="16" t="n"/>
      <c r="E57" s="16" t="n"/>
      <c r="F57" s="15" t="n"/>
      <c r="G57" s="15">
        <f>IF(D57="","",MAX(0,IF(E57&lt;&gt;"",E57-D57,IF(F57="Completed",0,TODAY()-D57))))</f>
        <v/>
      </c>
      <c r="H57" s="15" t="n"/>
      <c r="I57" s="15" t="n"/>
    </row>
    <row r="58">
      <c r="A58" s="15" t="n"/>
      <c r="B58" s="15" t="n"/>
      <c r="C58" s="15" t="n"/>
      <c r="D58" s="16" t="n"/>
      <c r="E58" s="16" t="n"/>
      <c r="F58" s="15" t="n"/>
      <c r="G58" s="15">
        <f>IF(D58="","",MAX(0,IF(E58&lt;&gt;"",E58-D58,IF(F58="Completed",0,TODAY()-D58))))</f>
        <v/>
      </c>
      <c r="H58" s="15" t="n"/>
      <c r="I58" s="15" t="n"/>
    </row>
    <row r="59">
      <c r="A59" s="15" t="n"/>
      <c r="B59" s="15" t="n"/>
      <c r="C59" s="15" t="n"/>
      <c r="D59" s="16" t="n"/>
      <c r="E59" s="16" t="n"/>
      <c r="F59" s="15" t="n"/>
      <c r="G59" s="15">
        <f>IF(D59="","",MAX(0,IF(E59&lt;&gt;"",E59-D59,IF(F59="Completed",0,TODAY()-D59))))</f>
        <v/>
      </c>
      <c r="H59" s="15" t="n"/>
      <c r="I59" s="15" t="n"/>
    </row>
    <row r="60">
      <c r="A60" s="15" t="n"/>
      <c r="B60" s="15" t="n"/>
      <c r="C60" s="15" t="n"/>
      <c r="D60" s="16" t="n"/>
      <c r="E60" s="16" t="n"/>
      <c r="F60" s="15" t="n"/>
      <c r="G60" s="15">
        <f>IF(D60="","",MAX(0,IF(E60&lt;&gt;"",E60-D60,IF(F60="Completed",0,TODAY()-D60))))</f>
        <v/>
      </c>
      <c r="H60" s="15" t="n"/>
      <c r="I60" s="15" t="n"/>
    </row>
    <row r="61">
      <c r="A61" s="15" t="n"/>
      <c r="B61" s="15" t="n"/>
      <c r="C61" s="15" t="n"/>
      <c r="D61" s="16" t="n"/>
      <c r="E61" s="16" t="n"/>
      <c r="F61" s="15" t="n"/>
      <c r="G61" s="15">
        <f>IF(D61="","",MAX(0,IF(E61&lt;&gt;"",E61-D61,IF(F61="Completed",0,TODAY()-D61))))</f>
        <v/>
      </c>
      <c r="H61" s="15" t="n"/>
      <c r="I61" s="15" t="n"/>
    </row>
    <row r="62">
      <c r="A62" s="15" t="n"/>
      <c r="B62" s="15" t="n"/>
      <c r="C62" s="15" t="n"/>
      <c r="D62" s="16" t="n"/>
      <c r="E62" s="16" t="n"/>
      <c r="F62" s="15" t="n"/>
      <c r="G62" s="15">
        <f>IF(D62="","",MAX(0,IF(E62&lt;&gt;"",E62-D62,IF(F62="Completed",0,TODAY()-D62))))</f>
        <v/>
      </c>
      <c r="H62" s="15" t="n"/>
      <c r="I62" s="15" t="n"/>
    </row>
    <row r="63">
      <c r="A63" s="15" t="n"/>
      <c r="B63" s="15" t="n"/>
      <c r="C63" s="15" t="n"/>
      <c r="D63" s="16" t="n"/>
      <c r="E63" s="16" t="n"/>
      <c r="F63" s="15" t="n"/>
      <c r="G63" s="15">
        <f>IF(D63="","",MAX(0,IF(E63&lt;&gt;"",E63-D63,IF(F63="Completed",0,TODAY()-D63))))</f>
        <v/>
      </c>
      <c r="H63" s="15" t="n"/>
      <c r="I63" s="15" t="n"/>
    </row>
    <row r="64">
      <c r="A64" s="15" t="n"/>
      <c r="B64" s="15" t="n"/>
      <c r="C64" s="15" t="n"/>
      <c r="D64" s="16" t="n"/>
      <c r="E64" s="16" t="n"/>
      <c r="F64" s="15" t="n"/>
      <c r="G64" s="15">
        <f>IF(D64="","",MAX(0,IF(E64&lt;&gt;"",E64-D64,IF(F64="Completed",0,TODAY()-D64))))</f>
        <v/>
      </c>
      <c r="H64" s="15" t="n"/>
      <c r="I64" s="15" t="n"/>
    </row>
    <row r="65">
      <c r="A65" s="15" t="n"/>
      <c r="B65" s="15" t="n"/>
      <c r="C65" s="15" t="n"/>
      <c r="D65" s="16" t="n"/>
      <c r="E65" s="16" t="n"/>
      <c r="F65" s="15" t="n"/>
      <c r="G65" s="15">
        <f>IF(D65="","",MAX(0,IF(E65&lt;&gt;"",E65-D65,IF(F65="Completed",0,TODAY()-D65))))</f>
        <v/>
      </c>
      <c r="H65" s="15" t="n"/>
      <c r="I65" s="15" t="n"/>
    </row>
    <row r="66">
      <c r="A66" s="15" t="n"/>
      <c r="B66" s="15" t="n"/>
      <c r="C66" s="15" t="n"/>
      <c r="D66" s="16" t="n"/>
      <c r="E66" s="16" t="n"/>
      <c r="F66" s="15" t="n"/>
      <c r="G66" s="15">
        <f>IF(D66="","",MAX(0,IF(E66&lt;&gt;"",E66-D66,IF(F66="Completed",0,TODAY()-D66))))</f>
        <v/>
      </c>
      <c r="H66" s="15" t="n"/>
      <c r="I66" s="15" t="n"/>
    </row>
    <row r="67">
      <c r="A67" s="15" t="n"/>
      <c r="B67" s="15" t="n"/>
      <c r="C67" s="15" t="n"/>
      <c r="D67" s="16" t="n"/>
      <c r="E67" s="16" t="n"/>
      <c r="F67" s="15" t="n"/>
      <c r="G67" s="15">
        <f>IF(D67="","",MAX(0,IF(E67&lt;&gt;"",E67-D67,IF(F67="Completed",0,TODAY()-D67))))</f>
        <v/>
      </c>
      <c r="H67" s="15" t="n"/>
      <c r="I67" s="15" t="n"/>
    </row>
    <row r="68">
      <c r="A68" s="15" t="n"/>
      <c r="B68" s="15" t="n"/>
      <c r="C68" s="15" t="n"/>
      <c r="D68" s="16" t="n"/>
      <c r="E68" s="16" t="n"/>
      <c r="F68" s="15" t="n"/>
      <c r="G68" s="15">
        <f>IF(D68="","",MAX(0,IF(E68&lt;&gt;"",E68-D68,IF(F68="Completed",0,TODAY()-D68))))</f>
        <v/>
      </c>
      <c r="H68" s="15" t="n"/>
      <c r="I68" s="15" t="n"/>
    </row>
    <row r="69">
      <c r="A69" s="15" t="n"/>
      <c r="B69" s="15" t="n"/>
      <c r="C69" s="15" t="n"/>
      <c r="D69" s="16" t="n"/>
      <c r="E69" s="16" t="n"/>
      <c r="F69" s="15" t="n"/>
      <c r="G69" s="15">
        <f>IF(D69="","",MAX(0,IF(E69&lt;&gt;"",E69-D69,IF(F69="Completed",0,TODAY()-D69))))</f>
        <v/>
      </c>
      <c r="H69" s="15" t="n"/>
      <c r="I69" s="15" t="n"/>
    </row>
    <row r="70">
      <c r="A70" s="15" t="n"/>
      <c r="B70" s="15" t="n"/>
      <c r="C70" s="15" t="n"/>
      <c r="D70" s="16" t="n"/>
      <c r="E70" s="16" t="n"/>
      <c r="F70" s="15" t="n"/>
      <c r="G70" s="15">
        <f>IF(D70="","",MAX(0,IF(E70&lt;&gt;"",E70-D70,IF(F70="Completed",0,TODAY()-D70))))</f>
        <v/>
      </c>
      <c r="H70" s="15" t="n"/>
      <c r="I70" s="15" t="n"/>
    </row>
    <row r="71">
      <c r="A71" s="15" t="n"/>
      <c r="B71" s="15" t="n"/>
      <c r="C71" s="15" t="n"/>
      <c r="D71" s="16" t="n"/>
      <c r="E71" s="16" t="n"/>
      <c r="F71" s="15" t="n"/>
      <c r="G71" s="15">
        <f>IF(D71="","",MAX(0,IF(E71&lt;&gt;"",E71-D71,IF(F71="Completed",0,TODAY()-D71))))</f>
        <v/>
      </c>
      <c r="H71" s="15" t="n"/>
      <c r="I71" s="15" t="n"/>
    </row>
    <row r="72">
      <c r="A72" s="15" t="n"/>
      <c r="B72" s="15" t="n"/>
      <c r="C72" s="15" t="n"/>
      <c r="D72" s="16" t="n"/>
      <c r="E72" s="16" t="n"/>
      <c r="F72" s="15" t="n"/>
      <c r="G72" s="15">
        <f>IF(D72="","",MAX(0,IF(E72&lt;&gt;"",E72-D72,IF(F72="Completed",0,TODAY()-D72))))</f>
        <v/>
      </c>
      <c r="H72" s="15" t="n"/>
      <c r="I72" s="15" t="n"/>
    </row>
    <row r="73">
      <c r="A73" s="15" t="n"/>
      <c r="B73" s="15" t="n"/>
      <c r="C73" s="15" t="n"/>
      <c r="D73" s="16" t="n"/>
      <c r="E73" s="16" t="n"/>
      <c r="F73" s="15" t="n"/>
      <c r="G73" s="15">
        <f>IF(D73="","",MAX(0,IF(E73&lt;&gt;"",E73-D73,IF(F73="Completed",0,TODAY()-D73))))</f>
        <v/>
      </c>
      <c r="H73" s="15" t="n"/>
      <c r="I73" s="15" t="n"/>
    </row>
    <row r="74">
      <c r="A74" s="15" t="n"/>
      <c r="B74" s="15" t="n"/>
      <c r="C74" s="15" t="n"/>
      <c r="D74" s="16" t="n"/>
      <c r="E74" s="16" t="n"/>
      <c r="F74" s="15" t="n"/>
      <c r="G74" s="15">
        <f>IF(D74="","",MAX(0,IF(E74&lt;&gt;"",E74-D74,IF(F74="Completed",0,TODAY()-D74))))</f>
        <v/>
      </c>
      <c r="H74" s="15" t="n"/>
      <c r="I74" s="15" t="n"/>
    </row>
    <row r="75">
      <c r="A75" s="15" t="n"/>
      <c r="B75" s="15" t="n"/>
      <c r="C75" s="15" t="n"/>
      <c r="D75" s="16" t="n"/>
      <c r="E75" s="16" t="n"/>
      <c r="F75" s="15" t="n"/>
      <c r="G75" s="15">
        <f>IF(D75="","",MAX(0,IF(E75&lt;&gt;"",E75-D75,IF(F75="Completed",0,TODAY()-D75))))</f>
        <v/>
      </c>
      <c r="H75" s="15" t="n"/>
      <c r="I75" s="15" t="n"/>
    </row>
    <row r="76">
      <c r="A76" s="15" t="n"/>
      <c r="B76" s="15" t="n"/>
      <c r="C76" s="15" t="n"/>
      <c r="D76" s="16" t="n"/>
      <c r="E76" s="16" t="n"/>
      <c r="F76" s="15" t="n"/>
      <c r="G76" s="15">
        <f>IF(D76="","",MAX(0,IF(E76&lt;&gt;"",E76-D76,IF(F76="Completed",0,TODAY()-D76))))</f>
        <v/>
      </c>
      <c r="H76" s="15" t="n"/>
      <c r="I76" s="15" t="n"/>
    </row>
    <row r="77">
      <c r="A77" s="15" t="n"/>
      <c r="B77" s="15" t="n"/>
      <c r="C77" s="15" t="n"/>
      <c r="D77" s="16" t="n"/>
      <c r="E77" s="16" t="n"/>
      <c r="F77" s="15" t="n"/>
      <c r="G77" s="15">
        <f>IF(D77="","",MAX(0,IF(E77&lt;&gt;"",E77-D77,IF(F77="Completed",0,TODAY()-D77))))</f>
        <v/>
      </c>
      <c r="H77" s="15" t="n"/>
      <c r="I77" s="15" t="n"/>
    </row>
    <row r="78">
      <c r="A78" s="15" t="n"/>
      <c r="B78" s="15" t="n"/>
      <c r="C78" s="15" t="n"/>
      <c r="D78" s="16" t="n"/>
      <c r="E78" s="16" t="n"/>
      <c r="F78" s="15" t="n"/>
      <c r="G78" s="15">
        <f>IF(D78="","",MAX(0,IF(E78&lt;&gt;"",E78-D78,IF(F78="Completed",0,TODAY()-D78))))</f>
        <v/>
      </c>
      <c r="H78" s="15" t="n"/>
      <c r="I78" s="15" t="n"/>
    </row>
    <row r="79">
      <c r="A79" s="15" t="n"/>
      <c r="B79" s="15" t="n"/>
      <c r="C79" s="15" t="n"/>
      <c r="D79" s="16" t="n"/>
      <c r="E79" s="16" t="n"/>
      <c r="F79" s="15" t="n"/>
      <c r="G79" s="15">
        <f>IF(D79="","",MAX(0,IF(E79&lt;&gt;"",E79-D79,IF(F79="Completed",0,TODAY()-D79))))</f>
        <v/>
      </c>
      <c r="H79" s="15" t="n"/>
      <c r="I79" s="15" t="n"/>
    </row>
    <row r="80">
      <c r="A80" s="15" t="n"/>
      <c r="B80" s="15" t="n"/>
      <c r="C80" s="15" t="n"/>
      <c r="D80" s="16" t="n"/>
      <c r="E80" s="16" t="n"/>
      <c r="F80" s="15" t="n"/>
      <c r="G80" s="15">
        <f>IF(D80="","",MAX(0,IF(E80&lt;&gt;"",E80-D80,IF(F80="Completed",0,TODAY()-D80))))</f>
        <v/>
      </c>
      <c r="H80" s="15" t="n"/>
      <c r="I80" s="15" t="n"/>
    </row>
    <row r="81">
      <c r="A81" s="15" t="n"/>
      <c r="B81" s="15" t="n"/>
      <c r="C81" s="15" t="n"/>
      <c r="D81" s="16" t="n"/>
      <c r="E81" s="16" t="n"/>
      <c r="F81" s="15" t="n"/>
      <c r="G81" s="15">
        <f>IF(D81="","",MAX(0,IF(E81&lt;&gt;"",E81-D81,IF(F81="Completed",0,TODAY()-D81))))</f>
        <v/>
      </c>
      <c r="H81" s="15" t="n"/>
      <c r="I81" s="15" t="n"/>
    </row>
    <row r="82">
      <c r="A82" s="15" t="n"/>
      <c r="B82" s="15" t="n"/>
      <c r="C82" s="15" t="n"/>
      <c r="D82" s="16" t="n"/>
      <c r="E82" s="16" t="n"/>
      <c r="F82" s="15" t="n"/>
      <c r="G82" s="15">
        <f>IF(D82="","",MAX(0,IF(E82&lt;&gt;"",E82-D82,IF(F82="Completed",0,TODAY()-D82))))</f>
        <v/>
      </c>
      <c r="H82" s="15" t="n"/>
      <c r="I82" s="15" t="n"/>
    </row>
    <row r="83">
      <c r="A83" s="15" t="n"/>
      <c r="B83" s="15" t="n"/>
      <c r="C83" s="15" t="n"/>
      <c r="D83" s="16" t="n"/>
      <c r="E83" s="16" t="n"/>
      <c r="F83" s="15" t="n"/>
      <c r="G83" s="15">
        <f>IF(D83="","",MAX(0,IF(E83&lt;&gt;"",E83-D83,IF(F83="Completed",0,TODAY()-D83))))</f>
        <v/>
      </c>
      <c r="H83" s="15" t="n"/>
      <c r="I83" s="15" t="n"/>
    </row>
    <row r="84">
      <c r="A84" s="15" t="n"/>
      <c r="B84" s="15" t="n"/>
      <c r="C84" s="15" t="n"/>
      <c r="D84" s="16" t="n"/>
      <c r="E84" s="16" t="n"/>
      <c r="F84" s="15" t="n"/>
      <c r="G84" s="15">
        <f>IF(D84="","",MAX(0,IF(E84&lt;&gt;"",E84-D84,IF(F84="Completed",0,TODAY()-D84))))</f>
        <v/>
      </c>
      <c r="H84" s="15" t="n"/>
      <c r="I84" s="15" t="n"/>
    </row>
    <row r="85">
      <c r="A85" s="15" t="n"/>
      <c r="B85" s="15" t="n"/>
      <c r="C85" s="15" t="n"/>
      <c r="D85" s="16" t="n"/>
      <c r="E85" s="16" t="n"/>
      <c r="F85" s="15" t="n"/>
      <c r="G85" s="15">
        <f>IF(D85="","",MAX(0,IF(E85&lt;&gt;"",E85-D85,IF(F85="Completed",0,TODAY()-D85))))</f>
        <v/>
      </c>
      <c r="H85" s="15" t="n"/>
      <c r="I85" s="15" t="n"/>
    </row>
    <row r="86">
      <c r="A86" s="15" t="n"/>
      <c r="B86" s="15" t="n"/>
      <c r="C86" s="15" t="n"/>
      <c r="D86" s="16" t="n"/>
      <c r="E86" s="16" t="n"/>
      <c r="F86" s="15" t="n"/>
      <c r="G86" s="15">
        <f>IF(D86="","",MAX(0,IF(E86&lt;&gt;"",E86-D86,IF(F86="Completed",0,TODAY()-D86))))</f>
        <v/>
      </c>
      <c r="H86" s="15" t="n"/>
      <c r="I86" s="15" t="n"/>
    </row>
    <row r="87">
      <c r="A87" s="15" t="n"/>
      <c r="B87" s="15" t="n"/>
      <c r="C87" s="15" t="n"/>
      <c r="D87" s="16" t="n"/>
      <c r="E87" s="16" t="n"/>
      <c r="F87" s="15" t="n"/>
      <c r="G87" s="15">
        <f>IF(D87="","",MAX(0,IF(E87&lt;&gt;"",E87-D87,IF(F87="Completed",0,TODAY()-D87))))</f>
        <v/>
      </c>
      <c r="H87" s="15" t="n"/>
      <c r="I87" s="15" t="n"/>
    </row>
    <row r="88">
      <c r="A88" s="15" t="n"/>
      <c r="B88" s="15" t="n"/>
      <c r="C88" s="15" t="n"/>
      <c r="D88" s="16" t="n"/>
      <c r="E88" s="16" t="n"/>
      <c r="F88" s="15" t="n"/>
      <c r="G88" s="15">
        <f>IF(D88="","",MAX(0,IF(E88&lt;&gt;"",E88-D88,IF(F88="Completed",0,TODAY()-D88))))</f>
        <v/>
      </c>
      <c r="H88" s="15" t="n"/>
      <c r="I88" s="15" t="n"/>
    </row>
    <row r="89">
      <c r="A89" s="15" t="n"/>
      <c r="B89" s="15" t="n"/>
      <c r="C89" s="15" t="n"/>
      <c r="D89" s="16" t="n"/>
      <c r="E89" s="16" t="n"/>
      <c r="F89" s="15" t="n"/>
      <c r="G89" s="15">
        <f>IF(D89="","",MAX(0,IF(E89&lt;&gt;"",E89-D89,IF(F89="Completed",0,TODAY()-D89))))</f>
        <v/>
      </c>
      <c r="H89" s="15" t="n"/>
      <c r="I89" s="15" t="n"/>
    </row>
    <row r="90">
      <c r="A90" s="15" t="n"/>
      <c r="B90" s="15" t="n"/>
      <c r="C90" s="15" t="n"/>
      <c r="D90" s="16" t="n"/>
      <c r="E90" s="16" t="n"/>
      <c r="F90" s="15" t="n"/>
      <c r="G90" s="15">
        <f>IF(D90="","",MAX(0,IF(E90&lt;&gt;"",E90-D90,IF(F90="Completed",0,TODAY()-D90))))</f>
        <v/>
      </c>
      <c r="H90" s="15" t="n"/>
      <c r="I90" s="15" t="n"/>
    </row>
    <row r="91">
      <c r="A91" s="15" t="n"/>
      <c r="B91" s="15" t="n"/>
      <c r="C91" s="15" t="n"/>
      <c r="D91" s="16" t="n"/>
      <c r="E91" s="16" t="n"/>
      <c r="F91" s="15" t="n"/>
      <c r="G91" s="15">
        <f>IF(D91="","",MAX(0,IF(E91&lt;&gt;"",E91-D91,IF(F91="Completed",0,TODAY()-D91))))</f>
        <v/>
      </c>
      <c r="H91" s="15" t="n"/>
      <c r="I91" s="15" t="n"/>
    </row>
    <row r="92">
      <c r="A92" s="15" t="n"/>
      <c r="B92" s="15" t="n"/>
      <c r="C92" s="15" t="n"/>
      <c r="D92" s="16" t="n"/>
      <c r="E92" s="16" t="n"/>
      <c r="F92" s="15" t="n"/>
      <c r="G92" s="15">
        <f>IF(D92="","",MAX(0,IF(E92&lt;&gt;"",E92-D92,IF(F92="Completed",0,TODAY()-D92))))</f>
        <v/>
      </c>
      <c r="H92" s="15" t="n"/>
      <c r="I92" s="15" t="n"/>
    </row>
    <row r="93">
      <c r="A93" s="15" t="n"/>
      <c r="B93" s="15" t="n"/>
      <c r="C93" s="15" t="n"/>
      <c r="D93" s="16" t="n"/>
      <c r="E93" s="16" t="n"/>
      <c r="F93" s="15" t="n"/>
      <c r="G93" s="15">
        <f>IF(D93="","",MAX(0,IF(E93&lt;&gt;"",E93-D93,IF(F93="Completed",0,TODAY()-D93))))</f>
        <v/>
      </c>
      <c r="H93" s="15" t="n"/>
      <c r="I93" s="15" t="n"/>
    </row>
    <row r="94">
      <c r="A94" s="15" t="n"/>
      <c r="B94" s="15" t="n"/>
      <c r="C94" s="15" t="n"/>
      <c r="D94" s="16" t="n"/>
      <c r="E94" s="16" t="n"/>
      <c r="F94" s="15" t="n"/>
      <c r="G94" s="15">
        <f>IF(D94="","",MAX(0,IF(E94&lt;&gt;"",E94-D94,IF(F94="Completed",0,TODAY()-D94))))</f>
        <v/>
      </c>
      <c r="H94" s="15" t="n"/>
      <c r="I94" s="15" t="n"/>
    </row>
    <row r="95">
      <c r="A95" s="15" t="n"/>
      <c r="B95" s="15" t="n"/>
      <c r="C95" s="15" t="n"/>
      <c r="D95" s="16" t="n"/>
      <c r="E95" s="16" t="n"/>
      <c r="F95" s="15" t="n"/>
      <c r="G95" s="15">
        <f>IF(D95="","",MAX(0,IF(E95&lt;&gt;"",E95-D95,IF(F95="Completed",0,TODAY()-D95))))</f>
        <v/>
      </c>
      <c r="H95" s="15" t="n"/>
      <c r="I95" s="15" t="n"/>
    </row>
    <row r="96">
      <c r="A96" s="15" t="n"/>
      <c r="B96" s="15" t="n"/>
      <c r="C96" s="15" t="n"/>
      <c r="D96" s="16" t="n"/>
      <c r="E96" s="16" t="n"/>
      <c r="F96" s="15" t="n"/>
      <c r="G96" s="15">
        <f>IF(D96="","",MAX(0,IF(E96&lt;&gt;"",E96-D96,IF(F96="Completed",0,TODAY()-D96))))</f>
        <v/>
      </c>
      <c r="H96" s="15" t="n"/>
      <c r="I96" s="15" t="n"/>
    </row>
    <row r="97">
      <c r="A97" s="15" t="n"/>
      <c r="B97" s="15" t="n"/>
      <c r="C97" s="15" t="n"/>
      <c r="D97" s="16" t="n"/>
      <c r="E97" s="16" t="n"/>
      <c r="F97" s="15" t="n"/>
      <c r="G97" s="15">
        <f>IF(D97="","",MAX(0,IF(E97&lt;&gt;"",E97-D97,IF(F97="Completed",0,TODAY()-D97))))</f>
        <v/>
      </c>
      <c r="H97" s="15" t="n"/>
      <c r="I97" s="15" t="n"/>
    </row>
    <row r="98">
      <c r="A98" s="15" t="n"/>
      <c r="B98" s="15" t="n"/>
      <c r="C98" s="15" t="n"/>
      <c r="D98" s="16" t="n"/>
      <c r="E98" s="16" t="n"/>
      <c r="F98" s="15" t="n"/>
      <c r="G98" s="15">
        <f>IF(D98="","",MAX(0,IF(E98&lt;&gt;"",E98-D98,IF(F98="Completed",0,TODAY()-D98))))</f>
        <v/>
      </c>
      <c r="H98" s="15" t="n"/>
      <c r="I98" s="15" t="n"/>
    </row>
    <row r="99">
      <c r="A99" s="15" t="n"/>
      <c r="B99" s="15" t="n"/>
      <c r="C99" s="15" t="n"/>
      <c r="D99" s="16" t="n"/>
      <c r="E99" s="16" t="n"/>
      <c r="F99" s="15" t="n"/>
      <c r="G99" s="15">
        <f>IF(D99="","",MAX(0,IF(E99&lt;&gt;"",E99-D99,IF(F99="Completed",0,TODAY()-D99))))</f>
        <v/>
      </c>
      <c r="H99" s="15" t="n"/>
      <c r="I99" s="15" t="n"/>
    </row>
    <row r="100">
      <c r="A100" s="15" t="n"/>
      <c r="B100" s="15" t="n"/>
      <c r="C100" s="15" t="n"/>
      <c r="D100" s="16" t="n"/>
      <c r="E100" s="16" t="n"/>
      <c r="F100" s="15" t="n"/>
      <c r="G100" s="15">
        <f>IF(D100="","",MAX(0,IF(E100&lt;&gt;"",E100-D100,IF(F100="Completed",0,TODAY()-D100))))</f>
        <v/>
      </c>
      <c r="H100" s="15" t="n"/>
      <c r="I100" s="15" t="n"/>
    </row>
    <row r="101">
      <c r="A101" s="15" t="n"/>
      <c r="B101" s="15" t="n"/>
      <c r="C101" s="15" t="n"/>
      <c r="D101" s="16" t="n"/>
      <c r="E101" s="16" t="n"/>
      <c r="F101" s="15" t="n"/>
      <c r="G101" s="15">
        <f>IF(D101="","",MAX(0,IF(E101&lt;&gt;"",E101-D101,IF(F101="Completed",0,TODAY()-D101))))</f>
        <v/>
      </c>
      <c r="H101" s="15" t="n"/>
      <c r="I101" s="15" t="n"/>
    </row>
    <row r="102">
      <c r="A102" s="15" t="n"/>
      <c r="B102" s="15" t="n"/>
      <c r="C102" s="15" t="n"/>
      <c r="D102" s="16" t="n"/>
      <c r="E102" s="16" t="n"/>
      <c r="F102" s="15" t="n"/>
      <c r="G102" s="15">
        <f>IF(D102="","",MAX(0,IF(E102&lt;&gt;"",E102-D102,IF(F102="Completed",0,TODAY()-D102))))</f>
        <v/>
      </c>
      <c r="H102" s="15" t="n"/>
      <c r="I102" s="15" t="n"/>
    </row>
    <row r="103">
      <c r="A103" s="15" t="n"/>
      <c r="B103" s="15" t="n"/>
      <c r="C103" s="15" t="n"/>
      <c r="D103" s="16" t="n"/>
      <c r="E103" s="16" t="n"/>
      <c r="F103" s="15" t="n"/>
      <c r="G103" s="15">
        <f>IF(D103="","",MAX(0,IF(E103&lt;&gt;"",E103-D103,IF(F103="Completed",0,TODAY()-D103))))</f>
        <v/>
      </c>
      <c r="H103" s="15" t="n"/>
      <c r="I103" s="15" t="n"/>
    </row>
    <row r="104">
      <c r="A104" s="15" t="n"/>
      <c r="B104" s="15" t="n"/>
      <c r="C104" s="15" t="n"/>
      <c r="D104" s="16" t="n"/>
      <c r="E104" s="16" t="n"/>
      <c r="F104" s="15" t="n"/>
      <c r="G104" s="15">
        <f>IF(D104="","",MAX(0,IF(E104&lt;&gt;"",E104-D104,IF(F104="Completed",0,TODAY()-D104))))</f>
        <v/>
      </c>
      <c r="H104" s="15" t="n"/>
      <c r="I104" s="15" t="n"/>
    </row>
    <row r="105">
      <c r="A105" s="15" t="n"/>
      <c r="B105" s="15" t="n"/>
      <c r="C105" s="15" t="n"/>
      <c r="D105" s="16" t="n"/>
      <c r="E105" s="16" t="n"/>
      <c r="F105" s="15" t="n"/>
      <c r="G105" s="15">
        <f>IF(D105="","",MAX(0,IF(E105&lt;&gt;"",E105-D105,IF(F105="Completed",0,TODAY()-D105))))</f>
        <v/>
      </c>
      <c r="H105" s="15" t="n"/>
      <c r="I105" s="15" t="n"/>
    </row>
    <row r="106">
      <c r="A106" s="15" t="n"/>
      <c r="B106" s="15" t="n"/>
      <c r="C106" s="15" t="n"/>
      <c r="D106" s="16" t="n"/>
      <c r="E106" s="16" t="n"/>
      <c r="F106" s="15" t="n"/>
      <c r="G106" s="15">
        <f>IF(D106="","",MAX(0,IF(E106&lt;&gt;"",E106-D106,IF(F106="Completed",0,TODAY()-D106))))</f>
        <v/>
      </c>
      <c r="H106" s="15" t="n"/>
      <c r="I106" s="15" t="n"/>
    </row>
    <row r="107">
      <c r="A107" s="15" t="n"/>
      <c r="B107" s="15" t="n"/>
      <c r="C107" s="15" t="n"/>
      <c r="D107" s="16" t="n"/>
      <c r="E107" s="16" t="n"/>
      <c r="F107" s="15" t="n"/>
      <c r="G107" s="15">
        <f>IF(D107="","",MAX(0,IF(E107&lt;&gt;"",E107-D107,IF(F107="Completed",0,TODAY()-D107))))</f>
        <v/>
      </c>
      <c r="H107" s="15" t="n"/>
      <c r="I107" s="15" t="n"/>
    </row>
    <row r="108">
      <c r="A108" s="15" t="n"/>
      <c r="B108" s="15" t="n"/>
      <c r="C108" s="15" t="n"/>
      <c r="D108" s="16" t="n"/>
      <c r="E108" s="16" t="n"/>
      <c r="F108" s="15" t="n"/>
      <c r="G108" s="15">
        <f>IF(D108="","",MAX(0,IF(E108&lt;&gt;"",E108-D108,IF(F108="Completed",0,TODAY()-D108))))</f>
        <v/>
      </c>
      <c r="H108" s="15" t="n"/>
      <c r="I108" s="15" t="n"/>
    </row>
    <row r="109">
      <c r="A109" s="15" t="n"/>
      <c r="B109" s="15" t="n"/>
      <c r="C109" s="15" t="n"/>
      <c r="D109" s="16" t="n"/>
      <c r="E109" s="16" t="n"/>
      <c r="F109" s="15" t="n"/>
      <c r="G109" s="15">
        <f>IF(D109="","",MAX(0,IF(E109&lt;&gt;"",E109-D109,IF(F109="Completed",0,TODAY()-D109))))</f>
        <v/>
      </c>
      <c r="H109" s="15" t="n"/>
      <c r="I109" s="15" t="n"/>
    </row>
    <row r="110">
      <c r="A110" s="15" t="n"/>
      <c r="B110" s="15" t="n"/>
      <c r="C110" s="15" t="n"/>
      <c r="D110" s="16" t="n"/>
      <c r="E110" s="16" t="n"/>
      <c r="F110" s="15" t="n"/>
      <c r="G110" s="15">
        <f>IF(D110="","",MAX(0,IF(E110&lt;&gt;"",E110-D110,IF(F110="Completed",0,TODAY()-D110))))</f>
        <v/>
      </c>
      <c r="H110" s="15" t="n"/>
      <c r="I110" s="15" t="n"/>
    </row>
    <row r="111">
      <c r="A111" s="15" t="n"/>
      <c r="B111" s="15" t="n"/>
      <c r="C111" s="15" t="n"/>
      <c r="D111" s="16" t="n"/>
      <c r="E111" s="16" t="n"/>
      <c r="F111" s="15" t="n"/>
      <c r="G111" s="15">
        <f>IF(D111="","",MAX(0,IF(E111&lt;&gt;"",E111-D111,IF(F111="Completed",0,TODAY()-D111))))</f>
        <v/>
      </c>
      <c r="H111" s="15" t="n"/>
      <c r="I111" s="15" t="n"/>
    </row>
    <row r="112">
      <c r="A112" s="15" t="n"/>
      <c r="B112" s="15" t="n"/>
      <c r="C112" s="15" t="n"/>
      <c r="D112" s="16" t="n"/>
      <c r="E112" s="16" t="n"/>
      <c r="F112" s="15" t="n"/>
      <c r="G112" s="15">
        <f>IF(D112="","",MAX(0,IF(E112&lt;&gt;"",E112-D112,IF(F112="Completed",0,TODAY()-D112))))</f>
        <v/>
      </c>
      <c r="H112" s="15" t="n"/>
      <c r="I112" s="15" t="n"/>
    </row>
    <row r="113">
      <c r="A113" s="15" t="n"/>
      <c r="B113" s="15" t="n"/>
      <c r="C113" s="15" t="n"/>
      <c r="D113" s="16" t="n"/>
      <c r="E113" s="16" t="n"/>
      <c r="F113" s="15" t="n"/>
      <c r="G113" s="15">
        <f>IF(D113="","",MAX(0,IF(E113&lt;&gt;"",E113-D113,IF(F113="Completed",0,TODAY()-D113))))</f>
        <v/>
      </c>
      <c r="H113" s="15" t="n"/>
      <c r="I113" s="15" t="n"/>
    </row>
    <row r="114">
      <c r="A114" s="15" t="n"/>
      <c r="B114" s="15" t="n"/>
      <c r="C114" s="15" t="n"/>
      <c r="D114" s="16" t="n"/>
      <c r="E114" s="16" t="n"/>
      <c r="F114" s="15" t="n"/>
      <c r="G114" s="15">
        <f>IF(D114="","",MAX(0,IF(E114&lt;&gt;"",E114-D114,IF(F114="Completed",0,TODAY()-D114))))</f>
        <v/>
      </c>
      <c r="H114" s="15" t="n"/>
      <c r="I114" s="15" t="n"/>
    </row>
    <row r="115">
      <c r="A115" s="15" t="n"/>
      <c r="B115" s="15" t="n"/>
      <c r="C115" s="15" t="n"/>
      <c r="D115" s="16" t="n"/>
      <c r="E115" s="16" t="n"/>
      <c r="F115" s="15" t="n"/>
      <c r="G115" s="15">
        <f>IF(D115="","",MAX(0,IF(E115&lt;&gt;"",E115-D115,IF(F115="Completed",0,TODAY()-D115))))</f>
        <v/>
      </c>
      <c r="H115" s="15" t="n"/>
      <c r="I115" s="15" t="n"/>
    </row>
    <row r="116">
      <c r="A116" s="15" t="n"/>
      <c r="B116" s="15" t="n"/>
      <c r="C116" s="15" t="n"/>
      <c r="D116" s="16" t="n"/>
      <c r="E116" s="16" t="n"/>
      <c r="F116" s="15" t="n"/>
      <c r="G116" s="15">
        <f>IF(D116="","",MAX(0,IF(E116&lt;&gt;"",E116-D116,IF(F116="Completed",0,TODAY()-D116))))</f>
        <v/>
      </c>
      <c r="H116" s="15" t="n"/>
      <c r="I116" s="15" t="n"/>
    </row>
    <row r="117">
      <c r="A117" s="15" t="n"/>
      <c r="B117" s="15" t="n"/>
      <c r="C117" s="15" t="n"/>
      <c r="D117" s="16" t="n"/>
      <c r="E117" s="16" t="n"/>
      <c r="F117" s="15" t="n"/>
      <c r="G117" s="15">
        <f>IF(D117="","",MAX(0,IF(E117&lt;&gt;"",E117-D117,IF(F117="Completed",0,TODAY()-D117))))</f>
        <v/>
      </c>
      <c r="H117" s="15" t="n"/>
      <c r="I117" s="15" t="n"/>
    </row>
    <row r="118">
      <c r="A118" s="15" t="n"/>
      <c r="B118" s="15" t="n"/>
      <c r="C118" s="15" t="n"/>
      <c r="D118" s="16" t="n"/>
      <c r="E118" s="16" t="n"/>
      <c r="F118" s="15" t="n"/>
      <c r="G118" s="15">
        <f>IF(D118="","",MAX(0,IF(E118&lt;&gt;"",E118-D118,IF(F118="Completed",0,TODAY()-D118))))</f>
        <v/>
      </c>
      <c r="H118" s="15" t="n"/>
      <c r="I118" s="15" t="n"/>
    </row>
    <row r="119">
      <c r="A119" s="15" t="n"/>
      <c r="B119" s="15" t="n"/>
      <c r="C119" s="15" t="n"/>
      <c r="D119" s="16" t="n"/>
      <c r="E119" s="16" t="n"/>
      <c r="F119" s="15" t="n"/>
      <c r="G119" s="15">
        <f>IF(D119="","",MAX(0,IF(E119&lt;&gt;"",E119-D119,IF(F119="Completed",0,TODAY()-D119))))</f>
        <v/>
      </c>
      <c r="H119" s="15" t="n"/>
      <c r="I119" s="15" t="n"/>
    </row>
    <row r="120">
      <c r="A120" s="15" t="n"/>
      <c r="B120" s="15" t="n"/>
      <c r="C120" s="15" t="n"/>
      <c r="D120" s="16" t="n"/>
      <c r="E120" s="16" t="n"/>
      <c r="F120" s="15" t="n"/>
      <c r="G120" s="15">
        <f>IF(D120="","",MAX(0,IF(E120&lt;&gt;"",E120-D120,IF(F120="Completed",0,TODAY()-D120))))</f>
        <v/>
      </c>
      <c r="H120" s="15" t="n"/>
      <c r="I120" s="15" t="n"/>
    </row>
    <row r="121">
      <c r="A121" s="15" t="n"/>
      <c r="B121" s="15" t="n"/>
      <c r="C121" s="15" t="n"/>
      <c r="D121" s="16" t="n"/>
      <c r="E121" s="16" t="n"/>
      <c r="F121" s="15" t="n"/>
      <c r="G121" s="15">
        <f>IF(D121="","",MAX(0,IF(E121&lt;&gt;"",E121-D121,IF(F121="Completed",0,TODAY()-D121))))</f>
        <v/>
      </c>
      <c r="H121" s="15" t="n"/>
      <c r="I121" s="15" t="n"/>
    </row>
    <row r="122">
      <c r="A122" s="15" t="n"/>
      <c r="B122" s="15" t="n"/>
      <c r="C122" s="15" t="n"/>
      <c r="D122" s="16" t="n"/>
      <c r="E122" s="16" t="n"/>
      <c r="F122" s="15" t="n"/>
      <c r="G122" s="15">
        <f>IF(D122="","",MAX(0,IF(E122&lt;&gt;"",E122-D122,IF(F122="Completed",0,TODAY()-D122))))</f>
        <v/>
      </c>
      <c r="H122" s="15" t="n"/>
      <c r="I122" s="15" t="n"/>
    </row>
    <row r="123">
      <c r="A123" s="15" t="n"/>
      <c r="B123" s="15" t="n"/>
      <c r="C123" s="15" t="n"/>
      <c r="D123" s="16" t="n"/>
      <c r="E123" s="16" t="n"/>
      <c r="F123" s="15" t="n"/>
      <c r="G123" s="15">
        <f>IF(D123="","",MAX(0,IF(E123&lt;&gt;"",E123-D123,IF(F123="Completed",0,TODAY()-D123))))</f>
        <v/>
      </c>
      <c r="H123" s="15" t="n"/>
      <c r="I123" s="15" t="n"/>
    </row>
    <row r="124">
      <c r="A124" s="15" t="n"/>
      <c r="B124" s="15" t="n"/>
      <c r="C124" s="15" t="n"/>
      <c r="D124" s="16" t="n"/>
      <c r="E124" s="16" t="n"/>
      <c r="F124" s="15" t="n"/>
      <c r="G124" s="15">
        <f>IF(D124="","",MAX(0,IF(E124&lt;&gt;"",E124-D124,IF(F124="Completed",0,TODAY()-D124))))</f>
        <v/>
      </c>
      <c r="H124" s="15" t="n"/>
      <c r="I124" s="15" t="n"/>
    </row>
    <row r="125">
      <c r="A125" s="15" t="n"/>
      <c r="B125" s="15" t="n"/>
      <c r="C125" s="15" t="n"/>
      <c r="D125" s="16" t="n"/>
      <c r="E125" s="16" t="n"/>
      <c r="F125" s="15" t="n"/>
      <c r="G125" s="15">
        <f>IF(D125="","",MAX(0,IF(E125&lt;&gt;"",E125-D125,IF(F125="Completed",0,TODAY()-D125))))</f>
        <v/>
      </c>
      <c r="H125" s="15" t="n"/>
      <c r="I125" s="15" t="n"/>
    </row>
    <row r="126">
      <c r="A126" s="15" t="n"/>
      <c r="B126" s="15" t="n"/>
      <c r="C126" s="15" t="n"/>
      <c r="D126" s="16" t="n"/>
      <c r="E126" s="16" t="n"/>
      <c r="F126" s="15" t="n"/>
      <c r="G126" s="15">
        <f>IF(D126="","",MAX(0,IF(E126&lt;&gt;"",E126-D126,IF(F126="Completed",0,TODAY()-D126))))</f>
        <v/>
      </c>
      <c r="H126" s="15" t="n"/>
      <c r="I126" s="15" t="n"/>
    </row>
    <row r="127">
      <c r="A127" s="15" t="n"/>
      <c r="B127" s="15" t="n"/>
      <c r="C127" s="15" t="n"/>
      <c r="D127" s="16" t="n"/>
      <c r="E127" s="16" t="n"/>
      <c r="F127" s="15" t="n"/>
      <c r="G127" s="15">
        <f>IF(D127="","",MAX(0,IF(E127&lt;&gt;"",E127-D127,IF(F127="Completed",0,TODAY()-D127))))</f>
        <v/>
      </c>
      <c r="H127" s="15" t="n"/>
      <c r="I127" s="15" t="n"/>
    </row>
    <row r="128">
      <c r="A128" s="15" t="n"/>
      <c r="B128" s="15" t="n"/>
      <c r="C128" s="15" t="n"/>
      <c r="D128" s="16" t="n"/>
      <c r="E128" s="16" t="n"/>
      <c r="F128" s="15" t="n"/>
      <c r="G128" s="15">
        <f>IF(D128="","",MAX(0,IF(E128&lt;&gt;"",E128-D128,IF(F128="Completed",0,TODAY()-D128))))</f>
        <v/>
      </c>
      <c r="H128" s="15" t="n"/>
      <c r="I128" s="15" t="n"/>
    </row>
    <row r="129">
      <c r="A129" s="15" t="n"/>
      <c r="B129" s="15" t="n"/>
      <c r="C129" s="15" t="n"/>
      <c r="D129" s="16" t="n"/>
      <c r="E129" s="16" t="n"/>
      <c r="F129" s="15" t="n"/>
      <c r="G129" s="15">
        <f>IF(D129="","",MAX(0,IF(E129&lt;&gt;"",E129-D129,IF(F129="Completed",0,TODAY()-D129))))</f>
        <v/>
      </c>
      <c r="H129" s="15" t="n"/>
      <c r="I129" s="15" t="n"/>
    </row>
    <row r="130">
      <c r="A130" s="15" t="n"/>
      <c r="B130" s="15" t="n"/>
      <c r="C130" s="15" t="n"/>
      <c r="D130" s="16" t="n"/>
      <c r="E130" s="16" t="n"/>
      <c r="F130" s="15" t="n"/>
      <c r="G130" s="15">
        <f>IF(D130="","",MAX(0,IF(E130&lt;&gt;"",E130-D130,IF(F130="Completed",0,TODAY()-D130))))</f>
        <v/>
      </c>
      <c r="H130" s="15" t="n"/>
      <c r="I130" s="15" t="n"/>
    </row>
    <row r="131">
      <c r="A131" s="15" t="n"/>
      <c r="B131" s="15" t="n"/>
      <c r="C131" s="15" t="n"/>
      <c r="D131" s="16" t="n"/>
      <c r="E131" s="16" t="n"/>
      <c r="F131" s="15" t="n"/>
      <c r="G131" s="15">
        <f>IF(D131="","",MAX(0,IF(E131&lt;&gt;"",E131-D131,IF(F131="Completed",0,TODAY()-D131))))</f>
        <v/>
      </c>
      <c r="H131" s="15" t="n"/>
      <c r="I131" s="15" t="n"/>
    </row>
    <row r="132">
      <c r="A132" s="15" t="n"/>
      <c r="B132" s="15" t="n"/>
      <c r="C132" s="15" t="n"/>
      <c r="D132" s="16" t="n"/>
      <c r="E132" s="16" t="n"/>
      <c r="F132" s="15" t="n"/>
      <c r="G132" s="15">
        <f>IF(D132="","",MAX(0,IF(E132&lt;&gt;"",E132-D132,IF(F132="Completed",0,TODAY()-D132))))</f>
        <v/>
      </c>
      <c r="H132" s="15" t="n"/>
      <c r="I132" s="15" t="n"/>
    </row>
    <row r="133">
      <c r="A133" s="15" t="n"/>
      <c r="B133" s="15" t="n"/>
      <c r="C133" s="15" t="n"/>
      <c r="D133" s="16" t="n"/>
      <c r="E133" s="16" t="n"/>
      <c r="F133" s="15" t="n"/>
      <c r="G133" s="15">
        <f>IF(D133="","",MAX(0,IF(E133&lt;&gt;"",E133-D133,IF(F133="Completed",0,TODAY()-D133))))</f>
        <v/>
      </c>
      <c r="H133" s="15" t="n"/>
      <c r="I133" s="15" t="n"/>
    </row>
    <row r="134">
      <c r="A134" s="15" t="n"/>
      <c r="B134" s="15" t="n"/>
      <c r="C134" s="15" t="n"/>
      <c r="D134" s="16" t="n"/>
      <c r="E134" s="16" t="n"/>
      <c r="F134" s="15" t="n"/>
      <c r="G134" s="15">
        <f>IF(D134="","",MAX(0,IF(E134&lt;&gt;"",E134-D134,IF(F134="Completed",0,TODAY()-D134))))</f>
        <v/>
      </c>
      <c r="H134" s="15" t="n"/>
      <c r="I134" s="15" t="n"/>
    </row>
    <row r="135">
      <c r="A135" s="15" t="n"/>
      <c r="B135" s="15" t="n"/>
      <c r="C135" s="15" t="n"/>
      <c r="D135" s="16" t="n"/>
      <c r="E135" s="16" t="n"/>
      <c r="F135" s="15" t="n"/>
      <c r="G135" s="15">
        <f>IF(D135="","",MAX(0,IF(E135&lt;&gt;"",E135-D135,IF(F135="Completed",0,TODAY()-D135))))</f>
        <v/>
      </c>
      <c r="H135" s="15" t="n"/>
      <c r="I135" s="15" t="n"/>
    </row>
    <row r="136">
      <c r="A136" s="15" t="n"/>
      <c r="B136" s="15" t="n"/>
      <c r="C136" s="15" t="n"/>
      <c r="D136" s="16" t="n"/>
      <c r="E136" s="16" t="n"/>
      <c r="F136" s="15" t="n"/>
      <c r="G136" s="15">
        <f>IF(D136="","",MAX(0,IF(E136&lt;&gt;"",E136-D136,IF(F136="Completed",0,TODAY()-D136))))</f>
        <v/>
      </c>
      <c r="H136" s="15" t="n"/>
      <c r="I136" s="15" t="n"/>
    </row>
    <row r="137">
      <c r="A137" s="15" t="n"/>
      <c r="B137" s="15" t="n"/>
      <c r="C137" s="15" t="n"/>
      <c r="D137" s="16" t="n"/>
      <c r="E137" s="16" t="n"/>
      <c r="F137" s="15" t="n"/>
      <c r="G137" s="15">
        <f>IF(D137="","",MAX(0,IF(E137&lt;&gt;"",E137-D137,IF(F137="Completed",0,TODAY()-D137))))</f>
        <v/>
      </c>
      <c r="H137" s="15" t="n"/>
      <c r="I137" s="15" t="n"/>
    </row>
    <row r="138">
      <c r="A138" s="15" t="n"/>
      <c r="B138" s="15" t="n"/>
      <c r="C138" s="15" t="n"/>
      <c r="D138" s="16" t="n"/>
      <c r="E138" s="16" t="n"/>
      <c r="F138" s="15" t="n"/>
      <c r="G138" s="15">
        <f>IF(D138="","",MAX(0,IF(E138&lt;&gt;"",E138-D138,IF(F138="Completed",0,TODAY()-D138))))</f>
        <v/>
      </c>
      <c r="H138" s="15" t="n"/>
      <c r="I138" s="15" t="n"/>
    </row>
    <row r="139">
      <c r="A139" s="15" t="n"/>
      <c r="B139" s="15" t="n"/>
      <c r="C139" s="15" t="n"/>
      <c r="D139" s="16" t="n"/>
      <c r="E139" s="16" t="n"/>
      <c r="F139" s="15" t="n"/>
      <c r="G139" s="15">
        <f>IF(D139="","",MAX(0,IF(E139&lt;&gt;"",E139-D139,IF(F139="Completed",0,TODAY()-D139))))</f>
        <v/>
      </c>
      <c r="H139" s="15" t="n"/>
      <c r="I139" s="15" t="n"/>
    </row>
    <row r="140">
      <c r="A140" s="15" t="n"/>
      <c r="B140" s="15" t="n"/>
      <c r="C140" s="15" t="n"/>
      <c r="D140" s="16" t="n"/>
      <c r="E140" s="16" t="n"/>
      <c r="F140" s="15" t="n"/>
      <c r="G140" s="15">
        <f>IF(D140="","",MAX(0,IF(E140&lt;&gt;"",E140-D140,IF(F140="Completed",0,TODAY()-D140))))</f>
        <v/>
      </c>
      <c r="H140" s="15" t="n"/>
      <c r="I140" s="15" t="n"/>
    </row>
    <row r="141">
      <c r="A141" s="15" t="n"/>
      <c r="B141" s="15" t="n"/>
      <c r="C141" s="15" t="n"/>
      <c r="D141" s="16" t="n"/>
      <c r="E141" s="16" t="n"/>
      <c r="F141" s="15" t="n"/>
      <c r="G141" s="15">
        <f>IF(D141="","",MAX(0,IF(E141&lt;&gt;"",E141-D141,IF(F141="Completed",0,TODAY()-D141))))</f>
        <v/>
      </c>
      <c r="H141" s="15" t="n"/>
      <c r="I141" s="15" t="n"/>
    </row>
    <row r="142">
      <c r="A142" s="15" t="n"/>
      <c r="B142" s="15" t="n"/>
      <c r="C142" s="15" t="n"/>
      <c r="D142" s="16" t="n"/>
      <c r="E142" s="16" t="n"/>
      <c r="F142" s="15" t="n"/>
      <c r="G142" s="15">
        <f>IF(D142="","",MAX(0,IF(E142&lt;&gt;"",E142-D142,IF(F142="Completed",0,TODAY()-D142))))</f>
        <v/>
      </c>
      <c r="H142" s="15" t="n"/>
      <c r="I142" s="15" t="n"/>
    </row>
    <row r="143">
      <c r="A143" s="15" t="n"/>
      <c r="B143" s="15" t="n"/>
      <c r="C143" s="15" t="n"/>
      <c r="D143" s="16" t="n"/>
      <c r="E143" s="16" t="n"/>
      <c r="F143" s="15" t="n"/>
      <c r="G143" s="15">
        <f>IF(D143="","",MAX(0,IF(E143&lt;&gt;"",E143-D143,IF(F143="Completed",0,TODAY()-D143))))</f>
        <v/>
      </c>
      <c r="H143" s="15" t="n"/>
      <c r="I143" s="15" t="n"/>
    </row>
    <row r="144">
      <c r="A144" s="15" t="n"/>
      <c r="B144" s="15" t="n"/>
      <c r="C144" s="15" t="n"/>
      <c r="D144" s="16" t="n"/>
      <c r="E144" s="16" t="n"/>
      <c r="F144" s="15" t="n"/>
      <c r="G144" s="15">
        <f>IF(D144="","",MAX(0,IF(E144&lt;&gt;"",E144-D144,IF(F144="Completed",0,TODAY()-D144))))</f>
        <v/>
      </c>
      <c r="H144" s="15" t="n"/>
      <c r="I144" s="15" t="n"/>
    </row>
    <row r="145">
      <c r="A145" s="15" t="n"/>
      <c r="B145" s="15" t="n"/>
      <c r="C145" s="15" t="n"/>
      <c r="D145" s="16" t="n"/>
      <c r="E145" s="16" t="n"/>
      <c r="F145" s="15" t="n"/>
      <c r="G145" s="15">
        <f>IF(D145="","",MAX(0,IF(E145&lt;&gt;"",E145-D145,IF(F145="Completed",0,TODAY()-D145))))</f>
        <v/>
      </c>
      <c r="H145" s="15" t="n"/>
      <c r="I145" s="15" t="n"/>
    </row>
    <row r="146">
      <c r="A146" s="15" t="n"/>
      <c r="B146" s="15" t="n"/>
      <c r="C146" s="15" t="n"/>
      <c r="D146" s="16" t="n"/>
      <c r="E146" s="16" t="n"/>
      <c r="F146" s="15" t="n"/>
      <c r="G146" s="15">
        <f>IF(D146="","",MAX(0,IF(E146&lt;&gt;"",E146-D146,IF(F146="Completed",0,TODAY()-D146))))</f>
        <v/>
      </c>
      <c r="H146" s="15" t="n"/>
      <c r="I146" s="15" t="n"/>
    </row>
    <row r="147">
      <c r="A147" s="15" t="n"/>
      <c r="B147" s="15" t="n"/>
      <c r="C147" s="15" t="n"/>
      <c r="D147" s="16" t="n"/>
      <c r="E147" s="16" t="n"/>
      <c r="F147" s="15" t="n"/>
      <c r="G147" s="15">
        <f>IF(D147="","",MAX(0,IF(E147&lt;&gt;"",E147-D147,IF(F147="Completed",0,TODAY()-D147))))</f>
        <v/>
      </c>
      <c r="H147" s="15" t="n"/>
      <c r="I147" s="15" t="n"/>
    </row>
    <row r="148">
      <c r="A148" s="15" t="n"/>
      <c r="B148" s="15" t="n"/>
      <c r="C148" s="15" t="n"/>
      <c r="D148" s="16" t="n"/>
      <c r="E148" s="16" t="n"/>
      <c r="F148" s="15" t="n"/>
      <c r="G148" s="15">
        <f>IF(D148="","",MAX(0,IF(E148&lt;&gt;"",E148-D148,IF(F148="Completed",0,TODAY()-D148))))</f>
        <v/>
      </c>
      <c r="H148" s="15" t="n"/>
      <c r="I148" s="15" t="n"/>
    </row>
    <row r="149">
      <c r="A149" s="15" t="n"/>
      <c r="B149" s="15" t="n"/>
      <c r="C149" s="15" t="n"/>
      <c r="D149" s="16" t="n"/>
      <c r="E149" s="16" t="n"/>
      <c r="F149" s="15" t="n"/>
      <c r="G149" s="15">
        <f>IF(D149="","",MAX(0,IF(E149&lt;&gt;"",E149-D149,IF(F149="Completed",0,TODAY()-D149))))</f>
        <v/>
      </c>
      <c r="H149" s="15" t="n"/>
      <c r="I149" s="15" t="n"/>
    </row>
    <row r="150">
      <c r="A150" s="15" t="n"/>
      <c r="B150" s="15" t="n"/>
      <c r="C150" s="15" t="n"/>
      <c r="D150" s="16" t="n"/>
      <c r="E150" s="16" t="n"/>
      <c r="F150" s="15" t="n"/>
      <c r="G150" s="15">
        <f>IF(D150="","",MAX(0,IF(E150&lt;&gt;"",E150-D150,IF(F150="Completed",0,TODAY()-D150))))</f>
        <v/>
      </c>
      <c r="H150" s="15" t="n"/>
      <c r="I150" s="15" t="n"/>
    </row>
    <row r="151">
      <c r="A151" s="15" t="n"/>
      <c r="B151" s="15" t="n"/>
      <c r="C151" s="15" t="n"/>
      <c r="D151" s="16" t="n"/>
      <c r="E151" s="16" t="n"/>
      <c r="F151" s="15" t="n"/>
      <c r="G151" s="15">
        <f>IF(D151="","",MAX(0,IF(E151&lt;&gt;"",E151-D151,IF(F151="Completed",0,TODAY()-D151))))</f>
        <v/>
      </c>
      <c r="H151" s="15" t="n"/>
      <c r="I151" s="15" t="n"/>
    </row>
    <row r="152">
      <c r="A152" s="15" t="n"/>
      <c r="B152" s="15" t="n"/>
      <c r="C152" s="15" t="n"/>
      <c r="D152" s="16" t="n"/>
      <c r="E152" s="16" t="n"/>
      <c r="F152" s="15" t="n"/>
      <c r="G152" s="15">
        <f>IF(D152="","",MAX(0,IF(E152&lt;&gt;"",E152-D152,IF(F152="Completed",0,TODAY()-D152))))</f>
        <v/>
      </c>
      <c r="H152" s="15" t="n"/>
      <c r="I152" s="15" t="n"/>
    </row>
    <row r="153">
      <c r="A153" s="15" t="n"/>
      <c r="B153" s="15" t="n"/>
      <c r="C153" s="15" t="n"/>
      <c r="D153" s="16" t="n"/>
      <c r="E153" s="16" t="n"/>
      <c r="F153" s="15" t="n"/>
      <c r="G153" s="15">
        <f>IF(D153="","",MAX(0,IF(E153&lt;&gt;"",E153-D153,IF(F153="Completed",0,TODAY()-D153))))</f>
        <v/>
      </c>
      <c r="H153" s="15" t="n"/>
      <c r="I153" s="15" t="n"/>
    </row>
    <row r="154">
      <c r="A154" s="15" t="n"/>
      <c r="B154" s="15" t="n"/>
      <c r="C154" s="15" t="n"/>
      <c r="D154" s="16" t="n"/>
      <c r="E154" s="16" t="n"/>
      <c r="F154" s="15" t="n"/>
      <c r="G154" s="15">
        <f>IF(D154="","",MAX(0,IF(E154&lt;&gt;"",E154-D154,IF(F154="Completed",0,TODAY()-D154))))</f>
        <v/>
      </c>
      <c r="H154" s="15" t="n"/>
      <c r="I154" s="15" t="n"/>
    </row>
    <row r="155">
      <c r="A155" s="15" t="n"/>
      <c r="B155" s="15" t="n"/>
      <c r="C155" s="15" t="n"/>
      <c r="D155" s="16" t="n"/>
      <c r="E155" s="16" t="n"/>
      <c r="F155" s="15" t="n"/>
      <c r="G155" s="15">
        <f>IF(D155="","",MAX(0,IF(E155&lt;&gt;"",E155-D155,IF(F155="Completed",0,TODAY()-D155))))</f>
        <v/>
      </c>
      <c r="H155" s="15" t="n"/>
      <c r="I155" s="15" t="n"/>
    </row>
    <row r="156">
      <c r="A156" s="15" t="n"/>
      <c r="B156" s="15" t="n"/>
      <c r="C156" s="15" t="n"/>
      <c r="D156" s="16" t="n"/>
      <c r="E156" s="16" t="n"/>
      <c r="F156" s="15" t="n"/>
      <c r="G156" s="15">
        <f>IF(D156="","",MAX(0,IF(E156&lt;&gt;"",E156-D156,IF(F156="Completed",0,TODAY()-D156))))</f>
        <v/>
      </c>
      <c r="H156" s="15" t="n"/>
      <c r="I156" s="15" t="n"/>
    </row>
    <row r="157">
      <c r="A157" s="15" t="n"/>
      <c r="B157" s="15" t="n"/>
      <c r="C157" s="15" t="n"/>
      <c r="D157" s="16" t="n"/>
      <c r="E157" s="16" t="n"/>
      <c r="F157" s="15" t="n"/>
      <c r="G157" s="15">
        <f>IF(D157="","",MAX(0,IF(E157&lt;&gt;"",E157-D157,IF(F157="Completed",0,TODAY()-D157))))</f>
        <v/>
      </c>
      <c r="H157" s="15" t="n"/>
      <c r="I157" s="15" t="n"/>
    </row>
    <row r="158">
      <c r="A158" s="15" t="n"/>
      <c r="B158" s="15" t="n"/>
      <c r="C158" s="15" t="n"/>
      <c r="D158" s="16" t="n"/>
      <c r="E158" s="16" t="n"/>
      <c r="F158" s="15" t="n"/>
      <c r="G158" s="15">
        <f>IF(D158="","",MAX(0,IF(E158&lt;&gt;"",E158-D158,IF(F158="Completed",0,TODAY()-D158))))</f>
        <v/>
      </c>
      <c r="H158" s="15" t="n"/>
      <c r="I158" s="15" t="n"/>
    </row>
    <row r="159">
      <c r="A159" s="15" t="n"/>
      <c r="B159" s="15" t="n"/>
      <c r="C159" s="15" t="n"/>
      <c r="D159" s="16" t="n"/>
      <c r="E159" s="16" t="n"/>
      <c r="F159" s="15" t="n"/>
      <c r="G159" s="15">
        <f>IF(D159="","",MAX(0,IF(E159&lt;&gt;"",E159-D159,IF(F159="Completed",0,TODAY()-D159))))</f>
        <v/>
      </c>
      <c r="H159" s="15" t="n"/>
      <c r="I159" s="15" t="n"/>
    </row>
    <row r="160">
      <c r="A160" s="15" t="n"/>
      <c r="B160" s="15" t="n"/>
      <c r="C160" s="15" t="n"/>
      <c r="D160" s="16" t="n"/>
      <c r="E160" s="16" t="n"/>
      <c r="F160" s="15" t="n"/>
      <c r="G160" s="15">
        <f>IF(D160="","",MAX(0,IF(E160&lt;&gt;"",E160-D160,IF(F160="Completed",0,TODAY()-D160))))</f>
        <v/>
      </c>
      <c r="H160" s="15" t="n"/>
      <c r="I160" s="15" t="n"/>
    </row>
    <row r="161">
      <c r="A161" s="15" t="n"/>
      <c r="B161" s="15" t="n"/>
      <c r="C161" s="15" t="n"/>
      <c r="D161" s="16" t="n"/>
      <c r="E161" s="16" t="n"/>
      <c r="F161" s="15" t="n"/>
      <c r="G161" s="15">
        <f>IF(D161="","",MAX(0,IF(E161&lt;&gt;"",E161-D161,IF(F161="Completed",0,TODAY()-D161))))</f>
        <v/>
      </c>
      <c r="H161" s="15" t="n"/>
      <c r="I161" s="15" t="n"/>
    </row>
    <row r="162">
      <c r="A162" s="15" t="n"/>
      <c r="B162" s="15" t="n"/>
      <c r="C162" s="15" t="n"/>
      <c r="D162" s="16" t="n"/>
      <c r="E162" s="16" t="n"/>
      <c r="F162" s="15" t="n"/>
      <c r="G162" s="15">
        <f>IF(D162="","",MAX(0,IF(E162&lt;&gt;"",E162-D162,IF(F162="Completed",0,TODAY()-D162))))</f>
        <v/>
      </c>
      <c r="H162" s="15" t="n"/>
      <c r="I162" s="15" t="n"/>
    </row>
    <row r="163">
      <c r="A163" s="15" t="n"/>
      <c r="B163" s="15" t="n"/>
      <c r="C163" s="15" t="n"/>
      <c r="D163" s="16" t="n"/>
      <c r="E163" s="16" t="n"/>
      <c r="F163" s="15" t="n"/>
      <c r="G163" s="15">
        <f>IF(D163="","",MAX(0,IF(E163&lt;&gt;"",E163-D163,IF(F163="Completed",0,TODAY()-D163))))</f>
        <v/>
      </c>
      <c r="H163" s="15" t="n"/>
      <c r="I163" s="15" t="n"/>
    </row>
    <row r="164">
      <c r="A164" s="15" t="n"/>
      <c r="B164" s="15" t="n"/>
      <c r="C164" s="15" t="n"/>
      <c r="D164" s="16" t="n"/>
      <c r="E164" s="16" t="n"/>
      <c r="F164" s="15" t="n"/>
      <c r="G164" s="15">
        <f>IF(D164="","",MAX(0,IF(E164&lt;&gt;"",E164-D164,IF(F164="Completed",0,TODAY()-D164))))</f>
        <v/>
      </c>
      <c r="H164" s="15" t="n"/>
      <c r="I164" s="15" t="n"/>
    </row>
    <row r="165">
      <c r="A165" s="15" t="n"/>
      <c r="B165" s="15" t="n"/>
      <c r="C165" s="15" t="n"/>
      <c r="D165" s="16" t="n"/>
      <c r="E165" s="16" t="n"/>
      <c r="F165" s="15" t="n"/>
      <c r="G165" s="15">
        <f>IF(D165="","",MAX(0,IF(E165&lt;&gt;"",E165-D165,IF(F165="Completed",0,TODAY()-D165))))</f>
        <v/>
      </c>
      <c r="H165" s="15" t="n"/>
      <c r="I165" s="15" t="n"/>
    </row>
    <row r="166">
      <c r="A166" s="15" t="n"/>
      <c r="B166" s="15" t="n"/>
      <c r="C166" s="15" t="n"/>
      <c r="D166" s="16" t="n"/>
      <c r="E166" s="16" t="n"/>
      <c r="F166" s="15" t="n"/>
      <c r="G166" s="15">
        <f>IF(D166="","",MAX(0,IF(E166&lt;&gt;"",E166-D166,IF(F166="Completed",0,TODAY()-D166))))</f>
        <v/>
      </c>
      <c r="H166" s="15" t="n"/>
      <c r="I166" s="15" t="n"/>
    </row>
    <row r="167">
      <c r="A167" s="15" t="n"/>
      <c r="B167" s="15" t="n"/>
      <c r="C167" s="15" t="n"/>
      <c r="D167" s="16" t="n"/>
      <c r="E167" s="16" t="n"/>
      <c r="F167" s="15" t="n"/>
      <c r="G167" s="15">
        <f>IF(D167="","",MAX(0,IF(E167&lt;&gt;"",E167-D167,IF(F167="Completed",0,TODAY()-D167))))</f>
        <v/>
      </c>
      <c r="H167" s="15" t="n"/>
      <c r="I167" s="15" t="n"/>
    </row>
    <row r="168">
      <c r="A168" s="15" t="n"/>
      <c r="B168" s="15" t="n"/>
      <c r="C168" s="15" t="n"/>
      <c r="D168" s="16" t="n"/>
      <c r="E168" s="16" t="n"/>
      <c r="F168" s="15" t="n"/>
      <c r="G168" s="15">
        <f>IF(D168="","",MAX(0,IF(E168&lt;&gt;"",E168-D168,IF(F168="Completed",0,TODAY()-D168))))</f>
        <v/>
      </c>
      <c r="H168" s="15" t="n"/>
      <c r="I168" s="15" t="n"/>
    </row>
    <row r="169">
      <c r="A169" s="15" t="n"/>
      <c r="B169" s="15" t="n"/>
      <c r="C169" s="15" t="n"/>
      <c r="D169" s="16" t="n"/>
      <c r="E169" s="16" t="n"/>
      <c r="F169" s="15" t="n"/>
      <c r="G169" s="15">
        <f>IF(D169="","",MAX(0,IF(E169&lt;&gt;"",E169-D169,IF(F169="Completed",0,TODAY()-D169))))</f>
        <v/>
      </c>
      <c r="H169" s="15" t="n"/>
      <c r="I169" s="15" t="n"/>
    </row>
    <row r="170">
      <c r="A170" s="15" t="n"/>
      <c r="B170" s="15" t="n"/>
      <c r="C170" s="15" t="n"/>
      <c r="D170" s="16" t="n"/>
      <c r="E170" s="16" t="n"/>
      <c r="F170" s="15" t="n"/>
      <c r="G170" s="15">
        <f>IF(D170="","",MAX(0,IF(E170&lt;&gt;"",E170-D170,IF(F170="Completed",0,TODAY()-D170))))</f>
        <v/>
      </c>
      <c r="H170" s="15" t="n"/>
      <c r="I170" s="15" t="n"/>
    </row>
    <row r="171">
      <c r="A171" s="15" t="n"/>
      <c r="B171" s="15" t="n"/>
      <c r="C171" s="15" t="n"/>
      <c r="D171" s="16" t="n"/>
      <c r="E171" s="16" t="n"/>
      <c r="F171" s="15" t="n"/>
      <c r="G171" s="15">
        <f>IF(D171="","",MAX(0,IF(E171&lt;&gt;"",E171-D171,IF(F171="Completed",0,TODAY()-D171))))</f>
        <v/>
      </c>
      <c r="H171" s="15" t="n"/>
      <c r="I171" s="15" t="n"/>
    </row>
    <row r="172">
      <c r="A172" s="15" t="n"/>
      <c r="B172" s="15" t="n"/>
      <c r="C172" s="15" t="n"/>
      <c r="D172" s="16" t="n"/>
      <c r="E172" s="16" t="n"/>
      <c r="F172" s="15" t="n"/>
      <c r="G172" s="15">
        <f>IF(D172="","",MAX(0,IF(E172&lt;&gt;"",E172-D172,IF(F172="Completed",0,TODAY()-D172))))</f>
        <v/>
      </c>
      <c r="H172" s="15" t="n"/>
      <c r="I172" s="15" t="n"/>
    </row>
    <row r="173">
      <c r="A173" s="15" t="n"/>
      <c r="B173" s="15" t="n"/>
      <c r="C173" s="15" t="n"/>
      <c r="D173" s="16" t="n"/>
      <c r="E173" s="16" t="n"/>
      <c r="F173" s="15" t="n"/>
      <c r="G173" s="15">
        <f>IF(D173="","",MAX(0,IF(E173&lt;&gt;"",E173-D173,IF(F173="Completed",0,TODAY()-D173))))</f>
        <v/>
      </c>
      <c r="H173" s="15" t="n"/>
      <c r="I173" s="15" t="n"/>
    </row>
    <row r="174">
      <c r="A174" s="15" t="n"/>
      <c r="B174" s="15" t="n"/>
      <c r="C174" s="15" t="n"/>
      <c r="D174" s="16" t="n"/>
      <c r="E174" s="16" t="n"/>
      <c r="F174" s="15" t="n"/>
      <c r="G174" s="15">
        <f>IF(D174="","",MAX(0,IF(E174&lt;&gt;"",E174-D174,IF(F174="Completed",0,TODAY()-D174))))</f>
        <v/>
      </c>
      <c r="H174" s="15" t="n"/>
      <c r="I174" s="15" t="n"/>
    </row>
    <row r="175">
      <c r="A175" s="15" t="n"/>
      <c r="B175" s="15" t="n"/>
      <c r="C175" s="15" t="n"/>
      <c r="D175" s="16" t="n"/>
      <c r="E175" s="16" t="n"/>
      <c r="F175" s="15" t="n"/>
      <c r="G175" s="15">
        <f>IF(D175="","",MAX(0,IF(E175&lt;&gt;"",E175-D175,IF(F175="Completed",0,TODAY()-D175))))</f>
        <v/>
      </c>
      <c r="H175" s="15" t="n"/>
      <c r="I175" s="15" t="n"/>
    </row>
    <row r="176">
      <c r="A176" s="15" t="n"/>
      <c r="B176" s="15" t="n"/>
      <c r="C176" s="15" t="n"/>
      <c r="D176" s="16" t="n"/>
      <c r="E176" s="16" t="n"/>
      <c r="F176" s="15" t="n"/>
      <c r="G176" s="15">
        <f>IF(D176="","",MAX(0,IF(E176&lt;&gt;"",E176-D176,IF(F176="Completed",0,TODAY()-D176))))</f>
        <v/>
      </c>
      <c r="H176" s="15" t="n"/>
      <c r="I176" s="15" t="n"/>
    </row>
    <row r="177">
      <c r="A177" s="15" t="n"/>
      <c r="B177" s="15" t="n"/>
      <c r="C177" s="15" t="n"/>
      <c r="D177" s="16" t="n"/>
      <c r="E177" s="16" t="n"/>
      <c r="F177" s="15" t="n"/>
      <c r="G177" s="15">
        <f>IF(D177="","",MAX(0,IF(E177&lt;&gt;"",E177-D177,IF(F177="Completed",0,TODAY()-D177))))</f>
        <v/>
      </c>
      <c r="H177" s="15" t="n"/>
      <c r="I177" s="15" t="n"/>
    </row>
    <row r="178">
      <c r="A178" s="15" t="n"/>
      <c r="B178" s="15" t="n"/>
      <c r="C178" s="15" t="n"/>
      <c r="D178" s="16" t="n"/>
      <c r="E178" s="16" t="n"/>
      <c r="F178" s="15" t="n"/>
      <c r="G178" s="15">
        <f>IF(D178="","",MAX(0,IF(E178&lt;&gt;"",E178-D178,IF(F178="Completed",0,TODAY()-D178))))</f>
        <v/>
      </c>
      <c r="H178" s="15" t="n"/>
      <c r="I178" s="15" t="n"/>
    </row>
    <row r="179">
      <c r="A179" s="15" t="n"/>
      <c r="B179" s="15" t="n"/>
      <c r="C179" s="15" t="n"/>
      <c r="D179" s="16" t="n"/>
      <c r="E179" s="16" t="n"/>
      <c r="F179" s="15" t="n"/>
      <c r="G179" s="15">
        <f>IF(D179="","",MAX(0,IF(E179&lt;&gt;"",E179-D179,IF(F179="Completed",0,TODAY()-D179))))</f>
        <v/>
      </c>
      <c r="H179" s="15" t="n"/>
      <c r="I179" s="15" t="n"/>
    </row>
    <row r="180">
      <c r="A180" s="15" t="n"/>
      <c r="B180" s="15" t="n"/>
      <c r="C180" s="15" t="n"/>
      <c r="D180" s="16" t="n"/>
      <c r="E180" s="16" t="n"/>
      <c r="F180" s="15" t="n"/>
      <c r="G180" s="15">
        <f>IF(D180="","",MAX(0,IF(E180&lt;&gt;"",E180-D180,IF(F180="Completed",0,TODAY()-D180))))</f>
        <v/>
      </c>
      <c r="H180" s="15" t="n"/>
      <c r="I180" s="15" t="n"/>
    </row>
    <row r="181">
      <c r="A181" s="15" t="n"/>
      <c r="B181" s="15" t="n"/>
      <c r="C181" s="15" t="n"/>
      <c r="D181" s="16" t="n"/>
      <c r="E181" s="16" t="n"/>
      <c r="F181" s="15" t="n"/>
      <c r="G181" s="15">
        <f>IF(D181="","",MAX(0,IF(E181&lt;&gt;"",E181-D181,IF(F181="Completed",0,TODAY()-D181))))</f>
        <v/>
      </c>
      <c r="H181" s="15" t="n"/>
      <c r="I181" s="15" t="n"/>
    </row>
    <row r="182">
      <c r="A182" s="15" t="n"/>
      <c r="B182" s="15" t="n"/>
      <c r="C182" s="15" t="n"/>
      <c r="D182" s="16" t="n"/>
      <c r="E182" s="16" t="n"/>
      <c r="F182" s="15" t="n"/>
      <c r="G182" s="15">
        <f>IF(D182="","",MAX(0,IF(E182&lt;&gt;"",E182-D182,IF(F182="Completed",0,TODAY()-D182))))</f>
        <v/>
      </c>
      <c r="H182" s="15" t="n"/>
      <c r="I182" s="15" t="n"/>
    </row>
    <row r="183">
      <c r="A183" s="15" t="n"/>
      <c r="B183" s="15" t="n"/>
      <c r="C183" s="15" t="n"/>
      <c r="D183" s="16" t="n"/>
      <c r="E183" s="16" t="n"/>
      <c r="F183" s="15" t="n"/>
      <c r="G183" s="15">
        <f>IF(D183="","",MAX(0,IF(E183&lt;&gt;"",E183-D183,IF(F183="Completed",0,TODAY()-D183))))</f>
        <v/>
      </c>
      <c r="H183" s="15" t="n"/>
      <c r="I183" s="15" t="n"/>
    </row>
    <row r="184">
      <c r="A184" s="15" t="n"/>
      <c r="B184" s="15" t="n"/>
      <c r="C184" s="15" t="n"/>
      <c r="D184" s="16" t="n"/>
      <c r="E184" s="16" t="n"/>
      <c r="F184" s="15" t="n"/>
      <c r="G184" s="15">
        <f>IF(D184="","",MAX(0,IF(E184&lt;&gt;"",E184-D184,IF(F184="Completed",0,TODAY()-D184))))</f>
        <v/>
      </c>
      <c r="H184" s="15" t="n"/>
      <c r="I184" s="15" t="n"/>
    </row>
    <row r="185">
      <c r="A185" s="15" t="n"/>
      <c r="B185" s="15" t="n"/>
      <c r="C185" s="15" t="n"/>
      <c r="D185" s="16" t="n"/>
      <c r="E185" s="16" t="n"/>
      <c r="F185" s="15" t="n"/>
      <c r="G185" s="15">
        <f>IF(D185="","",MAX(0,IF(E185&lt;&gt;"",E185-D185,IF(F185="Completed",0,TODAY()-D185))))</f>
        <v/>
      </c>
      <c r="H185" s="15" t="n"/>
      <c r="I185" s="15" t="n"/>
    </row>
    <row r="186">
      <c r="A186" s="15" t="n"/>
      <c r="B186" s="15" t="n"/>
      <c r="C186" s="15" t="n"/>
      <c r="D186" s="16" t="n"/>
      <c r="E186" s="16" t="n"/>
      <c r="F186" s="15" t="n"/>
      <c r="G186" s="15">
        <f>IF(D186="","",MAX(0,IF(E186&lt;&gt;"",E186-D186,IF(F186="Completed",0,TODAY()-D186))))</f>
        <v/>
      </c>
      <c r="H186" s="15" t="n"/>
      <c r="I186" s="15" t="n"/>
    </row>
    <row r="187">
      <c r="A187" s="15" t="n"/>
      <c r="B187" s="15" t="n"/>
      <c r="C187" s="15" t="n"/>
      <c r="D187" s="16" t="n"/>
      <c r="E187" s="16" t="n"/>
      <c r="F187" s="15" t="n"/>
      <c r="G187" s="15">
        <f>IF(D187="","",MAX(0,IF(E187&lt;&gt;"",E187-D187,IF(F187="Completed",0,TODAY()-D187))))</f>
        <v/>
      </c>
      <c r="H187" s="15" t="n"/>
      <c r="I187" s="15" t="n"/>
    </row>
    <row r="188">
      <c r="A188" s="15" t="n"/>
      <c r="B188" s="15" t="n"/>
      <c r="C188" s="15" t="n"/>
      <c r="D188" s="16" t="n"/>
      <c r="E188" s="16" t="n"/>
      <c r="F188" s="15" t="n"/>
      <c r="G188" s="15">
        <f>IF(D188="","",MAX(0,IF(E188&lt;&gt;"",E188-D188,IF(F188="Completed",0,TODAY()-D188))))</f>
        <v/>
      </c>
      <c r="H188" s="15" t="n"/>
      <c r="I188" s="15" t="n"/>
    </row>
    <row r="189">
      <c r="A189" s="15" t="n"/>
      <c r="B189" s="15" t="n"/>
      <c r="C189" s="15" t="n"/>
      <c r="D189" s="16" t="n"/>
      <c r="E189" s="16" t="n"/>
      <c r="F189" s="15" t="n"/>
      <c r="G189" s="15">
        <f>IF(D189="","",MAX(0,IF(E189&lt;&gt;"",E189-D189,IF(F189="Completed",0,TODAY()-D189))))</f>
        <v/>
      </c>
      <c r="H189" s="15" t="n"/>
      <c r="I189" s="15" t="n"/>
    </row>
    <row r="190">
      <c r="A190" s="15" t="n"/>
      <c r="B190" s="15" t="n"/>
      <c r="C190" s="15" t="n"/>
      <c r="D190" s="16" t="n"/>
      <c r="E190" s="16" t="n"/>
      <c r="F190" s="15" t="n"/>
      <c r="G190" s="15">
        <f>IF(D190="","",MAX(0,IF(E190&lt;&gt;"",E190-D190,IF(F190="Completed",0,TODAY()-D190))))</f>
        <v/>
      </c>
      <c r="H190" s="15" t="n"/>
      <c r="I190" s="15" t="n"/>
    </row>
    <row r="191">
      <c r="A191" s="15" t="n"/>
      <c r="B191" s="15" t="n"/>
      <c r="C191" s="15" t="n"/>
      <c r="D191" s="16" t="n"/>
      <c r="E191" s="16" t="n"/>
      <c r="F191" s="15" t="n"/>
      <c r="G191" s="15">
        <f>IF(D191="","",MAX(0,IF(E191&lt;&gt;"",E191-D191,IF(F191="Completed",0,TODAY()-D191))))</f>
        <v/>
      </c>
      <c r="H191" s="15" t="n"/>
      <c r="I191" s="15" t="n"/>
    </row>
    <row r="192">
      <c r="A192" s="15" t="n"/>
      <c r="B192" s="15" t="n"/>
      <c r="C192" s="15" t="n"/>
      <c r="D192" s="16" t="n"/>
      <c r="E192" s="16" t="n"/>
      <c r="F192" s="15" t="n"/>
      <c r="G192" s="15">
        <f>IF(D192="","",MAX(0,IF(E192&lt;&gt;"",E192-D192,IF(F192="Completed",0,TODAY()-D192))))</f>
        <v/>
      </c>
      <c r="H192" s="15" t="n"/>
      <c r="I192" s="15" t="n"/>
    </row>
    <row r="193">
      <c r="A193" s="15" t="n"/>
      <c r="B193" s="15" t="n"/>
      <c r="C193" s="15" t="n"/>
      <c r="D193" s="16" t="n"/>
      <c r="E193" s="16" t="n"/>
      <c r="F193" s="15" t="n"/>
      <c r="G193" s="15">
        <f>IF(D193="","",MAX(0,IF(E193&lt;&gt;"",E193-D193,IF(F193="Completed",0,TODAY()-D193))))</f>
        <v/>
      </c>
      <c r="H193" s="15" t="n"/>
      <c r="I193" s="15" t="n"/>
    </row>
    <row r="194">
      <c r="A194" s="15" t="n"/>
      <c r="B194" s="15" t="n"/>
      <c r="C194" s="15" t="n"/>
      <c r="D194" s="16" t="n"/>
      <c r="E194" s="16" t="n"/>
      <c r="F194" s="15" t="n"/>
      <c r="G194" s="15">
        <f>IF(D194="","",MAX(0,IF(E194&lt;&gt;"",E194-D194,IF(F194="Completed",0,TODAY()-D194))))</f>
        <v/>
      </c>
      <c r="H194" s="15" t="n"/>
      <c r="I194" s="15" t="n"/>
    </row>
    <row r="195">
      <c r="A195" s="15" t="n"/>
      <c r="B195" s="15" t="n"/>
      <c r="C195" s="15" t="n"/>
      <c r="D195" s="16" t="n"/>
      <c r="E195" s="16" t="n"/>
      <c r="F195" s="15" t="n"/>
      <c r="G195" s="15">
        <f>IF(D195="","",MAX(0,IF(E195&lt;&gt;"",E195-D195,IF(F195="Completed",0,TODAY()-D195))))</f>
        <v/>
      </c>
      <c r="H195" s="15" t="n"/>
      <c r="I195" s="15" t="n"/>
    </row>
    <row r="196">
      <c r="A196" s="15" t="n"/>
      <c r="B196" s="15" t="n"/>
      <c r="C196" s="15" t="n"/>
      <c r="D196" s="16" t="n"/>
      <c r="E196" s="16" t="n"/>
      <c r="F196" s="15" t="n"/>
      <c r="G196" s="15">
        <f>IF(D196="","",MAX(0,IF(E196&lt;&gt;"",E196-D196,IF(F196="Completed",0,TODAY()-D196))))</f>
        <v/>
      </c>
      <c r="H196" s="15" t="n"/>
      <c r="I196" s="15" t="n"/>
    </row>
    <row r="197">
      <c r="A197" s="15" t="n"/>
      <c r="B197" s="15" t="n"/>
      <c r="C197" s="15" t="n"/>
      <c r="D197" s="16" t="n"/>
      <c r="E197" s="16" t="n"/>
      <c r="F197" s="15" t="n"/>
      <c r="G197" s="15">
        <f>IF(D197="","",MAX(0,IF(E197&lt;&gt;"",E197-D197,IF(F197="Completed",0,TODAY()-D197))))</f>
        <v/>
      </c>
      <c r="H197" s="15" t="n"/>
      <c r="I197" s="15" t="n"/>
    </row>
    <row r="198">
      <c r="A198" s="15" t="n"/>
      <c r="B198" s="15" t="n"/>
      <c r="C198" s="15" t="n"/>
      <c r="D198" s="16" t="n"/>
      <c r="E198" s="16" t="n"/>
      <c r="F198" s="15" t="n"/>
      <c r="G198" s="15">
        <f>IF(D198="","",MAX(0,IF(E198&lt;&gt;"",E198-D198,IF(F198="Completed",0,TODAY()-D198))))</f>
        <v/>
      </c>
      <c r="H198" s="15" t="n"/>
      <c r="I198" s="15" t="n"/>
    </row>
    <row r="199">
      <c r="A199" s="15" t="n"/>
      <c r="B199" s="15" t="n"/>
      <c r="C199" s="15" t="n"/>
      <c r="D199" s="16" t="n"/>
      <c r="E199" s="16" t="n"/>
      <c r="F199" s="15" t="n"/>
      <c r="G199" s="15">
        <f>IF(D199="","",MAX(0,IF(E199&lt;&gt;"",E199-D199,IF(F199="Completed",0,TODAY()-D199))))</f>
        <v/>
      </c>
      <c r="H199" s="15" t="n"/>
      <c r="I199" s="15" t="n"/>
    </row>
    <row r="200">
      <c r="A200" s="15" t="n"/>
      <c r="B200" s="15" t="n"/>
      <c r="C200" s="15" t="n"/>
      <c r="D200" s="16" t="n"/>
      <c r="E200" s="16" t="n"/>
      <c r="F200" s="15" t="n"/>
      <c r="G200" s="15">
        <f>IF(D200="","",MAX(0,IF(E200&lt;&gt;"",E200-D200,IF(F200="Completed",0,TODAY()-D200))))</f>
        <v/>
      </c>
      <c r="H200" s="15" t="n"/>
      <c r="I200" s="15" t="n"/>
    </row>
    <row r="201">
      <c r="A201" s="15" t="n"/>
      <c r="B201" s="15" t="n"/>
      <c r="C201" s="15" t="n"/>
      <c r="D201" s="16" t="n"/>
      <c r="E201" s="16" t="n"/>
      <c r="F201" s="15" t="n"/>
      <c r="G201" s="15">
        <f>IF(D201="","",MAX(0,IF(E201&lt;&gt;"",E201-D201,IF(F201="Completed",0,TODAY()-D201))))</f>
        <v/>
      </c>
      <c r="H201" s="15" t="n"/>
      <c r="I201" s="15" t="n"/>
    </row>
    <row r="202">
      <c r="A202" s="15" t="n"/>
      <c r="B202" s="15" t="n"/>
      <c r="C202" s="15" t="n"/>
      <c r="D202" s="16" t="n"/>
      <c r="E202" s="16" t="n"/>
      <c r="F202" s="15" t="n"/>
      <c r="G202" s="15">
        <f>IF(D202="","",MAX(0,IF(E202&lt;&gt;"",E202-D202,IF(F202="Completed",0,TODAY()-D202))))</f>
        <v/>
      </c>
      <c r="H202" s="15" t="n"/>
      <c r="I202" s="15" t="n"/>
    </row>
    <row r="203">
      <c r="A203" s="15" t="n"/>
      <c r="B203" s="15" t="n"/>
      <c r="C203" s="15" t="n"/>
      <c r="D203" s="16" t="n"/>
      <c r="E203" s="16" t="n"/>
      <c r="F203" s="15" t="n"/>
      <c r="G203" s="15">
        <f>IF(D203="","",MAX(0,IF(E203&lt;&gt;"",E203-D203,IF(F203="Completed",0,TODAY()-D203))))</f>
        <v/>
      </c>
      <c r="H203" s="15" t="n"/>
      <c r="I203" s="15" t="n"/>
    </row>
    <row r="204">
      <c r="A204" s="15" t="n"/>
      <c r="B204" s="15" t="n"/>
      <c r="C204" s="15" t="n"/>
      <c r="D204" s="16" t="n"/>
      <c r="E204" s="16" t="n"/>
      <c r="F204" s="15" t="n"/>
      <c r="G204" s="15">
        <f>IF(D204="","",MAX(0,IF(E204&lt;&gt;"",E204-D204,IF(F204="Completed",0,TODAY()-D204))))</f>
        <v/>
      </c>
      <c r="H204" s="15" t="n"/>
      <c r="I204" s="15" t="n"/>
    </row>
    <row r="205">
      <c r="A205" s="15" t="n"/>
      <c r="B205" s="15" t="n"/>
      <c r="C205" s="15" t="n"/>
      <c r="D205" s="16" t="n"/>
      <c r="E205" s="16" t="n"/>
      <c r="F205" s="15" t="n"/>
      <c r="G205" s="15">
        <f>IF(D205="","",MAX(0,IF(E205&lt;&gt;"",E205-D205,IF(F205="Completed",0,TODAY()-D205))))</f>
        <v/>
      </c>
      <c r="H205" s="15" t="n"/>
      <c r="I205" s="15" t="n"/>
    </row>
    <row r="206">
      <c r="A206" s="15" t="n"/>
      <c r="B206" s="15" t="n"/>
      <c r="C206" s="15" t="n"/>
      <c r="D206" s="16" t="n"/>
      <c r="E206" s="16" t="n"/>
      <c r="F206" s="15" t="n"/>
      <c r="G206" s="15">
        <f>IF(D206="","",MAX(0,IF(E206&lt;&gt;"",E206-D206,IF(F206="Completed",0,TODAY()-D206))))</f>
        <v/>
      </c>
      <c r="H206" s="15" t="n"/>
      <c r="I206" s="15" t="n"/>
    </row>
    <row r="207">
      <c r="A207" s="15" t="n"/>
      <c r="B207" s="15" t="n"/>
      <c r="C207" s="15" t="n"/>
      <c r="D207" s="16" t="n"/>
      <c r="E207" s="16" t="n"/>
      <c r="F207" s="15" t="n"/>
      <c r="G207" s="15">
        <f>IF(D207="","",MAX(0,IF(E207&lt;&gt;"",E207-D207,IF(F207="Completed",0,TODAY()-D207))))</f>
        <v/>
      </c>
      <c r="H207" s="15" t="n"/>
      <c r="I207" s="15" t="n"/>
    </row>
    <row r="208">
      <c r="A208" s="15" t="n"/>
      <c r="B208" s="15" t="n"/>
      <c r="C208" s="15" t="n"/>
      <c r="D208" s="16" t="n"/>
      <c r="E208" s="16" t="n"/>
      <c r="F208" s="15" t="n"/>
      <c r="G208" s="15">
        <f>IF(D208="","",MAX(0,IF(E208&lt;&gt;"",E208-D208,IF(F208="Completed",0,TODAY()-D208))))</f>
        <v/>
      </c>
      <c r="H208" s="15" t="n"/>
      <c r="I208" s="15" t="n"/>
    </row>
    <row r="209">
      <c r="A209" s="15" t="n"/>
      <c r="B209" s="15" t="n"/>
      <c r="C209" s="15" t="n"/>
      <c r="D209" s="16" t="n"/>
      <c r="E209" s="16" t="n"/>
      <c r="F209" s="15" t="n"/>
      <c r="G209" s="15">
        <f>IF(D209="","",MAX(0,IF(E209&lt;&gt;"",E209-D209,IF(F209="Completed",0,TODAY()-D209))))</f>
        <v/>
      </c>
      <c r="H209" s="15" t="n"/>
      <c r="I209" s="15" t="n"/>
    </row>
    <row r="210">
      <c r="A210" s="15" t="n"/>
      <c r="B210" s="15" t="n"/>
      <c r="C210" s="15" t="n"/>
      <c r="D210" s="16" t="n"/>
      <c r="E210" s="16" t="n"/>
      <c r="F210" s="15" t="n"/>
      <c r="G210" s="15">
        <f>IF(D210="","",MAX(0,IF(E210&lt;&gt;"",E210-D210,IF(F210="Completed",0,TODAY()-D210))))</f>
        <v/>
      </c>
      <c r="H210" s="15" t="n"/>
      <c r="I210" s="15" t="n"/>
    </row>
    <row r="211">
      <c r="A211" s="15" t="n"/>
      <c r="B211" s="15" t="n"/>
      <c r="C211" s="15" t="n"/>
      <c r="D211" s="16" t="n"/>
      <c r="E211" s="16" t="n"/>
      <c r="F211" s="15" t="n"/>
      <c r="G211" s="15">
        <f>IF(D211="","",MAX(0,IF(E211&lt;&gt;"",E211-D211,IF(F211="Completed",0,TODAY()-D211))))</f>
        <v/>
      </c>
      <c r="H211" s="15" t="n"/>
      <c r="I211" s="15" t="n"/>
    </row>
    <row r="212">
      <c r="A212" s="15" t="n"/>
      <c r="B212" s="15" t="n"/>
      <c r="C212" s="15" t="n"/>
      <c r="D212" s="16" t="n"/>
      <c r="E212" s="16" t="n"/>
      <c r="F212" s="15" t="n"/>
      <c r="G212" s="15">
        <f>IF(D212="","",MAX(0,IF(E212&lt;&gt;"",E212-D212,IF(F212="Completed",0,TODAY()-D212))))</f>
        <v/>
      </c>
      <c r="H212" s="15" t="n"/>
      <c r="I212" s="15" t="n"/>
    </row>
    <row r="213">
      <c r="A213" s="15" t="n"/>
      <c r="B213" s="15" t="n"/>
      <c r="C213" s="15" t="n"/>
      <c r="D213" s="16" t="n"/>
      <c r="E213" s="16" t="n"/>
      <c r="F213" s="15" t="n"/>
      <c r="G213" s="15">
        <f>IF(D213="","",MAX(0,IF(E213&lt;&gt;"",E213-D213,IF(F213="Completed",0,TODAY()-D213))))</f>
        <v/>
      </c>
      <c r="H213" s="15" t="n"/>
      <c r="I213" s="15" t="n"/>
    </row>
    <row r="214">
      <c r="A214" s="15" t="n"/>
      <c r="B214" s="15" t="n"/>
      <c r="C214" s="15" t="n"/>
      <c r="D214" s="16" t="n"/>
      <c r="E214" s="16" t="n"/>
      <c r="F214" s="15" t="n"/>
      <c r="G214" s="15">
        <f>IF(D214="","",MAX(0,IF(E214&lt;&gt;"",E214-D214,IF(F214="Completed",0,TODAY()-D214))))</f>
        <v/>
      </c>
      <c r="H214" s="15" t="n"/>
      <c r="I214" s="15" t="n"/>
    </row>
    <row r="215">
      <c r="A215" s="15" t="n"/>
      <c r="B215" s="15" t="n"/>
      <c r="C215" s="15" t="n"/>
      <c r="D215" s="16" t="n"/>
      <c r="E215" s="16" t="n"/>
      <c r="F215" s="15" t="n"/>
      <c r="G215" s="15">
        <f>IF(D215="","",MAX(0,IF(E215&lt;&gt;"",E215-D215,IF(F215="Completed",0,TODAY()-D215))))</f>
        <v/>
      </c>
      <c r="H215" s="15" t="n"/>
      <c r="I215" s="15" t="n"/>
    </row>
    <row r="216">
      <c r="A216" s="15" t="n"/>
      <c r="B216" s="15" t="n"/>
      <c r="C216" s="15" t="n"/>
      <c r="D216" s="16" t="n"/>
      <c r="E216" s="16" t="n"/>
      <c r="F216" s="15" t="n"/>
      <c r="G216" s="15">
        <f>IF(D216="","",MAX(0,IF(E216&lt;&gt;"",E216-D216,IF(F216="Completed",0,TODAY()-D216))))</f>
        <v/>
      </c>
      <c r="H216" s="15" t="n"/>
      <c r="I216" s="15" t="n"/>
    </row>
    <row r="217">
      <c r="A217" s="15" t="n"/>
      <c r="B217" s="15" t="n"/>
      <c r="C217" s="15" t="n"/>
      <c r="D217" s="16" t="n"/>
      <c r="E217" s="16" t="n"/>
      <c r="F217" s="15" t="n"/>
      <c r="G217" s="15">
        <f>IF(D217="","",MAX(0,IF(E217&lt;&gt;"",E217-D217,IF(F217="Completed",0,TODAY()-D217))))</f>
        <v/>
      </c>
      <c r="H217" s="15" t="n"/>
      <c r="I217" s="15" t="n"/>
    </row>
    <row r="218">
      <c r="A218" s="15" t="n"/>
      <c r="B218" s="15" t="n"/>
      <c r="C218" s="15" t="n"/>
      <c r="D218" s="16" t="n"/>
      <c r="E218" s="16" t="n"/>
      <c r="F218" s="15" t="n"/>
      <c r="G218" s="15">
        <f>IF(D218="","",MAX(0,IF(E218&lt;&gt;"",E218-D218,IF(F218="Completed",0,TODAY()-D218))))</f>
        <v/>
      </c>
      <c r="H218" s="15" t="n"/>
      <c r="I218" s="15" t="n"/>
    </row>
    <row r="219">
      <c r="A219" s="15" t="n"/>
      <c r="B219" s="15" t="n"/>
      <c r="C219" s="15" t="n"/>
      <c r="D219" s="16" t="n"/>
      <c r="E219" s="16" t="n"/>
      <c r="F219" s="15" t="n"/>
      <c r="G219" s="15">
        <f>IF(D219="","",MAX(0,IF(E219&lt;&gt;"",E219-D219,IF(F219="Completed",0,TODAY()-D219))))</f>
        <v/>
      </c>
      <c r="H219" s="15" t="n"/>
      <c r="I219" s="15" t="n"/>
    </row>
    <row r="220">
      <c r="A220" s="15" t="n"/>
      <c r="B220" s="15" t="n"/>
      <c r="C220" s="15" t="n"/>
      <c r="D220" s="16" t="n"/>
      <c r="E220" s="16" t="n"/>
      <c r="F220" s="15" t="n"/>
      <c r="G220" s="15">
        <f>IF(D220="","",MAX(0,IF(E220&lt;&gt;"",E220-D220,IF(F220="Completed",0,TODAY()-D220))))</f>
        <v/>
      </c>
      <c r="H220" s="15" t="n"/>
      <c r="I220" s="15" t="n"/>
    </row>
    <row r="221">
      <c r="A221" s="15" t="n"/>
      <c r="B221" s="15" t="n"/>
      <c r="C221" s="15" t="n"/>
      <c r="D221" s="16" t="n"/>
      <c r="E221" s="16" t="n"/>
      <c r="F221" s="15" t="n"/>
      <c r="G221" s="15">
        <f>IF(D221="","",MAX(0,IF(E221&lt;&gt;"",E221-D221,IF(F221="Completed",0,TODAY()-D221))))</f>
        <v/>
      </c>
      <c r="H221" s="15" t="n"/>
      <c r="I221" s="15" t="n"/>
    </row>
    <row r="222">
      <c r="A222" s="15" t="n"/>
      <c r="B222" s="15" t="n"/>
      <c r="C222" s="15" t="n"/>
      <c r="D222" s="16" t="n"/>
      <c r="E222" s="16" t="n"/>
      <c r="F222" s="15" t="n"/>
      <c r="G222" s="15">
        <f>IF(D222="","",MAX(0,IF(E222&lt;&gt;"",E222-D222,IF(F222="Completed",0,TODAY()-D222))))</f>
        <v/>
      </c>
      <c r="H222" s="15" t="n"/>
      <c r="I222" s="15" t="n"/>
    </row>
    <row r="223">
      <c r="A223" s="15" t="n"/>
      <c r="B223" s="15" t="n"/>
      <c r="C223" s="15" t="n"/>
      <c r="D223" s="16" t="n"/>
      <c r="E223" s="16" t="n"/>
      <c r="F223" s="15" t="n"/>
      <c r="G223" s="15">
        <f>IF(D223="","",MAX(0,IF(E223&lt;&gt;"",E223-D223,IF(F223="Completed",0,TODAY()-D223))))</f>
        <v/>
      </c>
      <c r="H223" s="15" t="n"/>
      <c r="I223" s="15" t="n"/>
    </row>
    <row r="224">
      <c r="A224" s="15" t="n"/>
      <c r="B224" s="15" t="n"/>
      <c r="C224" s="15" t="n"/>
      <c r="D224" s="16" t="n"/>
      <c r="E224" s="16" t="n"/>
      <c r="F224" s="15" t="n"/>
      <c r="G224" s="15">
        <f>IF(D224="","",MAX(0,IF(E224&lt;&gt;"",E224-D224,IF(F224="Completed",0,TODAY()-D224))))</f>
        <v/>
      </c>
      <c r="H224" s="15" t="n"/>
      <c r="I224" s="15" t="n"/>
    </row>
    <row r="225">
      <c r="A225" s="15" t="n"/>
      <c r="B225" s="15" t="n"/>
      <c r="C225" s="15" t="n"/>
      <c r="D225" s="16" t="n"/>
      <c r="E225" s="16" t="n"/>
      <c r="F225" s="15" t="n"/>
      <c r="G225" s="15">
        <f>IF(D225="","",MAX(0,IF(E225&lt;&gt;"",E225-D225,IF(F225="Completed",0,TODAY()-D225))))</f>
        <v/>
      </c>
      <c r="H225" s="15" t="n"/>
      <c r="I225" s="15" t="n"/>
    </row>
    <row r="226">
      <c r="A226" s="15" t="n"/>
      <c r="B226" s="15" t="n"/>
      <c r="C226" s="15" t="n"/>
      <c r="D226" s="16" t="n"/>
      <c r="E226" s="16" t="n"/>
      <c r="F226" s="15" t="n"/>
      <c r="G226" s="15">
        <f>IF(D226="","",MAX(0,IF(E226&lt;&gt;"",E226-D226,IF(F226="Completed",0,TODAY()-D226))))</f>
        <v/>
      </c>
      <c r="H226" s="15" t="n"/>
      <c r="I226" s="15" t="n"/>
    </row>
    <row r="227">
      <c r="A227" s="15" t="n"/>
      <c r="B227" s="15" t="n"/>
      <c r="C227" s="15" t="n"/>
      <c r="D227" s="16" t="n"/>
      <c r="E227" s="16" t="n"/>
      <c r="F227" s="15" t="n"/>
      <c r="G227" s="15">
        <f>IF(D227="","",MAX(0,IF(E227&lt;&gt;"",E227-D227,IF(F227="Completed",0,TODAY()-D227))))</f>
        <v/>
      </c>
      <c r="H227" s="15" t="n"/>
      <c r="I227" s="15" t="n"/>
    </row>
    <row r="228">
      <c r="A228" s="15" t="n"/>
      <c r="B228" s="15" t="n"/>
      <c r="C228" s="15" t="n"/>
      <c r="D228" s="16" t="n"/>
      <c r="E228" s="16" t="n"/>
      <c r="F228" s="15" t="n"/>
      <c r="G228" s="15">
        <f>IF(D228="","",MAX(0,IF(E228&lt;&gt;"",E228-D228,IF(F228="Completed",0,TODAY()-D228))))</f>
        <v/>
      </c>
      <c r="H228" s="15" t="n"/>
      <c r="I228" s="15" t="n"/>
    </row>
    <row r="229">
      <c r="A229" s="15" t="n"/>
      <c r="B229" s="15" t="n"/>
      <c r="C229" s="15" t="n"/>
      <c r="D229" s="16" t="n"/>
      <c r="E229" s="16" t="n"/>
      <c r="F229" s="15" t="n"/>
      <c r="G229" s="15">
        <f>IF(D229="","",MAX(0,IF(E229&lt;&gt;"",E229-D229,IF(F229="Completed",0,TODAY()-D229))))</f>
        <v/>
      </c>
      <c r="H229" s="15" t="n"/>
      <c r="I229" s="15" t="n"/>
    </row>
    <row r="230">
      <c r="A230" s="15" t="n"/>
      <c r="B230" s="15" t="n"/>
      <c r="C230" s="15" t="n"/>
      <c r="D230" s="16" t="n"/>
      <c r="E230" s="16" t="n"/>
      <c r="F230" s="15" t="n"/>
      <c r="G230" s="15">
        <f>IF(D230="","",MAX(0,IF(E230&lt;&gt;"",E230-D230,IF(F230="Completed",0,TODAY()-D230))))</f>
        <v/>
      </c>
      <c r="H230" s="15" t="n"/>
      <c r="I230" s="15" t="n"/>
    </row>
    <row r="231">
      <c r="A231" s="15" t="n"/>
      <c r="B231" s="15" t="n"/>
      <c r="C231" s="15" t="n"/>
      <c r="D231" s="16" t="n"/>
      <c r="E231" s="16" t="n"/>
      <c r="F231" s="15" t="n"/>
      <c r="G231" s="15">
        <f>IF(D231="","",MAX(0,IF(E231&lt;&gt;"",E231-D231,IF(F231="Completed",0,TODAY()-D231))))</f>
        <v/>
      </c>
      <c r="H231" s="15" t="n"/>
      <c r="I231" s="15" t="n"/>
    </row>
    <row r="232">
      <c r="A232" s="15" t="n"/>
      <c r="B232" s="15" t="n"/>
      <c r="C232" s="15" t="n"/>
      <c r="D232" s="16" t="n"/>
      <c r="E232" s="16" t="n"/>
      <c r="F232" s="15" t="n"/>
      <c r="G232" s="15">
        <f>IF(D232="","",MAX(0,IF(E232&lt;&gt;"",E232-D232,IF(F232="Completed",0,TODAY()-D232))))</f>
        <v/>
      </c>
      <c r="H232" s="15" t="n"/>
      <c r="I232" s="15" t="n"/>
    </row>
    <row r="233">
      <c r="A233" s="15" t="n"/>
      <c r="B233" s="15" t="n"/>
      <c r="C233" s="15" t="n"/>
      <c r="D233" s="16" t="n"/>
      <c r="E233" s="16" t="n"/>
      <c r="F233" s="15" t="n"/>
      <c r="G233" s="15">
        <f>IF(D233="","",MAX(0,IF(E233&lt;&gt;"",E233-D233,IF(F233="Completed",0,TODAY()-D233))))</f>
        <v/>
      </c>
      <c r="H233" s="15" t="n"/>
      <c r="I233" s="15" t="n"/>
    </row>
    <row r="234">
      <c r="A234" s="15" t="n"/>
      <c r="B234" s="15" t="n"/>
      <c r="C234" s="15" t="n"/>
      <c r="D234" s="16" t="n"/>
      <c r="E234" s="16" t="n"/>
      <c r="F234" s="15" t="n"/>
      <c r="G234" s="15">
        <f>IF(D234="","",MAX(0,IF(E234&lt;&gt;"",E234-D234,IF(F234="Completed",0,TODAY()-D234))))</f>
        <v/>
      </c>
      <c r="H234" s="15" t="n"/>
      <c r="I234" s="15" t="n"/>
    </row>
    <row r="235">
      <c r="A235" s="15" t="n"/>
      <c r="B235" s="15" t="n"/>
      <c r="C235" s="15" t="n"/>
      <c r="D235" s="16" t="n"/>
      <c r="E235" s="16" t="n"/>
      <c r="F235" s="15" t="n"/>
      <c r="G235" s="15">
        <f>IF(D235="","",MAX(0,IF(E235&lt;&gt;"",E235-D235,IF(F235="Completed",0,TODAY()-D235))))</f>
        <v/>
      </c>
      <c r="H235" s="15" t="n"/>
      <c r="I235" s="15" t="n"/>
    </row>
    <row r="236">
      <c r="A236" s="15" t="n"/>
      <c r="B236" s="15" t="n"/>
      <c r="C236" s="15" t="n"/>
      <c r="D236" s="16" t="n"/>
      <c r="E236" s="16" t="n"/>
      <c r="F236" s="15" t="n"/>
      <c r="G236" s="15">
        <f>IF(D236="","",MAX(0,IF(E236&lt;&gt;"",E236-D236,IF(F236="Completed",0,TODAY()-D236))))</f>
        <v/>
      </c>
      <c r="H236" s="15" t="n"/>
      <c r="I236" s="15" t="n"/>
    </row>
    <row r="237">
      <c r="A237" s="15" t="n"/>
      <c r="B237" s="15" t="n"/>
      <c r="C237" s="15" t="n"/>
      <c r="D237" s="16" t="n"/>
      <c r="E237" s="16" t="n"/>
      <c r="F237" s="15" t="n"/>
      <c r="G237" s="15">
        <f>IF(D237="","",MAX(0,IF(E237&lt;&gt;"",E237-D237,IF(F237="Completed",0,TODAY()-D237))))</f>
        <v/>
      </c>
      <c r="H237" s="15" t="n"/>
      <c r="I237" s="15" t="n"/>
    </row>
    <row r="238">
      <c r="A238" s="15" t="n"/>
      <c r="B238" s="15" t="n"/>
      <c r="C238" s="15" t="n"/>
      <c r="D238" s="16" t="n"/>
      <c r="E238" s="16" t="n"/>
      <c r="F238" s="15" t="n"/>
      <c r="G238" s="15">
        <f>IF(D238="","",MAX(0,IF(E238&lt;&gt;"",E238-D238,IF(F238="Completed",0,TODAY()-D238))))</f>
        <v/>
      </c>
      <c r="H238" s="15" t="n"/>
      <c r="I238" s="15" t="n"/>
    </row>
    <row r="239">
      <c r="A239" s="15" t="n"/>
      <c r="B239" s="15" t="n"/>
      <c r="C239" s="15" t="n"/>
      <c r="D239" s="16" t="n"/>
      <c r="E239" s="16" t="n"/>
      <c r="F239" s="15" t="n"/>
      <c r="G239" s="15">
        <f>IF(D239="","",MAX(0,IF(E239&lt;&gt;"",E239-D239,IF(F239="Completed",0,TODAY()-D239))))</f>
        <v/>
      </c>
      <c r="H239" s="15" t="n"/>
      <c r="I239" s="15" t="n"/>
    </row>
    <row r="240">
      <c r="A240" s="15" t="n"/>
      <c r="B240" s="15" t="n"/>
      <c r="C240" s="15" t="n"/>
      <c r="D240" s="16" t="n"/>
      <c r="E240" s="16" t="n"/>
      <c r="F240" s="15" t="n"/>
      <c r="G240" s="15">
        <f>IF(D240="","",MAX(0,IF(E240&lt;&gt;"",E240-D240,IF(F240="Completed",0,TODAY()-D240))))</f>
        <v/>
      </c>
      <c r="H240" s="15" t="n"/>
      <c r="I240" s="15" t="n"/>
    </row>
    <row r="241">
      <c r="A241" s="15" t="n"/>
      <c r="B241" s="15" t="n"/>
      <c r="C241" s="15" t="n"/>
      <c r="D241" s="16" t="n"/>
      <c r="E241" s="16" t="n"/>
      <c r="F241" s="15" t="n"/>
      <c r="G241" s="15">
        <f>IF(D241="","",MAX(0,IF(E241&lt;&gt;"",E241-D241,IF(F241="Completed",0,TODAY()-D241))))</f>
        <v/>
      </c>
      <c r="H241" s="15" t="n"/>
      <c r="I241" s="15" t="n"/>
    </row>
    <row r="242">
      <c r="A242" s="15" t="n"/>
      <c r="B242" s="15" t="n"/>
      <c r="C242" s="15" t="n"/>
      <c r="D242" s="16" t="n"/>
      <c r="E242" s="16" t="n"/>
      <c r="F242" s="15" t="n"/>
      <c r="G242" s="15">
        <f>IF(D242="","",MAX(0,IF(E242&lt;&gt;"",E242-D242,IF(F242="Completed",0,TODAY()-D242))))</f>
        <v/>
      </c>
      <c r="H242" s="15" t="n"/>
      <c r="I242" s="15" t="n"/>
    </row>
    <row r="243">
      <c r="A243" s="15" t="n"/>
      <c r="B243" s="15" t="n"/>
      <c r="C243" s="15" t="n"/>
      <c r="D243" s="16" t="n"/>
      <c r="E243" s="16" t="n"/>
      <c r="F243" s="15" t="n"/>
      <c r="G243" s="15">
        <f>IF(D243="","",MAX(0,IF(E243&lt;&gt;"",E243-D243,IF(F243="Completed",0,TODAY()-D243))))</f>
        <v/>
      </c>
      <c r="H243" s="15" t="n"/>
      <c r="I243" s="15" t="n"/>
    </row>
    <row r="244">
      <c r="A244" s="15" t="n"/>
      <c r="B244" s="15" t="n"/>
      <c r="C244" s="15" t="n"/>
      <c r="D244" s="16" t="n"/>
      <c r="E244" s="16" t="n"/>
      <c r="F244" s="15" t="n"/>
      <c r="G244" s="15">
        <f>IF(D244="","",MAX(0,IF(E244&lt;&gt;"",E244-D244,IF(F244="Completed",0,TODAY()-D244))))</f>
        <v/>
      </c>
      <c r="H244" s="15" t="n"/>
      <c r="I244" s="15" t="n"/>
    </row>
    <row r="245">
      <c r="A245" s="15" t="n"/>
      <c r="B245" s="15" t="n"/>
      <c r="C245" s="15" t="n"/>
      <c r="D245" s="16" t="n"/>
      <c r="E245" s="16" t="n"/>
      <c r="F245" s="15" t="n"/>
      <c r="G245" s="15">
        <f>IF(D245="","",MAX(0,IF(E245&lt;&gt;"",E245-D245,IF(F245="Completed",0,TODAY()-D245))))</f>
        <v/>
      </c>
      <c r="H245" s="15" t="n"/>
      <c r="I245" s="15" t="n"/>
    </row>
    <row r="246">
      <c r="A246" s="15" t="n"/>
      <c r="B246" s="15" t="n"/>
      <c r="C246" s="15" t="n"/>
      <c r="D246" s="16" t="n"/>
      <c r="E246" s="16" t="n"/>
      <c r="F246" s="15" t="n"/>
      <c r="G246" s="15">
        <f>IF(D246="","",MAX(0,IF(E246&lt;&gt;"",E246-D246,IF(F246="Completed",0,TODAY()-D246))))</f>
        <v/>
      </c>
      <c r="H246" s="15" t="n"/>
      <c r="I246" s="15" t="n"/>
    </row>
    <row r="247">
      <c r="A247" s="15" t="n"/>
      <c r="B247" s="15" t="n"/>
      <c r="C247" s="15" t="n"/>
      <c r="D247" s="16" t="n"/>
      <c r="E247" s="16" t="n"/>
      <c r="F247" s="15" t="n"/>
      <c r="G247" s="15">
        <f>IF(D247="","",MAX(0,IF(E247&lt;&gt;"",E247-D247,IF(F247="Completed",0,TODAY()-D247))))</f>
        <v/>
      </c>
      <c r="H247" s="15" t="n"/>
      <c r="I247" s="15" t="n"/>
    </row>
    <row r="248">
      <c r="A248" s="15" t="n"/>
      <c r="B248" s="15" t="n"/>
      <c r="C248" s="15" t="n"/>
      <c r="D248" s="16" t="n"/>
      <c r="E248" s="16" t="n"/>
      <c r="F248" s="15" t="n"/>
      <c r="G248" s="15">
        <f>IF(D248="","",MAX(0,IF(E248&lt;&gt;"",E248-D248,IF(F248="Completed",0,TODAY()-D248))))</f>
        <v/>
      </c>
      <c r="H248" s="15" t="n"/>
      <c r="I248" s="15" t="n"/>
    </row>
    <row r="249">
      <c r="A249" s="15" t="n"/>
      <c r="B249" s="15" t="n"/>
      <c r="C249" s="15" t="n"/>
      <c r="D249" s="16" t="n"/>
      <c r="E249" s="16" t="n"/>
      <c r="F249" s="15" t="n"/>
      <c r="G249" s="15">
        <f>IF(D249="","",MAX(0,IF(E249&lt;&gt;"",E249-D249,IF(F249="Completed",0,TODAY()-D249))))</f>
        <v/>
      </c>
      <c r="H249" s="15" t="n"/>
      <c r="I249" s="15" t="n"/>
    </row>
    <row r="250">
      <c r="A250" s="15" t="n"/>
      <c r="B250" s="15" t="n"/>
      <c r="C250" s="15" t="n"/>
      <c r="D250" s="16" t="n"/>
      <c r="E250" s="16" t="n"/>
      <c r="F250" s="15" t="n"/>
      <c r="G250" s="15">
        <f>IF(D250="","",MAX(0,IF(E250&lt;&gt;"",E250-D250,IF(F250="Completed",0,TODAY()-D250))))</f>
        <v/>
      </c>
      <c r="H250" s="15" t="n"/>
      <c r="I250" s="15" t="n"/>
    </row>
    <row r="251">
      <c r="A251" s="15" t="n"/>
      <c r="B251" s="15" t="n"/>
      <c r="C251" s="15" t="n"/>
      <c r="D251" s="16" t="n"/>
      <c r="E251" s="16" t="n"/>
      <c r="F251" s="15" t="n"/>
      <c r="G251" s="15">
        <f>IF(D251="","",MAX(0,IF(E251&lt;&gt;"",E251-D251,IF(F251="Completed",0,TODAY()-D251))))</f>
        <v/>
      </c>
      <c r="H251" s="15" t="n"/>
      <c r="I251" s="15" t="n"/>
    </row>
    <row r="252">
      <c r="A252" s="15" t="n"/>
      <c r="B252" s="15" t="n"/>
      <c r="C252" s="15" t="n"/>
      <c r="D252" s="16" t="n"/>
      <c r="E252" s="16" t="n"/>
      <c r="F252" s="15" t="n"/>
      <c r="G252" s="15">
        <f>IF(D252="","",MAX(0,IF(E252&lt;&gt;"",E252-D252,IF(F252="Completed",0,TODAY()-D252))))</f>
        <v/>
      </c>
      <c r="H252" s="15" t="n"/>
      <c r="I252" s="15" t="n"/>
    </row>
    <row r="253">
      <c r="A253" s="15" t="n"/>
      <c r="B253" s="15" t="n"/>
      <c r="C253" s="15" t="n"/>
      <c r="D253" s="16" t="n"/>
      <c r="E253" s="16" t="n"/>
      <c r="F253" s="15" t="n"/>
      <c r="G253" s="15">
        <f>IF(D253="","",MAX(0,IF(E253&lt;&gt;"",E253-D253,IF(F253="Completed",0,TODAY()-D253))))</f>
        <v/>
      </c>
      <c r="H253" s="15" t="n"/>
      <c r="I253" s="15" t="n"/>
    </row>
    <row r="254">
      <c r="A254" s="15" t="n"/>
      <c r="B254" s="15" t="n"/>
      <c r="C254" s="15" t="n"/>
      <c r="D254" s="16" t="n"/>
      <c r="E254" s="16" t="n"/>
      <c r="F254" s="15" t="n"/>
      <c r="G254" s="15">
        <f>IF(D254="","",MAX(0,IF(E254&lt;&gt;"",E254-D254,IF(F254="Completed",0,TODAY()-D254))))</f>
        <v/>
      </c>
      <c r="H254" s="15" t="n"/>
      <c r="I254" s="15" t="n"/>
    </row>
    <row r="255">
      <c r="A255" s="15" t="n"/>
      <c r="B255" s="15" t="n"/>
      <c r="C255" s="15" t="n"/>
      <c r="D255" s="16" t="n"/>
      <c r="E255" s="16" t="n"/>
      <c r="F255" s="15" t="n"/>
      <c r="G255" s="15">
        <f>IF(D255="","",MAX(0,IF(E255&lt;&gt;"",E255-D255,IF(F255="Completed",0,TODAY()-D255))))</f>
        <v/>
      </c>
      <c r="H255" s="15" t="n"/>
      <c r="I255" s="15" t="n"/>
    </row>
    <row r="256">
      <c r="A256" s="15" t="n"/>
      <c r="B256" s="15" t="n"/>
      <c r="C256" s="15" t="n"/>
      <c r="D256" s="16" t="n"/>
      <c r="E256" s="16" t="n"/>
      <c r="F256" s="15" t="n"/>
      <c r="G256" s="15">
        <f>IF(D256="","",MAX(0,IF(E256&lt;&gt;"",E256-D256,IF(F256="Completed",0,TODAY()-D256))))</f>
        <v/>
      </c>
      <c r="H256" s="15" t="n"/>
      <c r="I256" s="15" t="n"/>
    </row>
    <row r="257">
      <c r="A257" s="15" t="n"/>
      <c r="B257" s="15" t="n"/>
      <c r="C257" s="15" t="n"/>
      <c r="D257" s="16" t="n"/>
      <c r="E257" s="16" t="n"/>
      <c r="F257" s="15" t="n"/>
      <c r="G257" s="15">
        <f>IF(D257="","",MAX(0,IF(E257&lt;&gt;"",E257-D257,IF(F257="Completed",0,TODAY()-D257))))</f>
        <v/>
      </c>
      <c r="H257" s="15" t="n"/>
      <c r="I257" s="15" t="n"/>
    </row>
    <row r="258">
      <c r="A258" s="15" t="n"/>
      <c r="B258" s="15" t="n"/>
      <c r="C258" s="15" t="n"/>
      <c r="D258" s="16" t="n"/>
      <c r="E258" s="16" t="n"/>
      <c r="F258" s="15" t="n"/>
      <c r="G258" s="15">
        <f>IF(D258="","",MAX(0,IF(E258&lt;&gt;"",E258-D258,IF(F258="Completed",0,TODAY()-D258))))</f>
        <v/>
      </c>
      <c r="H258" s="15" t="n"/>
      <c r="I258" s="15" t="n"/>
    </row>
    <row r="259">
      <c r="A259" s="15" t="n"/>
      <c r="B259" s="15" t="n"/>
      <c r="C259" s="15" t="n"/>
      <c r="D259" s="16" t="n"/>
      <c r="E259" s="16" t="n"/>
      <c r="F259" s="15" t="n"/>
      <c r="G259" s="15">
        <f>IF(D259="","",MAX(0,IF(E259&lt;&gt;"",E259-D259,IF(F259="Completed",0,TODAY()-D259))))</f>
        <v/>
      </c>
      <c r="H259" s="15" t="n"/>
      <c r="I259" s="15" t="n"/>
    </row>
    <row r="260">
      <c r="A260" s="15" t="n"/>
      <c r="B260" s="15" t="n"/>
      <c r="C260" s="15" t="n"/>
      <c r="D260" s="16" t="n"/>
      <c r="E260" s="16" t="n"/>
      <c r="F260" s="15" t="n"/>
      <c r="G260" s="15">
        <f>IF(D260="","",MAX(0,IF(E260&lt;&gt;"",E260-D260,IF(F260="Completed",0,TODAY()-D260))))</f>
        <v/>
      </c>
      <c r="H260" s="15" t="n"/>
      <c r="I260" s="15" t="n"/>
    </row>
    <row r="261">
      <c r="A261" s="15" t="n"/>
      <c r="B261" s="15" t="n"/>
      <c r="C261" s="15" t="n"/>
      <c r="D261" s="16" t="n"/>
      <c r="E261" s="16" t="n"/>
      <c r="F261" s="15" t="n"/>
      <c r="G261" s="15">
        <f>IF(D261="","",MAX(0,IF(E261&lt;&gt;"",E261-D261,IF(F261="Completed",0,TODAY()-D261))))</f>
        <v/>
      </c>
      <c r="H261" s="15" t="n"/>
      <c r="I261" s="15" t="n"/>
    </row>
    <row r="262">
      <c r="A262" s="15" t="n"/>
      <c r="B262" s="15" t="n"/>
      <c r="C262" s="15" t="n"/>
      <c r="D262" s="16" t="n"/>
      <c r="E262" s="16" t="n"/>
      <c r="F262" s="15" t="n"/>
      <c r="G262" s="15">
        <f>IF(D262="","",MAX(0,IF(E262&lt;&gt;"",E262-D262,IF(F262="Completed",0,TODAY()-D262))))</f>
        <v/>
      </c>
      <c r="H262" s="15" t="n"/>
      <c r="I262" s="15" t="n"/>
    </row>
    <row r="263">
      <c r="A263" s="15" t="n"/>
      <c r="B263" s="15" t="n"/>
      <c r="C263" s="15" t="n"/>
      <c r="D263" s="16" t="n"/>
      <c r="E263" s="16" t="n"/>
      <c r="F263" s="15" t="n"/>
      <c r="G263" s="15">
        <f>IF(D263="","",MAX(0,IF(E263&lt;&gt;"",E263-D263,IF(F263="Completed",0,TODAY()-D263))))</f>
        <v/>
      </c>
      <c r="H263" s="15" t="n"/>
      <c r="I263" s="15" t="n"/>
    </row>
    <row r="264">
      <c r="A264" s="15" t="n"/>
      <c r="B264" s="15" t="n"/>
      <c r="C264" s="15" t="n"/>
      <c r="D264" s="16" t="n"/>
      <c r="E264" s="16" t="n"/>
      <c r="F264" s="15" t="n"/>
      <c r="G264" s="15">
        <f>IF(D264="","",MAX(0,IF(E264&lt;&gt;"",E264-D264,IF(F264="Completed",0,TODAY()-D264))))</f>
        <v/>
      </c>
      <c r="H264" s="15" t="n"/>
      <c r="I264" s="15" t="n"/>
    </row>
    <row r="265">
      <c r="A265" s="15" t="n"/>
      <c r="B265" s="15" t="n"/>
      <c r="C265" s="15" t="n"/>
      <c r="D265" s="16" t="n"/>
      <c r="E265" s="16" t="n"/>
      <c r="F265" s="15" t="n"/>
      <c r="G265" s="15">
        <f>IF(D265="","",MAX(0,IF(E265&lt;&gt;"",E265-D265,IF(F265="Completed",0,TODAY()-D265))))</f>
        <v/>
      </c>
      <c r="H265" s="15" t="n"/>
      <c r="I265" s="15" t="n"/>
    </row>
    <row r="266">
      <c r="A266" s="15" t="n"/>
      <c r="B266" s="15" t="n"/>
      <c r="C266" s="15" t="n"/>
      <c r="D266" s="16" t="n"/>
      <c r="E266" s="16" t="n"/>
      <c r="F266" s="15" t="n"/>
      <c r="G266" s="15">
        <f>IF(D266="","",MAX(0,IF(E266&lt;&gt;"",E266-D266,IF(F266="Completed",0,TODAY()-D266))))</f>
        <v/>
      </c>
      <c r="H266" s="15" t="n"/>
      <c r="I266" s="15" t="n"/>
    </row>
    <row r="267">
      <c r="A267" s="15" t="n"/>
      <c r="B267" s="15" t="n"/>
      <c r="C267" s="15" t="n"/>
      <c r="D267" s="16" t="n"/>
      <c r="E267" s="16" t="n"/>
      <c r="F267" s="15" t="n"/>
      <c r="G267" s="15">
        <f>IF(D267="","",MAX(0,IF(E267&lt;&gt;"",E267-D267,IF(F267="Completed",0,TODAY()-D267))))</f>
        <v/>
      </c>
      <c r="H267" s="15" t="n"/>
      <c r="I267" s="15" t="n"/>
    </row>
    <row r="268">
      <c r="A268" s="15" t="n"/>
      <c r="B268" s="15" t="n"/>
      <c r="C268" s="15" t="n"/>
      <c r="D268" s="16" t="n"/>
      <c r="E268" s="16" t="n"/>
      <c r="F268" s="15" t="n"/>
      <c r="G268" s="15">
        <f>IF(D268="","",MAX(0,IF(E268&lt;&gt;"",E268-D268,IF(F268="Completed",0,TODAY()-D268))))</f>
        <v/>
      </c>
      <c r="H268" s="15" t="n"/>
      <c r="I268" s="15" t="n"/>
    </row>
    <row r="269">
      <c r="A269" s="15" t="n"/>
      <c r="B269" s="15" t="n"/>
      <c r="C269" s="15" t="n"/>
      <c r="D269" s="16" t="n"/>
      <c r="E269" s="16" t="n"/>
      <c r="F269" s="15" t="n"/>
      <c r="G269" s="15">
        <f>IF(D269="","",MAX(0,IF(E269&lt;&gt;"",E269-D269,IF(F269="Completed",0,TODAY()-D269))))</f>
        <v/>
      </c>
      <c r="H269" s="15" t="n"/>
      <c r="I269" s="15" t="n"/>
    </row>
    <row r="270">
      <c r="A270" s="15" t="n"/>
      <c r="B270" s="15" t="n"/>
      <c r="C270" s="15" t="n"/>
      <c r="D270" s="16" t="n"/>
      <c r="E270" s="16" t="n"/>
      <c r="F270" s="15" t="n"/>
      <c r="G270" s="15">
        <f>IF(D270="","",MAX(0,IF(E270&lt;&gt;"",E270-D270,IF(F270="Completed",0,TODAY()-D270))))</f>
        <v/>
      </c>
      <c r="H270" s="15" t="n"/>
      <c r="I270" s="15" t="n"/>
    </row>
    <row r="271">
      <c r="A271" s="15" t="n"/>
      <c r="B271" s="15" t="n"/>
      <c r="C271" s="15" t="n"/>
      <c r="D271" s="16" t="n"/>
      <c r="E271" s="16" t="n"/>
      <c r="F271" s="15" t="n"/>
      <c r="G271" s="15">
        <f>IF(D271="","",MAX(0,IF(E271&lt;&gt;"",E271-D271,IF(F271="Completed",0,TODAY()-D271))))</f>
        <v/>
      </c>
      <c r="H271" s="15" t="n"/>
      <c r="I271" s="15" t="n"/>
    </row>
    <row r="272">
      <c r="A272" s="15" t="n"/>
      <c r="B272" s="15" t="n"/>
      <c r="C272" s="15" t="n"/>
      <c r="D272" s="16" t="n"/>
      <c r="E272" s="16" t="n"/>
      <c r="F272" s="15" t="n"/>
      <c r="G272" s="15">
        <f>IF(D272="","",MAX(0,IF(E272&lt;&gt;"",E272-D272,IF(F272="Completed",0,TODAY()-D272))))</f>
        <v/>
      </c>
      <c r="H272" s="15" t="n"/>
      <c r="I272" s="15" t="n"/>
    </row>
    <row r="273">
      <c r="A273" s="15" t="n"/>
      <c r="B273" s="15" t="n"/>
      <c r="C273" s="15" t="n"/>
      <c r="D273" s="16" t="n"/>
      <c r="E273" s="16" t="n"/>
      <c r="F273" s="15" t="n"/>
      <c r="G273" s="15">
        <f>IF(D273="","",MAX(0,IF(E273&lt;&gt;"",E273-D273,IF(F273="Completed",0,TODAY()-D273))))</f>
        <v/>
      </c>
      <c r="H273" s="15" t="n"/>
      <c r="I273" s="15" t="n"/>
    </row>
    <row r="274">
      <c r="A274" s="15" t="n"/>
      <c r="B274" s="15" t="n"/>
      <c r="C274" s="15" t="n"/>
      <c r="D274" s="16" t="n"/>
      <c r="E274" s="16" t="n"/>
      <c r="F274" s="15" t="n"/>
      <c r="G274" s="15">
        <f>IF(D274="","",MAX(0,IF(E274&lt;&gt;"",E274-D274,IF(F274="Completed",0,TODAY()-D274))))</f>
        <v/>
      </c>
      <c r="H274" s="15" t="n"/>
      <c r="I274" s="15" t="n"/>
    </row>
    <row r="275">
      <c r="A275" s="15" t="n"/>
      <c r="B275" s="15" t="n"/>
      <c r="C275" s="15" t="n"/>
      <c r="D275" s="16" t="n"/>
      <c r="E275" s="16" t="n"/>
      <c r="F275" s="15" t="n"/>
      <c r="G275" s="15">
        <f>IF(D275="","",MAX(0,IF(E275&lt;&gt;"",E275-D275,IF(F275="Completed",0,TODAY()-D275))))</f>
        <v/>
      </c>
      <c r="H275" s="15" t="n"/>
      <c r="I275" s="15" t="n"/>
    </row>
    <row r="276">
      <c r="A276" s="15" t="n"/>
      <c r="B276" s="15" t="n"/>
      <c r="C276" s="15" t="n"/>
      <c r="D276" s="16" t="n"/>
      <c r="E276" s="16" t="n"/>
      <c r="F276" s="15" t="n"/>
      <c r="G276" s="15">
        <f>IF(D276="","",MAX(0,IF(E276&lt;&gt;"",E276-D276,IF(F276="Completed",0,TODAY()-D276))))</f>
        <v/>
      </c>
      <c r="H276" s="15" t="n"/>
      <c r="I276" s="15" t="n"/>
    </row>
    <row r="277">
      <c r="A277" s="15" t="n"/>
      <c r="B277" s="15" t="n"/>
      <c r="C277" s="15" t="n"/>
      <c r="D277" s="16" t="n"/>
      <c r="E277" s="16" t="n"/>
      <c r="F277" s="15" t="n"/>
      <c r="G277" s="15">
        <f>IF(D277="","",MAX(0,IF(E277&lt;&gt;"",E277-D277,IF(F277="Completed",0,TODAY()-D277))))</f>
        <v/>
      </c>
      <c r="H277" s="15" t="n"/>
      <c r="I277" s="15" t="n"/>
    </row>
    <row r="278">
      <c r="A278" s="15" t="n"/>
      <c r="B278" s="15" t="n"/>
      <c r="C278" s="15" t="n"/>
      <c r="D278" s="16" t="n"/>
      <c r="E278" s="16" t="n"/>
      <c r="F278" s="15" t="n"/>
      <c r="G278" s="15">
        <f>IF(D278="","",MAX(0,IF(E278&lt;&gt;"",E278-D278,IF(F278="Completed",0,TODAY()-D278))))</f>
        <v/>
      </c>
      <c r="H278" s="15" t="n"/>
      <c r="I278" s="15" t="n"/>
    </row>
    <row r="279">
      <c r="A279" s="15" t="n"/>
      <c r="B279" s="15" t="n"/>
      <c r="C279" s="15" t="n"/>
      <c r="D279" s="16" t="n"/>
      <c r="E279" s="16" t="n"/>
      <c r="F279" s="15" t="n"/>
      <c r="G279" s="15">
        <f>IF(D279="","",MAX(0,IF(E279&lt;&gt;"",E279-D279,IF(F279="Completed",0,TODAY()-D279))))</f>
        <v/>
      </c>
      <c r="H279" s="15" t="n"/>
      <c r="I279" s="15" t="n"/>
    </row>
    <row r="280">
      <c r="A280" s="15" t="n"/>
      <c r="B280" s="15" t="n"/>
      <c r="C280" s="15" t="n"/>
      <c r="D280" s="16" t="n"/>
      <c r="E280" s="16" t="n"/>
      <c r="F280" s="15" t="n"/>
      <c r="G280" s="15">
        <f>IF(D280="","",MAX(0,IF(E280&lt;&gt;"",E280-D280,IF(F280="Completed",0,TODAY()-D280))))</f>
        <v/>
      </c>
      <c r="H280" s="15" t="n"/>
      <c r="I280" s="15" t="n"/>
    </row>
    <row r="281">
      <c r="A281" s="15" t="n"/>
      <c r="B281" s="15" t="n"/>
      <c r="C281" s="15" t="n"/>
      <c r="D281" s="16" t="n"/>
      <c r="E281" s="16" t="n"/>
      <c r="F281" s="15" t="n"/>
      <c r="G281" s="15">
        <f>IF(D281="","",MAX(0,IF(E281&lt;&gt;"",E281-D281,IF(F281="Completed",0,TODAY()-D281))))</f>
        <v/>
      </c>
      <c r="H281" s="15" t="n"/>
      <c r="I281" s="15" t="n"/>
    </row>
    <row r="282">
      <c r="A282" s="15" t="n"/>
      <c r="B282" s="15" t="n"/>
      <c r="C282" s="15" t="n"/>
      <c r="D282" s="16" t="n"/>
      <c r="E282" s="16" t="n"/>
      <c r="F282" s="15" t="n"/>
      <c r="G282" s="15">
        <f>IF(D282="","",MAX(0,IF(E282&lt;&gt;"",E282-D282,IF(F282="Completed",0,TODAY()-D282))))</f>
        <v/>
      </c>
      <c r="H282" s="15" t="n"/>
      <c r="I282" s="15" t="n"/>
    </row>
    <row r="283">
      <c r="A283" s="15" t="n"/>
      <c r="B283" s="15" t="n"/>
      <c r="C283" s="15" t="n"/>
      <c r="D283" s="16" t="n"/>
      <c r="E283" s="16" t="n"/>
      <c r="F283" s="15" t="n"/>
      <c r="G283" s="15">
        <f>IF(D283="","",MAX(0,IF(E283&lt;&gt;"",E283-D283,IF(F283="Completed",0,TODAY()-D283))))</f>
        <v/>
      </c>
      <c r="H283" s="15" t="n"/>
      <c r="I283" s="15" t="n"/>
    </row>
    <row r="284">
      <c r="A284" s="15" t="n"/>
      <c r="B284" s="15" t="n"/>
      <c r="C284" s="15" t="n"/>
      <c r="D284" s="16" t="n"/>
      <c r="E284" s="16" t="n"/>
      <c r="F284" s="15" t="n"/>
      <c r="G284" s="15">
        <f>IF(D284="","",MAX(0,IF(E284&lt;&gt;"",E284-D284,IF(F284="Completed",0,TODAY()-D284))))</f>
        <v/>
      </c>
      <c r="H284" s="15" t="n"/>
      <c r="I284" s="15" t="n"/>
    </row>
    <row r="285">
      <c r="A285" s="15" t="n"/>
      <c r="B285" s="15" t="n"/>
      <c r="C285" s="15" t="n"/>
      <c r="D285" s="16" t="n"/>
      <c r="E285" s="16" t="n"/>
      <c r="F285" s="15" t="n"/>
      <c r="G285" s="15">
        <f>IF(D285="","",MAX(0,IF(E285&lt;&gt;"",E285-D285,IF(F285="Completed",0,TODAY()-D285))))</f>
        <v/>
      </c>
      <c r="H285" s="15" t="n"/>
      <c r="I285" s="15" t="n"/>
    </row>
    <row r="286">
      <c r="A286" s="15" t="n"/>
      <c r="B286" s="15" t="n"/>
      <c r="C286" s="15" t="n"/>
      <c r="D286" s="16" t="n"/>
      <c r="E286" s="16" t="n"/>
      <c r="F286" s="15" t="n"/>
      <c r="G286" s="15">
        <f>IF(D286="","",MAX(0,IF(E286&lt;&gt;"",E286-D286,IF(F286="Completed",0,TODAY()-D286))))</f>
        <v/>
      </c>
      <c r="H286" s="15" t="n"/>
      <c r="I286" s="15" t="n"/>
    </row>
    <row r="287">
      <c r="A287" s="15" t="n"/>
      <c r="B287" s="15" t="n"/>
      <c r="C287" s="15" t="n"/>
      <c r="D287" s="16" t="n"/>
      <c r="E287" s="16" t="n"/>
      <c r="F287" s="15" t="n"/>
      <c r="G287" s="15">
        <f>IF(D287="","",MAX(0,IF(E287&lt;&gt;"",E287-D287,IF(F287="Completed",0,TODAY()-D287))))</f>
        <v/>
      </c>
      <c r="H287" s="15" t="n"/>
      <c r="I287" s="15" t="n"/>
    </row>
    <row r="288">
      <c r="A288" s="15" t="n"/>
      <c r="B288" s="15" t="n"/>
      <c r="C288" s="15" t="n"/>
      <c r="D288" s="16" t="n"/>
      <c r="E288" s="16" t="n"/>
      <c r="F288" s="15" t="n"/>
      <c r="G288" s="15">
        <f>IF(D288="","",MAX(0,IF(E288&lt;&gt;"",E288-D288,IF(F288="Completed",0,TODAY()-D288))))</f>
        <v/>
      </c>
      <c r="H288" s="15" t="n"/>
      <c r="I288" s="15" t="n"/>
    </row>
    <row r="289">
      <c r="A289" s="15" t="n"/>
      <c r="B289" s="15" t="n"/>
      <c r="C289" s="15" t="n"/>
      <c r="D289" s="16" t="n"/>
      <c r="E289" s="16" t="n"/>
      <c r="F289" s="15" t="n"/>
      <c r="G289" s="15">
        <f>IF(D289="","",MAX(0,IF(E289&lt;&gt;"",E289-D289,IF(F289="Completed",0,TODAY()-D289))))</f>
        <v/>
      </c>
      <c r="H289" s="15" t="n"/>
      <c r="I289" s="15" t="n"/>
    </row>
    <row r="290">
      <c r="A290" s="15" t="n"/>
      <c r="B290" s="15" t="n"/>
      <c r="C290" s="15" t="n"/>
      <c r="D290" s="16" t="n"/>
      <c r="E290" s="16" t="n"/>
      <c r="F290" s="15" t="n"/>
      <c r="G290" s="15">
        <f>IF(D290="","",MAX(0,IF(E290&lt;&gt;"",E290-D290,IF(F290="Completed",0,TODAY()-D290))))</f>
        <v/>
      </c>
      <c r="H290" s="15" t="n"/>
      <c r="I290" s="15" t="n"/>
    </row>
    <row r="291">
      <c r="A291" s="15" t="n"/>
      <c r="B291" s="15" t="n"/>
      <c r="C291" s="15" t="n"/>
      <c r="D291" s="16" t="n"/>
      <c r="E291" s="16" t="n"/>
      <c r="F291" s="15" t="n"/>
      <c r="G291" s="15">
        <f>IF(D291="","",MAX(0,IF(E291&lt;&gt;"",E291-D291,IF(F291="Completed",0,TODAY()-D291))))</f>
        <v/>
      </c>
      <c r="H291" s="15" t="n"/>
      <c r="I291" s="15" t="n"/>
    </row>
    <row r="292">
      <c r="A292" s="15" t="n"/>
      <c r="B292" s="15" t="n"/>
      <c r="C292" s="15" t="n"/>
      <c r="D292" s="16" t="n"/>
      <c r="E292" s="16" t="n"/>
      <c r="F292" s="15" t="n"/>
      <c r="G292" s="15">
        <f>IF(D292="","",MAX(0,IF(E292&lt;&gt;"",E292-D292,IF(F292="Completed",0,TODAY()-D292))))</f>
        <v/>
      </c>
      <c r="H292" s="15" t="n"/>
      <c r="I292" s="15" t="n"/>
    </row>
    <row r="293">
      <c r="A293" s="15" t="n"/>
      <c r="B293" s="15" t="n"/>
      <c r="C293" s="15" t="n"/>
      <c r="D293" s="16" t="n"/>
      <c r="E293" s="16" t="n"/>
      <c r="F293" s="15" t="n"/>
      <c r="G293" s="15">
        <f>IF(D293="","",MAX(0,IF(E293&lt;&gt;"",E293-D293,IF(F293="Completed",0,TODAY()-D293))))</f>
        <v/>
      </c>
      <c r="H293" s="15" t="n"/>
      <c r="I293" s="15" t="n"/>
    </row>
    <row r="294">
      <c r="A294" s="15" t="n"/>
      <c r="B294" s="15" t="n"/>
      <c r="C294" s="15" t="n"/>
      <c r="D294" s="16" t="n"/>
      <c r="E294" s="16" t="n"/>
      <c r="F294" s="15" t="n"/>
      <c r="G294" s="15">
        <f>IF(D294="","",MAX(0,IF(E294&lt;&gt;"",E294-D294,IF(F294="Completed",0,TODAY()-D294))))</f>
        <v/>
      </c>
      <c r="H294" s="15" t="n"/>
      <c r="I294" s="15" t="n"/>
    </row>
    <row r="295">
      <c r="A295" s="15" t="n"/>
      <c r="B295" s="15" t="n"/>
      <c r="C295" s="15" t="n"/>
      <c r="D295" s="16" t="n"/>
      <c r="E295" s="16" t="n"/>
      <c r="F295" s="15" t="n"/>
      <c r="G295" s="15">
        <f>IF(D295="","",MAX(0,IF(E295&lt;&gt;"",E295-D295,IF(F295="Completed",0,TODAY()-D295))))</f>
        <v/>
      </c>
      <c r="H295" s="15" t="n"/>
      <c r="I295" s="15" t="n"/>
    </row>
    <row r="296">
      <c r="A296" s="15" t="n"/>
      <c r="B296" s="15" t="n"/>
      <c r="C296" s="15" t="n"/>
      <c r="D296" s="16" t="n"/>
      <c r="E296" s="16" t="n"/>
      <c r="F296" s="15" t="n"/>
      <c r="G296" s="15">
        <f>IF(D296="","",MAX(0,IF(E296&lt;&gt;"",E296-D296,IF(F296="Completed",0,TODAY()-D296))))</f>
        <v/>
      </c>
      <c r="H296" s="15" t="n"/>
      <c r="I296" s="15" t="n"/>
    </row>
    <row r="297">
      <c r="A297" s="15" t="n"/>
      <c r="B297" s="15" t="n"/>
      <c r="C297" s="15" t="n"/>
      <c r="D297" s="16" t="n"/>
      <c r="E297" s="16" t="n"/>
      <c r="F297" s="15" t="n"/>
      <c r="G297" s="15">
        <f>IF(D297="","",MAX(0,IF(E297&lt;&gt;"",E297-D297,IF(F297="Completed",0,TODAY()-D297))))</f>
        <v/>
      </c>
      <c r="H297" s="15" t="n"/>
      <c r="I297" s="15" t="n"/>
    </row>
    <row r="298">
      <c r="A298" s="15" t="n"/>
      <c r="B298" s="15" t="n"/>
      <c r="C298" s="15" t="n"/>
      <c r="D298" s="16" t="n"/>
      <c r="E298" s="16" t="n"/>
      <c r="F298" s="15" t="n"/>
      <c r="G298" s="15">
        <f>IF(D298="","",MAX(0,IF(E298&lt;&gt;"",E298-D298,IF(F298="Completed",0,TODAY()-D298))))</f>
        <v/>
      </c>
      <c r="H298" s="15" t="n"/>
      <c r="I298" s="15" t="n"/>
    </row>
    <row r="299">
      <c r="A299" s="15" t="n"/>
      <c r="B299" s="15" t="n"/>
      <c r="C299" s="15" t="n"/>
      <c r="D299" s="16" t="n"/>
      <c r="E299" s="16" t="n"/>
      <c r="F299" s="15" t="n"/>
      <c r="G299" s="15">
        <f>IF(D299="","",MAX(0,IF(E299&lt;&gt;"",E299-D299,IF(F299="Completed",0,TODAY()-D299))))</f>
        <v/>
      </c>
      <c r="H299" s="15" t="n"/>
      <c r="I299" s="15" t="n"/>
    </row>
    <row r="300">
      <c r="A300" s="15" t="n"/>
      <c r="B300" s="15" t="n"/>
      <c r="C300" s="15" t="n"/>
      <c r="D300" s="16" t="n"/>
      <c r="E300" s="16" t="n"/>
      <c r="F300" s="15" t="n"/>
      <c r="G300" s="15">
        <f>IF(D300="","",MAX(0,IF(E300&lt;&gt;"",E300-D300,IF(F300="Completed",0,TODAY()-D300))))</f>
        <v/>
      </c>
      <c r="H300" s="15" t="n"/>
      <c r="I300" s="15" t="n"/>
    </row>
    <row r="301">
      <c r="A301" s="15" t="n"/>
      <c r="B301" s="15" t="n"/>
      <c r="C301" s="15" t="n"/>
      <c r="D301" s="16" t="n"/>
      <c r="E301" s="16" t="n"/>
      <c r="F301" s="15" t="n"/>
      <c r="G301" s="15">
        <f>IF(D301="","",MAX(0,IF(E301&lt;&gt;"",E301-D301,IF(F301="Completed",0,TODAY()-D301))))</f>
        <v/>
      </c>
      <c r="H301" s="15" t="n"/>
      <c r="I301" s="15" t="n"/>
    </row>
    <row r="302">
      <c r="A302" s="15" t="n"/>
      <c r="B302" s="15" t="n"/>
      <c r="C302" s="15" t="n"/>
      <c r="D302" s="16" t="n"/>
      <c r="E302" s="16" t="n"/>
      <c r="F302" s="15" t="n"/>
      <c r="G302" s="15">
        <f>IF(D302="","",MAX(0,IF(E302&lt;&gt;"",E302-D302,IF(F302="Completed",0,TODAY()-D302))))</f>
        <v/>
      </c>
      <c r="H302" s="15" t="n"/>
      <c r="I302" s="15" t="n"/>
    </row>
    <row r="303">
      <c r="A303" s="15" t="n"/>
      <c r="B303" s="15" t="n"/>
      <c r="C303" s="15" t="n"/>
      <c r="D303" s="16" t="n"/>
      <c r="E303" s="16" t="n"/>
      <c r="F303" s="15" t="n"/>
      <c r="G303" s="15">
        <f>IF(D303="","",MAX(0,IF(E303&lt;&gt;"",E303-D303,IF(F303="Completed",0,TODAY()-D303))))</f>
        <v/>
      </c>
      <c r="H303" s="15" t="n"/>
      <c r="I303" s="15" t="n"/>
    </row>
    <row r="304">
      <c r="A304" s="15" t="n"/>
      <c r="B304" s="15" t="n"/>
      <c r="C304" s="15" t="n"/>
      <c r="D304" s="16" t="n"/>
      <c r="E304" s="16" t="n"/>
      <c r="F304" s="15" t="n"/>
      <c r="G304" s="15">
        <f>IF(D304="","",MAX(0,IF(E304&lt;&gt;"",E304-D304,IF(F304="Completed",0,TODAY()-D304))))</f>
        <v/>
      </c>
      <c r="H304" s="15" t="n"/>
      <c r="I304" s="15" t="n"/>
    </row>
    <row r="305">
      <c r="A305" s="15" t="n"/>
      <c r="B305" s="15" t="n"/>
      <c r="C305" s="15" t="n"/>
      <c r="D305" s="16" t="n"/>
      <c r="E305" s="16" t="n"/>
      <c r="F305" s="15" t="n"/>
      <c r="G305" s="15">
        <f>IF(D305="","",MAX(0,IF(E305&lt;&gt;"",E305-D305,IF(F305="Completed",0,TODAY()-D305))))</f>
        <v/>
      </c>
      <c r="H305" s="15" t="n"/>
      <c r="I305" s="15" t="n"/>
    </row>
    <row r="306">
      <c r="A306" s="15" t="n"/>
      <c r="B306" s="15" t="n"/>
      <c r="C306" s="15" t="n"/>
      <c r="D306" s="16" t="n"/>
      <c r="E306" s="16" t="n"/>
      <c r="F306" s="15" t="n"/>
      <c r="G306" s="15">
        <f>IF(D306="","",MAX(0,IF(E306&lt;&gt;"",E306-D306,IF(F306="Completed",0,TODAY()-D306))))</f>
        <v/>
      </c>
      <c r="H306" s="15" t="n"/>
      <c r="I306" s="15" t="n"/>
    </row>
    <row r="307">
      <c r="A307" s="15" t="n"/>
      <c r="B307" s="15" t="n"/>
      <c r="C307" s="15" t="n"/>
      <c r="D307" s="16" t="n"/>
      <c r="E307" s="16" t="n"/>
      <c r="F307" s="15" t="n"/>
      <c r="G307" s="15">
        <f>IF(D307="","",MAX(0,IF(E307&lt;&gt;"",E307-D307,IF(F307="Completed",0,TODAY()-D307))))</f>
        <v/>
      </c>
      <c r="H307" s="15" t="n"/>
      <c r="I307" s="15" t="n"/>
    </row>
    <row r="308">
      <c r="A308" s="15" t="n"/>
      <c r="B308" s="15" t="n"/>
      <c r="C308" s="15" t="n"/>
      <c r="D308" s="16" t="n"/>
      <c r="E308" s="16" t="n"/>
      <c r="F308" s="15" t="n"/>
      <c r="G308" s="15">
        <f>IF(D308="","",MAX(0,IF(E308&lt;&gt;"",E308-D308,IF(F308="Completed",0,TODAY()-D308))))</f>
        <v/>
      </c>
      <c r="H308" s="15" t="n"/>
      <c r="I308" s="15" t="n"/>
    </row>
    <row r="309">
      <c r="A309" s="15" t="n"/>
      <c r="B309" s="15" t="n"/>
      <c r="C309" s="15" t="n"/>
      <c r="D309" s="16" t="n"/>
      <c r="E309" s="16" t="n"/>
      <c r="F309" s="15" t="n"/>
      <c r="G309" s="15">
        <f>IF(D309="","",MAX(0,IF(E309&lt;&gt;"",E309-D309,IF(F309="Completed",0,TODAY()-D309))))</f>
        <v/>
      </c>
      <c r="H309" s="15" t="n"/>
      <c r="I309" s="15" t="n"/>
    </row>
    <row r="310">
      <c r="A310" s="15" t="n"/>
      <c r="B310" s="15" t="n"/>
      <c r="C310" s="15" t="n"/>
      <c r="D310" s="16" t="n"/>
      <c r="E310" s="16" t="n"/>
      <c r="F310" s="15" t="n"/>
      <c r="G310" s="15">
        <f>IF(D310="","",MAX(0,IF(E310&lt;&gt;"",E310-D310,IF(F310="Completed",0,TODAY()-D310))))</f>
        <v/>
      </c>
      <c r="H310" s="15" t="n"/>
      <c r="I310" s="15" t="n"/>
    </row>
    <row r="311">
      <c r="A311" s="15" t="n"/>
      <c r="B311" s="15" t="n"/>
      <c r="C311" s="15" t="n"/>
      <c r="D311" s="16" t="n"/>
      <c r="E311" s="16" t="n"/>
      <c r="F311" s="15" t="n"/>
      <c r="G311" s="15">
        <f>IF(D311="","",MAX(0,IF(E311&lt;&gt;"",E311-D311,IF(F311="Completed",0,TODAY()-D311))))</f>
        <v/>
      </c>
      <c r="H311" s="15" t="n"/>
      <c r="I311" s="15" t="n"/>
    </row>
    <row r="312">
      <c r="A312" s="15" t="n"/>
      <c r="B312" s="15" t="n"/>
      <c r="C312" s="15" t="n"/>
      <c r="D312" s="16" t="n"/>
      <c r="E312" s="16" t="n"/>
      <c r="F312" s="15" t="n"/>
      <c r="G312" s="15">
        <f>IF(D312="","",MAX(0,IF(E312&lt;&gt;"",E312-D312,IF(F312="Completed",0,TODAY()-D312))))</f>
        <v/>
      </c>
      <c r="H312" s="15" t="n"/>
      <c r="I312" s="15" t="n"/>
    </row>
    <row r="313">
      <c r="A313" s="15" t="n"/>
      <c r="B313" s="15" t="n"/>
      <c r="C313" s="15" t="n"/>
      <c r="D313" s="16" t="n"/>
      <c r="E313" s="16" t="n"/>
      <c r="F313" s="15" t="n"/>
      <c r="G313" s="15">
        <f>IF(D313="","",MAX(0,IF(E313&lt;&gt;"",E313-D313,IF(F313="Completed",0,TODAY()-D313))))</f>
        <v/>
      </c>
      <c r="H313" s="15" t="n"/>
      <c r="I313" s="15" t="n"/>
    </row>
    <row r="314">
      <c r="A314" s="15" t="n"/>
      <c r="B314" s="15" t="n"/>
      <c r="C314" s="15" t="n"/>
      <c r="D314" s="16" t="n"/>
      <c r="E314" s="16" t="n"/>
      <c r="F314" s="15" t="n"/>
      <c r="G314" s="15">
        <f>IF(D314="","",MAX(0,IF(E314&lt;&gt;"",E314-D314,IF(F314="Completed",0,TODAY()-D314))))</f>
        <v/>
      </c>
      <c r="H314" s="15" t="n"/>
      <c r="I314" s="15" t="n"/>
    </row>
    <row r="315">
      <c r="A315" s="15" t="n"/>
      <c r="B315" s="15" t="n"/>
      <c r="C315" s="15" t="n"/>
      <c r="D315" s="16" t="n"/>
      <c r="E315" s="16" t="n"/>
      <c r="F315" s="15" t="n"/>
      <c r="G315" s="15">
        <f>IF(D315="","",MAX(0,IF(E315&lt;&gt;"",E315-D315,IF(F315="Completed",0,TODAY()-D315))))</f>
        <v/>
      </c>
      <c r="H315" s="15" t="n"/>
      <c r="I315" s="15" t="n"/>
    </row>
    <row r="316">
      <c r="A316" s="15" t="n"/>
      <c r="B316" s="15" t="n"/>
      <c r="C316" s="15" t="n"/>
      <c r="D316" s="16" t="n"/>
      <c r="E316" s="16" t="n"/>
      <c r="F316" s="15" t="n"/>
      <c r="G316" s="15">
        <f>IF(D316="","",MAX(0,IF(E316&lt;&gt;"",E316-D316,IF(F316="Completed",0,TODAY()-D316))))</f>
        <v/>
      </c>
      <c r="H316" s="15" t="n"/>
      <c r="I316" s="15" t="n"/>
    </row>
    <row r="317">
      <c r="A317" s="15" t="n"/>
      <c r="B317" s="15" t="n"/>
      <c r="C317" s="15" t="n"/>
      <c r="D317" s="16" t="n"/>
      <c r="E317" s="16" t="n"/>
      <c r="F317" s="15" t="n"/>
      <c r="G317" s="15">
        <f>IF(D317="","",MAX(0,IF(E317&lt;&gt;"",E317-D317,IF(F317="Completed",0,TODAY()-D317))))</f>
        <v/>
      </c>
      <c r="H317" s="15" t="n"/>
      <c r="I317" s="15" t="n"/>
    </row>
    <row r="318">
      <c r="A318" s="15" t="n"/>
      <c r="B318" s="15" t="n"/>
      <c r="C318" s="15" t="n"/>
      <c r="D318" s="16" t="n"/>
      <c r="E318" s="16" t="n"/>
      <c r="F318" s="15" t="n"/>
      <c r="G318" s="15">
        <f>IF(D318="","",MAX(0,IF(E318&lt;&gt;"",E318-D318,IF(F318="Completed",0,TODAY()-D318))))</f>
        <v/>
      </c>
      <c r="H318" s="15" t="n"/>
      <c r="I318" s="15" t="n"/>
    </row>
    <row r="319">
      <c r="A319" s="15" t="n"/>
      <c r="B319" s="15" t="n"/>
      <c r="C319" s="15" t="n"/>
      <c r="D319" s="16" t="n"/>
      <c r="E319" s="16" t="n"/>
      <c r="F319" s="15" t="n"/>
      <c r="G319" s="15">
        <f>IF(D319="","",MAX(0,IF(E319&lt;&gt;"",E319-D319,IF(F319="Completed",0,TODAY()-D319))))</f>
        <v/>
      </c>
      <c r="H319" s="15" t="n"/>
      <c r="I319" s="15" t="n"/>
    </row>
    <row r="320">
      <c r="A320" s="15" t="n"/>
      <c r="B320" s="15" t="n"/>
      <c r="C320" s="15" t="n"/>
      <c r="D320" s="16" t="n"/>
      <c r="E320" s="16" t="n"/>
      <c r="F320" s="15" t="n"/>
      <c r="G320" s="15">
        <f>IF(D320="","",MAX(0,IF(E320&lt;&gt;"",E320-D320,IF(F320="Completed",0,TODAY()-D320))))</f>
        <v/>
      </c>
      <c r="H320" s="15" t="n"/>
      <c r="I320" s="15" t="n"/>
    </row>
    <row r="321">
      <c r="A321" s="15" t="n"/>
      <c r="B321" s="15" t="n"/>
      <c r="C321" s="15" t="n"/>
      <c r="D321" s="16" t="n"/>
      <c r="E321" s="16" t="n"/>
      <c r="F321" s="15" t="n"/>
      <c r="G321" s="15">
        <f>IF(D321="","",MAX(0,IF(E321&lt;&gt;"",E321-D321,IF(F321="Completed",0,TODAY()-D321))))</f>
        <v/>
      </c>
      <c r="H321" s="15" t="n"/>
      <c r="I321" s="15" t="n"/>
    </row>
    <row r="322">
      <c r="A322" s="15" t="n"/>
      <c r="B322" s="15" t="n"/>
      <c r="C322" s="15" t="n"/>
      <c r="D322" s="16" t="n"/>
      <c r="E322" s="16" t="n"/>
      <c r="F322" s="15" t="n"/>
      <c r="G322" s="15">
        <f>IF(D322="","",MAX(0,IF(E322&lt;&gt;"",E322-D322,IF(F322="Completed",0,TODAY()-D322))))</f>
        <v/>
      </c>
      <c r="H322" s="15" t="n"/>
      <c r="I322" s="15" t="n"/>
    </row>
    <row r="323">
      <c r="A323" s="15" t="n"/>
      <c r="B323" s="15" t="n"/>
      <c r="C323" s="15" t="n"/>
      <c r="D323" s="16" t="n"/>
      <c r="E323" s="16" t="n"/>
      <c r="F323" s="15" t="n"/>
      <c r="G323" s="15">
        <f>IF(D323="","",MAX(0,IF(E323&lt;&gt;"",E323-D323,IF(F323="Completed",0,TODAY()-D323))))</f>
        <v/>
      </c>
      <c r="H323" s="15" t="n"/>
      <c r="I323" s="15" t="n"/>
    </row>
    <row r="324">
      <c r="A324" s="15" t="n"/>
      <c r="B324" s="15" t="n"/>
      <c r="C324" s="15" t="n"/>
      <c r="D324" s="16" t="n"/>
      <c r="E324" s="16" t="n"/>
      <c r="F324" s="15" t="n"/>
      <c r="G324" s="15">
        <f>IF(D324="","",MAX(0,IF(E324&lt;&gt;"",E324-D324,IF(F324="Completed",0,TODAY()-D324))))</f>
        <v/>
      </c>
      <c r="H324" s="15" t="n"/>
      <c r="I324" s="15" t="n"/>
    </row>
    <row r="325">
      <c r="A325" s="15" t="n"/>
      <c r="B325" s="15" t="n"/>
      <c r="C325" s="15" t="n"/>
      <c r="D325" s="16" t="n"/>
      <c r="E325" s="16" t="n"/>
      <c r="F325" s="15" t="n"/>
      <c r="G325" s="15">
        <f>IF(D325="","",MAX(0,IF(E325&lt;&gt;"",E325-D325,IF(F325="Completed",0,TODAY()-D325))))</f>
        <v/>
      </c>
      <c r="H325" s="15" t="n"/>
      <c r="I325" s="15" t="n"/>
    </row>
    <row r="326">
      <c r="A326" s="15" t="n"/>
      <c r="B326" s="15" t="n"/>
      <c r="C326" s="15" t="n"/>
      <c r="D326" s="16" t="n"/>
      <c r="E326" s="16" t="n"/>
      <c r="F326" s="15" t="n"/>
      <c r="G326" s="15">
        <f>IF(D326="","",MAX(0,IF(E326&lt;&gt;"",E326-D326,IF(F326="Completed",0,TODAY()-D326))))</f>
        <v/>
      </c>
      <c r="H326" s="15" t="n"/>
      <c r="I326" s="15" t="n"/>
    </row>
    <row r="327">
      <c r="A327" s="15" t="n"/>
      <c r="B327" s="15" t="n"/>
      <c r="C327" s="15" t="n"/>
      <c r="D327" s="16" t="n"/>
      <c r="E327" s="16" t="n"/>
      <c r="F327" s="15" t="n"/>
      <c r="G327" s="15">
        <f>IF(D327="","",MAX(0,IF(E327&lt;&gt;"",E327-D327,IF(F327="Completed",0,TODAY()-D327))))</f>
        <v/>
      </c>
      <c r="H327" s="15" t="n"/>
      <c r="I327" s="15" t="n"/>
    </row>
    <row r="328">
      <c r="A328" s="15" t="n"/>
      <c r="B328" s="15" t="n"/>
      <c r="C328" s="15" t="n"/>
      <c r="D328" s="16" t="n"/>
      <c r="E328" s="16" t="n"/>
      <c r="F328" s="15" t="n"/>
      <c r="G328" s="15">
        <f>IF(D328="","",MAX(0,IF(E328&lt;&gt;"",E328-D328,IF(F328="Completed",0,TODAY()-D328))))</f>
        <v/>
      </c>
      <c r="H328" s="15" t="n"/>
      <c r="I328" s="15" t="n"/>
    </row>
    <row r="329">
      <c r="A329" s="15" t="n"/>
      <c r="B329" s="15" t="n"/>
      <c r="C329" s="15" t="n"/>
      <c r="D329" s="16" t="n"/>
      <c r="E329" s="16" t="n"/>
      <c r="F329" s="15" t="n"/>
      <c r="G329" s="15">
        <f>IF(D329="","",MAX(0,IF(E329&lt;&gt;"",E329-D329,IF(F329="Completed",0,TODAY()-D329))))</f>
        <v/>
      </c>
      <c r="H329" s="15" t="n"/>
      <c r="I329" s="15" t="n"/>
    </row>
    <row r="330">
      <c r="A330" s="15" t="n"/>
      <c r="B330" s="15" t="n"/>
      <c r="C330" s="15" t="n"/>
      <c r="D330" s="16" t="n"/>
      <c r="E330" s="16" t="n"/>
      <c r="F330" s="15" t="n"/>
      <c r="G330" s="15">
        <f>IF(D330="","",MAX(0,IF(E330&lt;&gt;"",E330-D330,IF(F330="Completed",0,TODAY()-D330))))</f>
        <v/>
      </c>
      <c r="H330" s="15" t="n"/>
      <c r="I330" s="15" t="n"/>
    </row>
    <row r="331">
      <c r="A331" s="15" t="n"/>
      <c r="B331" s="15" t="n"/>
      <c r="C331" s="15" t="n"/>
      <c r="D331" s="16" t="n"/>
      <c r="E331" s="16" t="n"/>
      <c r="F331" s="15" t="n"/>
      <c r="G331" s="15">
        <f>IF(D331="","",MAX(0,IF(E331&lt;&gt;"",E331-D331,IF(F331="Completed",0,TODAY()-D331))))</f>
        <v/>
      </c>
      <c r="H331" s="15" t="n"/>
      <c r="I331" s="15" t="n"/>
    </row>
    <row r="332">
      <c r="A332" s="15" t="n"/>
      <c r="B332" s="15" t="n"/>
      <c r="C332" s="15" t="n"/>
      <c r="D332" s="16" t="n"/>
      <c r="E332" s="16" t="n"/>
      <c r="F332" s="15" t="n"/>
      <c r="G332" s="15">
        <f>IF(D332="","",MAX(0,IF(E332&lt;&gt;"",E332-D332,IF(F332="Completed",0,TODAY()-D332))))</f>
        <v/>
      </c>
      <c r="H332" s="15" t="n"/>
      <c r="I332" s="15" t="n"/>
    </row>
    <row r="333">
      <c r="A333" s="15" t="n"/>
      <c r="B333" s="15" t="n"/>
      <c r="C333" s="15" t="n"/>
      <c r="D333" s="16" t="n"/>
      <c r="E333" s="16" t="n"/>
      <c r="F333" s="15" t="n"/>
      <c r="G333" s="15">
        <f>IF(D333="","",MAX(0,IF(E333&lt;&gt;"",E333-D333,IF(F333="Completed",0,TODAY()-D333))))</f>
        <v/>
      </c>
      <c r="H333" s="15" t="n"/>
      <c r="I333" s="15" t="n"/>
    </row>
    <row r="334">
      <c r="A334" s="15" t="n"/>
      <c r="B334" s="15" t="n"/>
      <c r="C334" s="15" t="n"/>
      <c r="D334" s="16" t="n"/>
      <c r="E334" s="16" t="n"/>
      <c r="F334" s="15" t="n"/>
      <c r="G334" s="15">
        <f>IF(D334="","",MAX(0,IF(E334&lt;&gt;"",E334-D334,IF(F334="Completed",0,TODAY()-D334))))</f>
        <v/>
      </c>
      <c r="H334" s="15" t="n"/>
      <c r="I334" s="15" t="n"/>
    </row>
    <row r="335">
      <c r="A335" s="15" t="n"/>
      <c r="B335" s="15" t="n"/>
      <c r="C335" s="15" t="n"/>
      <c r="D335" s="16" t="n"/>
      <c r="E335" s="16" t="n"/>
      <c r="F335" s="15" t="n"/>
      <c r="G335" s="15">
        <f>IF(D335="","",MAX(0,IF(E335&lt;&gt;"",E335-D335,IF(F335="Completed",0,TODAY()-D335))))</f>
        <v/>
      </c>
      <c r="H335" s="15" t="n"/>
      <c r="I335" s="15" t="n"/>
    </row>
    <row r="336">
      <c r="A336" s="15" t="n"/>
      <c r="B336" s="15" t="n"/>
      <c r="C336" s="15" t="n"/>
      <c r="D336" s="16" t="n"/>
      <c r="E336" s="16" t="n"/>
      <c r="F336" s="15" t="n"/>
      <c r="G336" s="15">
        <f>IF(D336="","",MAX(0,IF(E336&lt;&gt;"",E336-D336,IF(F336="Completed",0,TODAY()-D336))))</f>
        <v/>
      </c>
      <c r="H336" s="15" t="n"/>
      <c r="I336" s="15" t="n"/>
    </row>
    <row r="337">
      <c r="A337" s="15" t="n"/>
      <c r="B337" s="15" t="n"/>
      <c r="C337" s="15" t="n"/>
      <c r="D337" s="16" t="n"/>
      <c r="E337" s="16" t="n"/>
      <c r="F337" s="15" t="n"/>
      <c r="G337" s="15">
        <f>IF(D337="","",MAX(0,IF(E337&lt;&gt;"",E337-D337,IF(F337="Completed",0,TODAY()-D337))))</f>
        <v/>
      </c>
      <c r="H337" s="15" t="n"/>
      <c r="I337" s="15" t="n"/>
    </row>
    <row r="338">
      <c r="A338" s="15" t="n"/>
      <c r="B338" s="15" t="n"/>
      <c r="C338" s="15" t="n"/>
      <c r="D338" s="16" t="n"/>
      <c r="E338" s="16" t="n"/>
      <c r="F338" s="15" t="n"/>
      <c r="G338" s="15">
        <f>IF(D338="","",MAX(0,IF(E338&lt;&gt;"",E338-D338,IF(F338="Completed",0,TODAY()-D338))))</f>
        <v/>
      </c>
      <c r="H338" s="15" t="n"/>
      <c r="I338" s="15" t="n"/>
    </row>
    <row r="339">
      <c r="A339" s="15" t="n"/>
      <c r="B339" s="15" t="n"/>
      <c r="C339" s="15" t="n"/>
      <c r="D339" s="16" t="n"/>
      <c r="E339" s="16" t="n"/>
      <c r="F339" s="15" t="n"/>
      <c r="G339" s="15">
        <f>IF(D339="","",MAX(0,IF(E339&lt;&gt;"",E339-D339,IF(F339="Completed",0,TODAY()-D339))))</f>
        <v/>
      </c>
      <c r="H339" s="15" t="n"/>
      <c r="I339" s="15" t="n"/>
    </row>
    <row r="340">
      <c r="A340" s="15" t="n"/>
      <c r="B340" s="15" t="n"/>
      <c r="C340" s="15" t="n"/>
      <c r="D340" s="16" t="n"/>
      <c r="E340" s="16" t="n"/>
      <c r="F340" s="15" t="n"/>
      <c r="G340" s="15">
        <f>IF(D340="","",MAX(0,IF(E340&lt;&gt;"",E340-D340,IF(F340="Completed",0,TODAY()-D340))))</f>
        <v/>
      </c>
      <c r="H340" s="15" t="n"/>
      <c r="I340" s="15" t="n"/>
    </row>
    <row r="341">
      <c r="A341" s="15" t="n"/>
      <c r="B341" s="15" t="n"/>
      <c r="C341" s="15" t="n"/>
      <c r="D341" s="16" t="n"/>
      <c r="E341" s="16" t="n"/>
      <c r="F341" s="15" t="n"/>
      <c r="G341" s="15">
        <f>IF(D341="","",MAX(0,IF(E341&lt;&gt;"",E341-D341,IF(F341="Completed",0,TODAY()-D341))))</f>
        <v/>
      </c>
      <c r="H341" s="15" t="n"/>
      <c r="I341" s="15" t="n"/>
    </row>
    <row r="342">
      <c r="A342" s="15" t="n"/>
      <c r="B342" s="15" t="n"/>
      <c r="C342" s="15" t="n"/>
      <c r="D342" s="16" t="n"/>
      <c r="E342" s="16" t="n"/>
      <c r="F342" s="15" t="n"/>
      <c r="G342" s="15">
        <f>IF(D342="","",MAX(0,IF(E342&lt;&gt;"",E342-D342,IF(F342="Completed",0,TODAY()-D342))))</f>
        <v/>
      </c>
      <c r="H342" s="15" t="n"/>
      <c r="I342" s="15" t="n"/>
    </row>
    <row r="343">
      <c r="A343" s="15" t="n"/>
      <c r="B343" s="15" t="n"/>
      <c r="C343" s="15" t="n"/>
      <c r="D343" s="16" t="n"/>
      <c r="E343" s="16" t="n"/>
      <c r="F343" s="15" t="n"/>
      <c r="G343" s="15">
        <f>IF(D343="","",MAX(0,IF(E343&lt;&gt;"",E343-D343,IF(F343="Completed",0,TODAY()-D343))))</f>
        <v/>
      </c>
      <c r="H343" s="15" t="n"/>
      <c r="I343" s="15" t="n"/>
    </row>
    <row r="344">
      <c r="A344" s="15" t="n"/>
      <c r="B344" s="15" t="n"/>
      <c r="C344" s="15" t="n"/>
      <c r="D344" s="16" t="n"/>
      <c r="E344" s="16" t="n"/>
      <c r="F344" s="15" t="n"/>
      <c r="G344" s="15">
        <f>IF(D344="","",MAX(0,IF(E344&lt;&gt;"",E344-D344,IF(F344="Completed",0,TODAY()-D344))))</f>
        <v/>
      </c>
      <c r="H344" s="15" t="n"/>
      <c r="I344" s="15" t="n"/>
    </row>
    <row r="345">
      <c r="A345" s="15" t="n"/>
      <c r="B345" s="15" t="n"/>
      <c r="C345" s="15" t="n"/>
      <c r="D345" s="16" t="n"/>
      <c r="E345" s="16" t="n"/>
      <c r="F345" s="15" t="n"/>
      <c r="G345" s="15">
        <f>IF(D345="","",MAX(0,IF(E345&lt;&gt;"",E345-D345,IF(F345="Completed",0,TODAY()-D345))))</f>
        <v/>
      </c>
      <c r="H345" s="15" t="n"/>
      <c r="I345" s="15" t="n"/>
    </row>
    <row r="346">
      <c r="A346" s="15" t="n"/>
      <c r="B346" s="15" t="n"/>
      <c r="C346" s="15" t="n"/>
      <c r="D346" s="16" t="n"/>
      <c r="E346" s="16" t="n"/>
      <c r="F346" s="15" t="n"/>
      <c r="G346" s="15">
        <f>IF(D346="","",MAX(0,IF(E346&lt;&gt;"",E346-D346,IF(F346="Completed",0,TODAY()-D346))))</f>
        <v/>
      </c>
      <c r="H346" s="15" t="n"/>
      <c r="I346" s="15" t="n"/>
    </row>
    <row r="347">
      <c r="A347" s="15" t="n"/>
      <c r="B347" s="15" t="n"/>
      <c r="C347" s="15" t="n"/>
      <c r="D347" s="16" t="n"/>
      <c r="E347" s="16" t="n"/>
      <c r="F347" s="15" t="n"/>
      <c r="G347" s="15">
        <f>IF(D347="","",MAX(0,IF(E347&lt;&gt;"",E347-D347,IF(F347="Completed",0,TODAY()-D347))))</f>
        <v/>
      </c>
      <c r="H347" s="15" t="n"/>
      <c r="I347" s="15" t="n"/>
    </row>
    <row r="348">
      <c r="A348" s="15" t="n"/>
      <c r="B348" s="15" t="n"/>
      <c r="C348" s="15" t="n"/>
      <c r="D348" s="16" t="n"/>
      <c r="E348" s="16" t="n"/>
      <c r="F348" s="15" t="n"/>
      <c r="G348" s="15">
        <f>IF(D348="","",MAX(0,IF(E348&lt;&gt;"",E348-D348,IF(F348="Completed",0,TODAY()-D348))))</f>
        <v/>
      </c>
      <c r="H348" s="15" t="n"/>
      <c r="I348" s="15" t="n"/>
    </row>
    <row r="349">
      <c r="A349" s="15" t="n"/>
      <c r="B349" s="15" t="n"/>
      <c r="C349" s="15" t="n"/>
      <c r="D349" s="16" t="n"/>
      <c r="E349" s="16" t="n"/>
      <c r="F349" s="15" t="n"/>
      <c r="G349" s="15">
        <f>IF(D349="","",MAX(0,IF(E349&lt;&gt;"",E349-D349,IF(F349="Completed",0,TODAY()-D349))))</f>
        <v/>
      </c>
      <c r="H349" s="15" t="n"/>
      <c r="I349" s="15" t="n"/>
    </row>
    <row r="350">
      <c r="A350" s="15" t="n"/>
      <c r="B350" s="15" t="n"/>
      <c r="C350" s="15" t="n"/>
      <c r="D350" s="16" t="n"/>
      <c r="E350" s="16" t="n"/>
      <c r="F350" s="15" t="n"/>
      <c r="G350" s="15">
        <f>IF(D350="","",MAX(0,IF(E350&lt;&gt;"",E350-D350,IF(F350="Completed",0,TODAY()-D350))))</f>
        <v/>
      </c>
      <c r="H350" s="15" t="n"/>
      <c r="I350" s="15" t="n"/>
    </row>
    <row r="351">
      <c r="D351" s="27" t="n"/>
      <c r="E351" s="27" t="n"/>
    </row>
    <row r="352">
      <c r="D352" s="27" t="n"/>
      <c r="E352" s="27" t="n"/>
    </row>
    <row r="353">
      <c r="D353" s="27" t="n"/>
      <c r="E353" s="27" t="n"/>
    </row>
    <row r="354">
      <c r="D354" s="27" t="n"/>
      <c r="E354" s="27" t="n"/>
    </row>
    <row r="355">
      <c r="D355" s="27" t="n"/>
      <c r="E355" s="27" t="n"/>
    </row>
    <row r="356">
      <c r="D356" s="27" t="n"/>
      <c r="E356" s="27" t="n"/>
    </row>
    <row r="357">
      <c r="D357" s="27" t="n"/>
      <c r="E357" s="27" t="n"/>
    </row>
    <row r="358">
      <c r="D358" s="27" t="n"/>
      <c r="E358" s="27" t="n"/>
    </row>
    <row r="359">
      <c r="D359" s="27" t="n"/>
      <c r="E359" s="27" t="n"/>
    </row>
    <row r="360">
      <c r="D360" s="27" t="n"/>
      <c r="E360" s="27" t="n"/>
    </row>
    <row r="361">
      <c r="D361" s="27" t="n"/>
      <c r="E361" s="27" t="n"/>
    </row>
    <row r="362">
      <c r="D362" s="27" t="n"/>
      <c r="E362" s="27" t="n"/>
    </row>
    <row r="363">
      <c r="D363" s="27" t="n"/>
      <c r="E363" s="27" t="n"/>
    </row>
    <row r="364">
      <c r="D364" s="27" t="n"/>
      <c r="E364" s="27" t="n"/>
    </row>
    <row r="365">
      <c r="D365" s="27" t="n"/>
      <c r="E365" s="27" t="n"/>
    </row>
    <row r="366">
      <c r="D366" s="27" t="n"/>
      <c r="E366" s="27" t="n"/>
    </row>
    <row r="367">
      <c r="D367" s="27" t="n"/>
      <c r="E367" s="27" t="n"/>
    </row>
    <row r="368">
      <c r="D368" s="27" t="n"/>
      <c r="E368" s="27" t="n"/>
    </row>
    <row r="369">
      <c r="D369" s="27" t="n"/>
      <c r="E369" s="27" t="n"/>
    </row>
    <row r="370">
      <c r="D370" s="27" t="n"/>
      <c r="E370" s="27" t="n"/>
    </row>
    <row r="371">
      <c r="D371" s="27" t="n"/>
      <c r="E371" s="27" t="n"/>
    </row>
    <row r="372">
      <c r="D372" s="27" t="n"/>
      <c r="E372" s="27" t="n"/>
    </row>
    <row r="373">
      <c r="D373" s="27" t="n"/>
      <c r="E373" s="27" t="n"/>
    </row>
    <row r="374">
      <c r="D374" s="27" t="n"/>
      <c r="E374" s="27" t="n"/>
    </row>
    <row r="375">
      <c r="D375" s="27" t="n"/>
      <c r="E375" s="27" t="n"/>
    </row>
    <row r="376">
      <c r="D376" s="27" t="n"/>
      <c r="E376" s="27" t="n"/>
    </row>
    <row r="377">
      <c r="D377" s="27" t="n"/>
      <c r="E377" s="27" t="n"/>
    </row>
    <row r="378">
      <c r="D378" s="27" t="n"/>
      <c r="E378" s="27" t="n"/>
    </row>
    <row r="379">
      <c r="D379" s="27" t="n"/>
      <c r="E379" s="27" t="n"/>
    </row>
    <row r="380">
      <c r="D380" s="27" t="n"/>
      <c r="E380" s="27" t="n"/>
    </row>
    <row r="381">
      <c r="D381" s="27" t="n"/>
      <c r="E381" s="27" t="n"/>
    </row>
    <row r="382">
      <c r="D382" s="27" t="n"/>
      <c r="E382" s="27" t="n"/>
    </row>
    <row r="383">
      <c r="D383" s="27" t="n"/>
      <c r="E383" s="27" t="n"/>
    </row>
    <row r="384">
      <c r="D384" s="27" t="n"/>
      <c r="E384" s="27" t="n"/>
    </row>
    <row r="385">
      <c r="D385" s="27" t="n"/>
      <c r="E385" s="27" t="n"/>
    </row>
    <row r="386">
      <c r="D386" s="27" t="n"/>
      <c r="E386" s="27" t="n"/>
    </row>
    <row r="387">
      <c r="D387" s="27" t="n"/>
      <c r="E387" s="27" t="n"/>
    </row>
    <row r="388">
      <c r="D388" s="27" t="n"/>
      <c r="E388" s="27" t="n"/>
    </row>
    <row r="389">
      <c r="D389" s="27" t="n"/>
      <c r="E389" s="27" t="n"/>
    </row>
    <row r="390">
      <c r="D390" s="27" t="n"/>
      <c r="E390" s="27" t="n"/>
    </row>
    <row r="391">
      <c r="D391" s="27" t="n"/>
      <c r="E391" s="27" t="n"/>
    </row>
    <row r="392">
      <c r="D392" s="27" t="n"/>
      <c r="E392" s="27" t="n"/>
    </row>
    <row r="393">
      <c r="D393" s="27" t="n"/>
      <c r="E393" s="27" t="n"/>
    </row>
    <row r="394">
      <c r="D394" s="27" t="n"/>
      <c r="E394" s="27" t="n"/>
    </row>
    <row r="395">
      <c r="D395" s="27" t="n"/>
      <c r="E395" s="27" t="n"/>
    </row>
    <row r="396">
      <c r="D396" s="27" t="n"/>
      <c r="E396" s="27" t="n"/>
    </row>
    <row r="397">
      <c r="D397" s="27" t="n"/>
      <c r="E397" s="27" t="n"/>
    </row>
    <row r="398">
      <c r="D398" s="27" t="n"/>
      <c r="E398" s="27" t="n"/>
    </row>
    <row r="399">
      <c r="D399" s="27" t="n"/>
      <c r="E399" s="27" t="n"/>
    </row>
    <row r="400">
      <c r="D400" s="27" t="n"/>
      <c r="E400" s="27" t="n"/>
    </row>
    <row r="401">
      <c r="D401" s="27" t="n"/>
      <c r="E401" s="27" t="n"/>
    </row>
    <row r="402">
      <c r="D402" s="27" t="n"/>
      <c r="E402" s="27" t="n"/>
    </row>
    <row r="403">
      <c r="D403" s="27" t="n"/>
      <c r="E403" s="27" t="n"/>
    </row>
    <row r="404">
      <c r="D404" s="27" t="n"/>
      <c r="E404" s="27" t="n"/>
    </row>
    <row r="405">
      <c r="D405" s="27" t="n"/>
      <c r="E405" s="27" t="n"/>
    </row>
    <row r="406">
      <c r="D406" s="27" t="n"/>
      <c r="E406" s="27" t="n"/>
    </row>
    <row r="407">
      <c r="D407" s="27" t="n"/>
      <c r="E407" s="27" t="n"/>
    </row>
    <row r="408">
      <c r="D408" s="27" t="n"/>
      <c r="E408" s="27" t="n"/>
    </row>
    <row r="409">
      <c r="D409" s="27" t="n"/>
      <c r="E409" s="27" t="n"/>
    </row>
    <row r="410">
      <c r="D410" s="27" t="n"/>
      <c r="E410" s="27" t="n"/>
    </row>
    <row r="411">
      <c r="D411" s="27" t="n"/>
      <c r="E411" s="27" t="n"/>
    </row>
    <row r="412">
      <c r="D412" s="27" t="n"/>
      <c r="E412" s="27" t="n"/>
    </row>
    <row r="413">
      <c r="D413" s="27" t="n"/>
      <c r="E413" s="27" t="n"/>
    </row>
    <row r="414">
      <c r="D414" s="27" t="n"/>
      <c r="E414" s="27" t="n"/>
    </row>
    <row r="415">
      <c r="D415" s="27" t="n"/>
      <c r="E415" s="27" t="n"/>
    </row>
    <row r="416">
      <c r="D416" s="27" t="n"/>
      <c r="E416" s="27" t="n"/>
    </row>
    <row r="417">
      <c r="D417" s="27" t="n"/>
      <c r="E417" s="27" t="n"/>
    </row>
    <row r="418">
      <c r="D418" s="27" t="n"/>
      <c r="E418" s="27" t="n"/>
    </row>
    <row r="419">
      <c r="D419" s="27" t="n"/>
      <c r="E419" s="27" t="n"/>
    </row>
    <row r="420">
      <c r="D420" s="27" t="n"/>
      <c r="E420" s="27" t="n"/>
    </row>
    <row r="421">
      <c r="D421" s="27" t="n"/>
      <c r="E421" s="27" t="n"/>
    </row>
    <row r="422">
      <c r="D422" s="27" t="n"/>
      <c r="E422" s="27" t="n"/>
    </row>
    <row r="423">
      <c r="D423" s="27" t="n"/>
      <c r="E423" s="27" t="n"/>
    </row>
    <row r="424">
      <c r="D424" s="27" t="n"/>
      <c r="E424" s="27" t="n"/>
    </row>
    <row r="425">
      <c r="D425" s="27" t="n"/>
      <c r="E425" s="27" t="n"/>
    </row>
    <row r="426">
      <c r="D426" s="27" t="n"/>
      <c r="E426" s="27" t="n"/>
    </row>
    <row r="427">
      <c r="D427" s="27" t="n"/>
      <c r="E427" s="27" t="n"/>
    </row>
    <row r="428">
      <c r="D428" s="27" t="n"/>
      <c r="E428" s="27" t="n"/>
    </row>
    <row r="429">
      <c r="D429" s="27" t="n"/>
      <c r="E429" s="27" t="n"/>
    </row>
    <row r="430">
      <c r="D430" s="27" t="n"/>
      <c r="E430" s="27" t="n"/>
    </row>
    <row r="431">
      <c r="D431" s="27" t="n"/>
      <c r="E431" s="27" t="n"/>
    </row>
    <row r="432">
      <c r="D432" s="27" t="n"/>
      <c r="E432" s="27" t="n"/>
    </row>
    <row r="433">
      <c r="D433" s="27" t="n"/>
      <c r="E433" s="27" t="n"/>
    </row>
    <row r="434">
      <c r="D434" s="27" t="n"/>
      <c r="E434" s="27" t="n"/>
    </row>
    <row r="435">
      <c r="D435" s="27" t="n"/>
      <c r="E435" s="27" t="n"/>
    </row>
    <row r="436">
      <c r="D436" s="27" t="n"/>
      <c r="E436" s="27" t="n"/>
    </row>
    <row r="437">
      <c r="D437" s="27" t="n"/>
      <c r="E437" s="27" t="n"/>
    </row>
    <row r="438">
      <c r="D438" s="27" t="n"/>
      <c r="E438" s="27" t="n"/>
    </row>
    <row r="439">
      <c r="D439" s="27" t="n"/>
      <c r="E439" s="27" t="n"/>
    </row>
    <row r="440">
      <c r="D440" s="27" t="n"/>
      <c r="E440" s="27" t="n"/>
    </row>
    <row r="441">
      <c r="D441" s="27" t="n"/>
      <c r="E441" s="27" t="n"/>
    </row>
    <row r="442">
      <c r="D442" s="27" t="n"/>
      <c r="E442" s="27" t="n"/>
    </row>
    <row r="443">
      <c r="D443" s="27" t="n"/>
      <c r="E443" s="27" t="n"/>
    </row>
    <row r="444">
      <c r="D444" s="27" t="n"/>
      <c r="E444" s="27" t="n"/>
    </row>
    <row r="445">
      <c r="D445" s="27" t="n"/>
      <c r="E445" s="27" t="n"/>
    </row>
    <row r="446">
      <c r="D446" s="27" t="n"/>
      <c r="E446" s="27" t="n"/>
    </row>
    <row r="447">
      <c r="D447" s="27" t="n"/>
      <c r="E447" s="27" t="n"/>
    </row>
    <row r="448">
      <c r="D448" s="27" t="n"/>
      <c r="E448" s="27" t="n"/>
    </row>
    <row r="449">
      <c r="D449" s="27" t="n"/>
      <c r="E449" s="27" t="n"/>
    </row>
    <row r="450">
      <c r="D450" s="27" t="n"/>
      <c r="E450" s="27" t="n"/>
    </row>
    <row r="451">
      <c r="D451" s="27" t="n"/>
      <c r="E451" s="27" t="n"/>
    </row>
    <row r="452">
      <c r="D452" s="27" t="n"/>
      <c r="E452" s="27" t="n"/>
    </row>
    <row r="453">
      <c r="D453" s="27" t="n"/>
      <c r="E453" s="27" t="n"/>
    </row>
    <row r="454">
      <c r="D454" s="27" t="n"/>
      <c r="E454" s="27" t="n"/>
    </row>
    <row r="455">
      <c r="D455" s="27" t="n"/>
      <c r="E455" s="27" t="n"/>
    </row>
    <row r="456">
      <c r="D456" s="27" t="n"/>
      <c r="E456" s="27" t="n"/>
    </row>
    <row r="457">
      <c r="D457" s="27" t="n"/>
      <c r="E457" s="27" t="n"/>
    </row>
    <row r="458">
      <c r="D458" s="27" t="n"/>
      <c r="E458" s="27" t="n"/>
    </row>
    <row r="459">
      <c r="D459" s="27" t="n"/>
      <c r="E459" s="27" t="n"/>
    </row>
    <row r="460">
      <c r="D460" s="27" t="n"/>
      <c r="E460" s="27" t="n"/>
    </row>
    <row r="461">
      <c r="D461" s="27" t="n"/>
      <c r="E461" s="27" t="n"/>
    </row>
    <row r="462">
      <c r="D462" s="27" t="n"/>
      <c r="E462" s="27" t="n"/>
    </row>
    <row r="463">
      <c r="D463" s="27" t="n"/>
      <c r="E463" s="27" t="n"/>
    </row>
    <row r="464">
      <c r="D464" s="27" t="n"/>
      <c r="E464" s="27" t="n"/>
    </row>
    <row r="465">
      <c r="D465" s="27" t="n"/>
      <c r="E465" s="27" t="n"/>
    </row>
    <row r="466">
      <c r="D466" s="27" t="n"/>
      <c r="E466" s="27" t="n"/>
    </row>
    <row r="467">
      <c r="D467" s="27" t="n"/>
      <c r="E467" s="27" t="n"/>
    </row>
    <row r="468">
      <c r="D468" s="27" t="n"/>
      <c r="E468" s="27" t="n"/>
    </row>
    <row r="469">
      <c r="D469" s="27" t="n"/>
      <c r="E469" s="27" t="n"/>
    </row>
    <row r="470">
      <c r="D470" s="27" t="n"/>
      <c r="E470" s="27" t="n"/>
    </row>
    <row r="471">
      <c r="D471" s="27" t="n"/>
      <c r="E471" s="27" t="n"/>
    </row>
    <row r="472">
      <c r="D472" s="27" t="n"/>
      <c r="E472" s="27" t="n"/>
    </row>
    <row r="473">
      <c r="D473" s="27" t="n"/>
      <c r="E473" s="27" t="n"/>
    </row>
    <row r="474">
      <c r="D474" s="27" t="n"/>
      <c r="E474" s="27" t="n"/>
    </row>
    <row r="475">
      <c r="D475" s="27" t="n"/>
      <c r="E475" s="27" t="n"/>
    </row>
    <row r="476">
      <c r="D476" s="27" t="n"/>
      <c r="E476" s="27" t="n"/>
    </row>
    <row r="477">
      <c r="D477" s="27" t="n"/>
      <c r="E477" s="27" t="n"/>
    </row>
    <row r="478">
      <c r="D478" s="27" t="n"/>
      <c r="E478" s="27" t="n"/>
    </row>
    <row r="479">
      <c r="D479" s="27" t="n"/>
      <c r="E479" s="27" t="n"/>
    </row>
    <row r="480">
      <c r="D480" s="27" t="n"/>
      <c r="E480" s="27" t="n"/>
    </row>
    <row r="481">
      <c r="D481" s="27" t="n"/>
      <c r="E481" s="27" t="n"/>
    </row>
    <row r="482">
      <c r="D482" s="27" t="n"/>
      <c r="E482" s="27" t="n"/>
    </row>
    <row r="483">
      <c r="D483" s="27" t="n"/>
      <c r="E483" s="27" t="n"/>
    </row>
    <row r="484">
      <c r="D484" s="27" t="n"/>
      <c r="E484" s="27" t="n"/>
    </row>
    <row r="485">
      <c r="D485" s="27" t="n"/>
      <c r="E485" s="27" t="n"/>
    </row>
    <row r="486">
      <c r="D486" s="27" t="n"/>
      <c r="E486" s="27" t="n"/>
    </row>
    <row r="487">
      <c r="D487" s="27" t="n"/>
      <c r="E487" s="27" t="n"/>
    </row>
    <row r="488">
      <c r="D488" s="27" t="n"/>
      <c r="E488" s="27" t="n"/>
    </row>
    <row r="489">
      <c r="D489" s="27" t="n"/>
      <c r="E489" s="27" t="n"/>
    </row>
    <row r="490">
      <c r="D490" s="27" t="n"/>
      <c r="E490" s="27" t="n"/>
    </row>
    <row r="491">
      <c r="D491" s="27" t="n"/>
      <c r="E491" s="27" t="n"/>
    </row>
    <row r="492">
      <c r="D492" s="27" t="n"/>
      <c r="E492" s="27" t="n"/>
    </row>
    <row r="493">
      <c r="D493" s="27" t="n"/>
      <c r="E493" s="27" t="n"/>
    </row>
    <row r="494">
      <c r="D494" s="27" t="n"/>
      <c r="E494" s="27" t="n"/>
    </row>
    <row r="495">
      <c r="D495" s="27" t="n"/>
      <c r="E495" s="27" t="n"/>
    </row>
    <row r="496">
      <c r="D496" s="27" t="n"/>
      <c r="E496" s="27" t="n"/>
    </row>
    <row r="497">
      <c r="D497" s="27" t="n"/>
      <c r="E497" s="27" t="n"/>
    </row>
    <row r="498">
      <c r="D498" s="27" t="n"/>
      <c r="E498" s="27" t="n"/>
    </row>
    <row r="499">
      <c r="D499" s="27" t="n"/>
      <c r="E499" s="27" t="n"/>
    </row>
    <row r="500">
      <c r="D500" s="27" t="n"/>
      <c r="E500" s="27" t="n"/>
    </row>
    <row r="501">
      <c r="D501" s="27" t="n"/>
      <c r="E501" s="27" t="n"/>
    </row>
    <row r="502">
      <c r="D502" s="27" t="n"/>
      <c r="E502" s="27" t="n"/>
    </row>
    <row r="503">
      <c r="D503" s="27" t="n"/>
      <c r="E503" s="27" t="n"/>
    </row>
    <row r="504">
      <c r="D504" s="27" t="n"/>
      <c r="E504" s="27" t="n"/>
    </row>
    <row r="505">
      <c r="D505" s="27" t="n"/>
      <c r="E505" s="27" t="n"/>
    </row>
    <row r="506">
      <c r="D506" s="27" t="n"/>
      <c r="E506" s="27" t="n"/>
    </row>
    <row r="507">
      <c r="D507" s="27" t="n"/>
      <c r="E507" s="27" t="n"/>
    </row>
    <row r="508">
      <c r="D508" s="27" t="n"/>
      <c r="E508" s="27" t="n"/>
    </row>
    <row r="509">
      <c r="D509" s="27" t="n"/>
      <c r="E509" s="27" t="n"/>
    </row>
    <row r="510">
      <c r="D510" s="27" t="n"/>
      <c r="E510" s="27" t="n"/>
    </row>
    <row r="511">
      <c r="D511" s="27" t="n"/>
      <c r="E511" s="27" t="n"/>
    </row>
    <row r="512">
      <c r="D512" s="27" t="n"/>
      <c r="E512" s="27" t="n"/>
    </row>
    <row r="513">
      <c r="D513" s="27" t="n"/>
      <c r="E513" s="27" t="n"/>
    </row>
    <row r="514">
      <c r="D514" s="27" t="n"/>
      <c r="E514" s="27" t="n"/>
    </row>
    <row r="515">
      <c r="D515" s="27" t="n"/>
      <c r="E515" s="27" t="n"/>
    </row>
    <row r="516">
      <c r="D516" s="27" t="n"/>
      <c r="E516" s="27" t="n"/>
    </row>
    <row r="517">
      <c r="D517" s="27" t="n"/>
      <c r="E517" s="27" t="n"/>
    </row>
    <row r="518">
      <c r="D518" s="27" t="n"/>
      <c r="E518" s="27" t="n"/>
    </row>
    <row r="519">
      <c r="D519" s="27" t="n"/>
      <c r="E519" s="27" t="n"/>
    </row>
    <row r="520">
      <c r="D520" s="27" t="n"/>
      <c r="E520" s="27" t="n"/>
    </row>
    <row r="521">
      <c r="D521" s="27" t="n"/>
      <c r="E521" s="27" t="n"/>
    </row>
    <row r="522">
      <c r="D522" s="27" t="n"/>
      <c r="E522" s="27" t="n"/>
    </row>
    <row r="523">
      <c r="D523" s="27" t="n"/>
      <c r="E523" s="27" t="n"/>
    </row>
    <row r="524">
      <c r="D524" s="27" t="n"/>
      <c r="E524" s="27" t="n"/>
    </row>
    <row r="525">
      <c r="D525" s="27" t="n"/>
      <c r="E525" s="27" t="n"/>
    </row>
    <row r="526">
      <c r="D526" s="27" t="n"/>
      <c r="E526" s="27" t="n"/>
    </row>
    <row r="527">
      <c r="D527" s="27" t="n"/>
      <c r="E527" s="27" t="n"/>
    </row>
    <row r="528">
      <c r="D528" s="27" t="n"/>
      <c r="E528" s="27" t="n"/>
    </row>
    <row r="529">
      <c r="D529" s="27" t="n"/>
      <c r="E529" s="27" t="n"/>
    </row>
    <row r="530">
      <c r="D530" s="27" t="n"/>
      <c r="E530" s="27" t="n"/>
    </row>
    <row r="531">
      <c r="D531" s="27" t="n"/>
      <c r="E531" s="27" t="n"/>
    </row>
    <row r="532">
      <c r="D532" s="27" t="n"/>
      <c r="E532" s="27" t="n"/>
    </row>
    <row r="533">
      <c r="D533" s="27" t="n"/>
      <c r="E533" s="27" t="n"/>
    </row>
    <row r="534">
      <c r="D534" s="27" t="n"/>
      <c r="E534" s="27" t="n"/>
    </row>
    <row r="535">
      <c r="D535" s="27" t="n"/>
      <c r="E535" s="27" t="n"/>
    </row>
    <row r="536">
      <c r="D536" s="27" t="n"/>
      <c r="E536" s="27" t="n"/>
    </row>
    <row r="537">
      <c r="D537" s="27" t="n"/>
      <c r="E537" s="27" t="n"/>
    </row>
    <row r="538">
      <c r="D538" s="27" t="n"/>
      <c r="E538" s="27" t="n"/>
    </row>
    <row r="539">
      <c r="D539" s="27" t="n"/>
      <c r="E539" s="27" t="n"/>
    </row>
    <row r="540">
      <c r="D540" s="27" t="n"/>
      <c r="E540" s="27" t="n"/>
    </row>
    <row r="541">
      <c r="D541" s="27" t="n"/>
      <c r="E541" s="27" t="n"/>
    </row>
    <row r="542">
      <c r="D542" s="27" t="n"/>
      <c r="E542" s="27" t="n"/>
    </row>
    <row r="543">
      <c r="D543" s="27" t="n"/>
      <c r="E543" s="27" t="n"/>
    </row>
    <row r="544">
      <c r="D544" s="27" t="n"/>
      <c r="E544" s="27" t="n"/>
    </row>
    <row r="545">
      <c r="D545" s="27" t="n"/>
      <c r="E545" s="27" t="n"/>
    </row>
    <row r="546">
      <c r="D546" s="27" t="n"/>
      <c r="E546" s="27" t="n"/>
    </row>
    <row r="547">
      <c r="D547" s="27" t="n"/>
      <c r="E547" s="27" t="n"/>
    </row>
    <row r="548">
      <c r="D548" s="27" t="n"/>
      <c r="E548" s="27" t="n"/>
    </row>
    <row r="549">
      <c r="D549" s="27" t="n"/>
      <c r="E549" s="27" t="n"/>
    </row>
    <row r="550">
      <c r="D550" s="27" t="n"/>
      <c r="E550" s="27" t="n"/>
    </row>
    <row r="551">
      <c r="D551" s="27" t="n"/>
      <c r="E551" s="27" t="n"/>
    </row>
    <row r="552">
      <c r="D552" s="27" t="n"/>
      <c r="E552" s="27" t="n"/>
    </row>
    <row r="553">
      <c r="D553" s="27" t="n"/>
      <c r="E553" s="27" t="n"/>
    </row>
    <row r="554">
      <c r="D554" s="27" t="n"/>
      <c r="E554" s="27" t="n"/>
    </row>
    <row r="555">
      <c r="D555" s="27" t="n"/>
      <c r="E555" s="27" t="n"/>
    </row>
    <row r="556">
      <c r="D556" s="27" t="n"/>
      <c r="E556" s="27" t="n"/>
    </row>
    <row r="557">
      <c r="D557" s="27" t="n"/>
      <c r="E557" s="27" t="n"/>
    </row>
    <row r="558">
      <c r="D558" s="27" t="n"/>
      <c r="E558" s="27" t="n"/>
    </row>
    <row r="559">
      <c r="D559" s="27" t="n"/>
      <c r="E559" s="27" t="n"/>
    </row>
    <row r="560">
      <c r="D560" s="27" t="n"/>
      <c r="E560" s="27" t="n"/>
    </row>
    <row r="561">
      <c r="D561" s="27" t="n"/>
      <c r="E561" s="27" t="n"/>
    </row>
    <row r="562">
      <c r="D562" s="27" t="n"/>
      <c r="E562" s="27" t="n"/>
    </row>
    <row r="563">
      <c r="D563" s="27" t="n"/>
      <c r="E563" s="27" t="n"/>
    </row>
    <row r="564">
      <c r="D564" s="27" t="n"/>
      <c r="E564" s="27" t="n"/>
    </row>
    <row r="565">
      <c r="D565" s="27" t="n"/>
      <c r="E565" s="27" t="n"/>
    </row>
    <row r="566">
      <c r="D566" s="27" t="n"/>
      <c r="E566" s="27" t="n"/>
    </row>
    <row r="567">
      <c r="D567" s="27" t="n"/>
      <c r="E567" s="27" t="n"/>
    </row>
    <row r="568">
      <c r="D568" s="27" t="n"/>
      <c r="E568" s="27" t="n"/>
    </row>
    <row r="569">
      <c r="D569" s="27" t="n"/>
      <c r="E569" s="27" t="n"/>
    </row>
    <row r="570">
      <c r="D570" s="27" t="n"/>
      <c r="E570" s="27" t="n"/>
    </row>
    <row r="571">
      <c r="D571" s="27" t="n"/>
      <c r="E571" s="27" t="n"/>
    </row>
    <row r="572">
      <c r="D572" s="27" t="n"/>
      <c r="E572" s="27" t="n"/>
    </row>
    <row r="573">
      <c r="D573" s="27" t="n"/>
      <c r="E573" s="27" t="n"/>
    </row>
    <row r="574">
      <c r="D574" s="27" t="n"/>
      <c r="E574" s="27" t="n"/>
    </row>
    <row r="575">
      <c r="D575" s="27" t="n"/>
      <c r="E575" s="27" t="n"/>
    </row>
    <row r="576">
      <c r="D576" s="27" t="n"/>
      <c r="E576" s="27" t="n"/>
    </row>
    <row r="577">
      <c r="D577" s="27" t="n"/>
      <c r="E577" s="27" t="n"/>
    </row>
    <row r="578">
      <c r="D578" s="27" t="n"/>
      <c r="E578" s="27" t="n"/>
    </row>
    <row r="579">
      <c r="D579" s="27" t="n"/>
      <c r="E579" s="27" t="n"/>
    </row>
    <row r="580">
      <c r="D580" s="27" t="n"/>
      <c r="E580" s="27" t="n"/>
    </row>
    <row r="581">
      <c r="D581" s="27" t="n"/>
      <c r="E581" s="27" t="n"/>
    </row>
    <row r="582">
      <c r="D582" s="27" t="n"/>
      <c r="E582" s="27" t="n"/>
    </row>
    <row r="583">
      <c r="D583" s="27" t="n"/>
      <c r="E583" s="27" t="n"/>
    </row>
    <row r="584">
      <c r="D584" s="27" t="n"/>
      <c r="E584" s="27" t="n"/>
    </row>
    <row r="585">
      <c r="D585" s="27" t="n"/>
      <c r="E585" s="27" t="n"/>
    </row>
    <row r="586">
      <c r="D586" s="27" t="n"/>
      <c r="E586" s="27" t="n"/>
    </row>
    <row r="587">
      <c r="D587" s="27" t="n"/>
      <c r="E587" s="27" t="n"/>
    </row>
    <row r="588">
      <c r="D588" s="27" t="n"/>
      <c r="E588" s="27" t="n"/>
    </row>
    <row r="589">
      <c r="D589" s="27" t="n"/>
      <c r="E589" s="27" t="n"/>
    </row>
    <row r="590">
      <c r="D590" s="27" t="n"/>
      <c r="E590" s="27" t="n"/>
    </row>
    <row r="591">
      <c r="D591" s="27" t="n"/>
      <c r="E591" s="27" t="n"/>
    </row>
    <row r="592">
      <c r="D592" s="27" t="n"/>
      <c r="E592" s="27" t="n"/>
    </row>
    <row r="593">
      <c r="D593" s="27" t="n"/>
      <c r="E593" s="27" t="n"/>
    </row>
    <row r="594">
      <c r="D594" s="27" t="n"/>
      <c r="E594" s="27" t="n"/>
    </row>
    <row r="595">
      <c r="D595" s="27" t="n"/>
      <c r="E595" s="27" t="n"/>
    </row>
    <row r="596">
      <c r="D596" s="27" t="n"/>
      <c r="E596" s="27" t="n"/>
    </row>
    <row r="597">
      <c r="D597" s="27" t="n"/>
      <c r="E597" s="27" t="n"/>
    </row>
    <row r="598">
      <c r="D598" s="27" t="n"/>
      <c r="E598" s="27" t="n"/>
    </row>
    <row r="599">
      <c r="D599" s="27" t="n"/>
      <c r="E599" s="27" t="n"/>
    </row>
    <row r="600">
      <c r="D600" s="27" t="n"/>
      <c r="E600" s="27" t="n"/>
    </row>
    <row r="601">
      <c r="D601" s="27" t="n"/>
      <c r="E601" s="27" t="n"/>
    </row>
    <row r="602">
      <c r="D602" s="27" t="n"/>
      <c r="E602" s="27" t="n"/>
    </row>
    <row r="603">
      <c r="D603" s="27" t="n"/>
      <c r="E603" s="27" t="n"/>
    </row>
    <row r="604">
      <c r="D604" s="27" t="n"/>
      <c r="E604" s="27" t="n"/>
    </row>
    <row r="605">
      <c r="D605" s="27" t="n"/>
      <c r="E605" s="27" t="n"/>
    </row>
    <row r="606">
      <c r="D606" s="27" t="n"/>
      <c r="E606" s="27" t="n"/>
    </row>
    <row r="607">
      <c r="D607" s="27" t="n"/>
      <c r="E607" s="27" t="n"/>
    </row>
    <row r="608">
      <c r="D608" s="27" t="n"/>
      <c r="E608" s="27" t="n"/>
    </row>
    <row r="609">
      <c r="D609" s="27" t="n"/>
      <c r="E609" s="27" t="n"/>
    </row>
    <row r="610">
      <c r="D610" s="27" t="n"/>
      <c r="E610" s="27" t="n"/>
    </row>
    <row r="611">
      <c r="D611" s="27" t="n"/>
      <c r="E611" s="27" t="n"/>
    </row>
    <row r="612">
      <c r="D612" s="27" t="n"/>
      <c r="E612" s="27" t="n"/>
    </row>
    <row r="613">
      <c r="D613" s="27" t="n"/>
      <c r="E613" s="27" t="n"/>
    </row>
    <row r="614">
      <c r="D614" s="27" t="n"/>
      <c r="E614" s="27" t="n"/>
    </row>
    <row r="615">
      <c r="D615" s="27" t="n"/>
      <c r="E615" s="27" t="n"/>
    </row>
    <row r="616">
      <c r="D616" s="27" t="n"/>
      <c r="E616" s="27" t="n"/>
    </row>
    <row r="617">
      <c r="D617" s="27" t="n"/>
      <c r="E617" s="27" t="n"/>
    </row>
    <row r="618">
      <c r="D618" s="27" t="n"/>
      <c r="E618" s="27" t="n"/>
    </row>
    <row r="619">
      <c r="D619" s="27" t="n"/>
      <c r="E619" s="27" t="n"/>
    </row>
    <row r="620">
      <c r="D620" s="27" t="n"/>
      <c r="E620" s="27" t="n"/>
    </row>
    <row r="621">
      <c r="D621" s="27" t="n"/>
      <c r="E621" s="27" t="n"/>
    </row>
    <row r="622">
      <c r="D622" s="27" t="n"/>
      <c r="E622" s="27" t="n"/>
    </row>
    <row r="623">
      <c r="D623" s="27" t="n"/>
      <c r="E623" s="27" t="n"/>
    </row>
    <row r="624">
      <c r="D624" s="27" t="n"/>
      <c r="E624" s="27" t="n"/>
    </row>
    <row r="625">
      <c r="D625" s="27" t="n"/>
      <c r="E625" s="27" t="n"/>
    </row>
    <row r="626">
      <c r="D626" s="27" t="n"/>
      <c r="E626" s="27" t="n"/>
    </row>
    <row r="627">
      <c r="D627" s="27" t="n"/>
      <c r="E627" s="27" t="n"/>
    </row>
    <row r="628">
      <c r="D628" s="27" t="n"/>
      <c r="E628" s="27" t="n"/>
    </row>
    <row r="629">
      <c r="D629" s="27" t="n"/>
      <c r="E629" s="27" t="n"/>
    </row>
    <row r="630">
      <c r="D630" s="27" t="n"/>
      <c r="E630" s="27" t="n"/>
    </row>
    <row r="631">
      <c r="D631" s="27" t="n"/>
      <c r="E631" s="27" t="n"/>
    </row>
    <row r="632">
      <c r="D632" s="27" t="n"/>
      <c r="E632" s="27" t="n"/>
    </row>
    <row r="633">
      <c r="D633" s="27" t="n"/>
      <c r="E633" s="27" t="n"/>
    </row>
    <row r="634">
      <c r="D634" s="27" t="n"/>
      <c r="E634" s="27" t="n"/>
    </row>
    <row r="635">
      <c r="D635" s="27" t="n"/>
      <c r="E635" s="27" t="n"/>
    </row>
    <row r="636">
      <c r="D636" s="27" t="n"/>
      <c r="E636" s="27" t="n"/>
    </row>
    <row r="637">
      <c r="D637" s="27" t="n"/>
      <c r="E637" s="27" t="n"/>
    </row>
    <row r="638">
      <c r="D638" s="27" t="n"/>
      <c r="E638" s="27" t="n"/>
    </row>
    <row r="639">
      <c r="D639" s="27" t="n"/>
      <c r="E639" s="27" t="n"/>
    </row>
    <row r="640">
      <c r="D640" s="27" t="n"/>
      <c r="E640" s="27" t="n"/>
    </row>
    <row r="641">
      <c r="D641" s="27" t="n"/>
      <c r="E641" s="27" t="n"/>
    </row>
    <row r="642">
      <c r="D642" s="27" t="n"/>
      <c r="E642" s="27" t="n"/>
    </row>
    <row r="643">
      <c r="D643" s="27" t="n"/>
      <c r="E643" s="27" t="n"/>
    </row>
    <row r="644">
      <c r="D644" s="27" t="n"/>
      <c r="E644" s="27" t="n"/>
    </row>
    <row r="645">
      <c r="D645" s="27" t="n"/>
      <c r="E645" s="27" t="n"/>
    </row>
    <row r="646">
      <c r="D646" s="27" t="n"/>
      <c r="E646" s="27" t="n"/>
    </row>
    <row r="647">
      <c r="D647" s="27" t="n"/>
      <c r="E647" s="27" t="n"/>
    </row>
    <row r="648">
      <c r="D648" s="27" t="n"/>
      <c r="E648" s="27" t="n"/>
    </row>
    <row r="649">
      <c r="D649" s="27" t="n"/>
      <c r="E649" s="27" t="n"/>
    </row>
    <row r="650">
      <c r="D650" s="27" t="n"/>
      <c r="E650" s="27" t="n"/>
    </row>
    <row r="651">
      <c r="D651" s="27" t="n"/>
      <c r="E651" s="27" t="n"/>
    </row>
    <row r="652">
      <c r="D652" s="27" t="n"/>
      <c r="E652" s="27" t="n"/>
    </row>
    <row r="653">
      <c r="D653" s="27" t="n"/>
      <c r="E653" s="27" t="n"/>
    </row>
    <row r="654">
      <c r="D654" s="27" t="n"/>
      <c r="E654" s="27" t="n"/>
    </row>
    <row r="655">
      <c r="D655" s="27" t="n"/>
      <c r="E655" s="27" t="n"/>
    </row>
    <row r="656">
      <c r="D656" s="27" t="n"/>
      <c r="E656" s="27" t="n"/>
    </row>
    <row r="657">
      <c r="D657" s="27" t="n"/>
      <c r="E657" s="27" t="n"/>
    </row>
    <row r="658">
      <c r="D658" s="27" t="n"/>
      <c r="E658" s="27" t="n"/>
    </row>
    <row r="659">
      <c r="D659" s="27" t="n"/>
      <c r="E659" s="27" t="n"/>
    </row>
    <row r="660">
      <c r="D660" s="27" t="n"/>
      <c r="E660" s="27" t="n"/>
    </row>
    <row r="661">
      <c r="D661" s="27" t="n"/>
      <c r="E661" s="27" t="n"/>
    </row>
    <row r="662">
      <c r="D662" s="27" t="n"/>
      <c r="E662" s="27" t="n"/>
    </row>
    <row r="663">
      <c r="D663" s="27" t="n"/>
      <c r="E663" s="27" t="n"/>
    </row>
    <row r="664">
      <c r="D664" s="27" t="n"/>
      <c r="E664" s="27" t="n"/>
    </row>
    <row r="665">
      <c r="D665" s="27" t="n"/>
      <c r="E665" s="27" t="n"/>
    </row>
    <row r="666">
      <c r="D666" s="27" t="n"/>
      <c r="E666" s="27" t="n"/>
    </row>
    <row r="667">
      <c r="D667" s="27" t="n"/>
      <c r="E667" s="27" t="n"/>
    </row>
    <row r="668">
      <c r="D668" s="27" t="n"/>
      <c r="E668" s="27" t="n"/>
    </row>
    <row r="669">
      <c r="D669" s="27" t="n"/>
      <c r="E669" s="27" t="n"/>
    </row>
    <row r="670">
      <c r="D670" s="27" t="n"/>
      <c r="E670" s="27" t="n"/>
    </row>
    <row r="671">
      <c r="D671" s="27" t="n"/>
      <c r="E671" s="27" t="n"/>
    </row>
    <row r="672">
      <c r="D672" s="27" t="n"/>
      <c r="E672" s="27" t="n"/>
    </row>
    <row r="673">
      <c r="D673" s="27" t="n"/>
      <c r="E673" s="27" t="n"/>
    </row>
    <row r="674">
      <c r="D674" s="27" t="n"/>
      <c r="E674" s="27" t="n"/>
    </row>
    <row r="675">
      <c r="D675" s="27" t="n"/>
      <c r="E675" s="27" t="n"/>
    </row>
    <row r="676">
      <c r="D676" s="27" t="n"/>
      <c r="E676" s="27" t="n"/>
    </row>
    <row r="677">
      <c r="D677" s="27" t="n"/>
      <c r="E677" s="27" t="n"/>
    </row>
    <row r="678">
      <c r="D678" s="27" t="n"/>
      <c r="E678" s="27" t="n"/>
    </row>
    <row r="679">
      <c r="D679" s="27" t="n"/>
      <c r="E679" s="27" t="n"/>
    </row>
    <row r="680">
      <c r="D680" s="27" t="n"/>
      <c r="E680" s="27" t="n"/>
    </row>
    <row r="681">
      <c r="D681" s="27" t="n"/>
      <c r="E681" s="27" t="n"/>
    </row>
    <row r="682">
      <c r="D682" s="27" t="n"/>
      <c r="E682" s="27" t="n"/>
    </row>
    <row r="683">
      <c r="D683" s="27" t="n"/>
      <c r="E683" s="27" t="n"/>
    </row>
    <row r="684">
      <c r="D684" s="27" t="n"/>
      <c r="E684" s="27" t="n"/>
    </row>
    <row r="685">
      <c r="D685" s="27" t="n"/>
      <c r="E685" s="27" t="n"/>
    </row>
    <row r="686">
      <c r="D686" s="27" t="n"/>
      <c r="E686" s="27" t="n"/>
    </row>
    <row r="687">
      <c r="D687" s="27" t="n"/>
      <c r="E687" s="27" t="n"/>
    </row>
    <row r="688">
      <c r="D688" s="27" t="n"/>
      <c r="E688" s="27" t="n"/>
    </row>
    <row r="689">
      <c r="D689" s="27" t="n"/>
      <c r="E689" s="27" t="n"/>
    </row>
    <row r="690">
      <c r="D690" s="27" t="n"/>
      <c r="E690" s="27" t="n"/>
    </row>
    <row r="691">
      <c r="D691" s="27" t="n"/>
      <c r="E691" s="27" t="n"/>
    </row>
    <row r="692">
      <c r="D692" s="27" t="n"/>
      <c r="E692" s="27" t="n"/>
    </row>
    <row r="693">
      <c r="D693" s="27" t="n"/>
      <c r="E693" s="27" t="n"/>
    </row>
    <row r="694">
      <c r="D694" s="27" t="n"/>
      <c r="E694" s="27" t="n"/>
    </row>
    <row r="695">
      <c r="D695" s="27" t="n"/>
      <c r="E695" s="27" t="n"/>
    </row>
    <row r="696">
      <c r="D696" s="27" t="n"/>
      <c r="E696" s="27" t="n"/>
    </row>
    <row r="697">
      <c r="D697" s="27" t="n"/>
      <c r="E697" s="27" t="n"/>
    </row>
    <row r="698">
      <c r="D698" s="27" t="n"/>
      <c r="E698" s="27" t="n"/>
    </row>
    <row r="699">
      <c r="D699" s="27" t="n"/>
      <c r="E699" s="27" t="n"/>
    </row>
    <row r="700">
      <c r="D700" s="27" t="n"/>
      <c r="E700" s="27" t="n"/>
    </row>
  </sheetData>
  <autoFilter ref="A1:I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350" showDropDown="0" showInputMessage="0" showErrorMessage="1" allowBlank="1" errorTitle="Invalid selection" error="Select from dropdown." type="list">
      <formula1>"Not Started,In Progress,Completed,Delayed,At Risk"</formula1>
    </dataValidation>
    <dataValidation sqref="H2:H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0" t="inlineStr">
        <is>
          <t>Issue ID</t>
        </is>
      </c>
      <c r="B1" s="10" t="inlineStr">
        <is>
          <t>Project ID</t>
        </is>
      </c>
      <c r="C1" s="10" t="inlineStr">
        <is>
          <t>Issue Description</t>
        </is>
      </c>
      <c r="D1" s="10" t="inlineStr">
        <is>
          <t>Raised By</t>
        </is>
      </c>
      <c r="E1" s="10" t="inlineStr">
        <is>
          <t>Raised Date</t>
        </is>
      </c>
      <c r="F1" s="10" t="inlineStr">
        <is>
          <t>Assigned To</t>
        </is>
      </c>
      <c r="G1" s="10" t="inlineStr">
        <is>
          <t>Severity</t>
        </is>
      </c>
      <c r="H1" s="10" t="inlineStr">
        <is>
          <t>Status</t>
        </is>
      </c>
      <c r="I1" s="10" t="inlineStr">
        <is>
          <t>Target Resolution Date</t>
        </is>
      </c>
      <c r="J1" s="10" t="inlineStr">
        <is>
          <t>Actual Resolution Date</t>
        </is>
      </c>
      <c r="K1" s="10" t="inlineStr">
        <is>
          <t>Delay Days</t>
        </is>
      </c>
      <c r="L1" s="10" t="inlineStr">
        <is>
          <t>Remarks</t>
        </is>
      </c>
    </row>
    <row r="2">
      <c r="A2" s="15" t="inlineStr">
        <is>
          <t>ISS-001</t>
        </is>
      </c>
      <c r="B2" s="15" t="inlineStr">
        <is>
          <t>PRJ-001</t>
        </is>
      </c>
      <c r="C2" s="15" t="inlineStr">
        <is>
          <t>Payment confirmation timeout</t>
        </is>
      </c>
      <c r="D2" s="15" t="inlineStr">
        <is>
          <t>QA Team</t>
        </is>
      </c>
      <c r="E2" s="16" t="n">
        <v>46171</v>
      </c>
      <c r="F2" s="15" t="inlineStr">
        <is>
          <t>Arjun Patel</t>
        </is>
      </c>
      <c r="G2" s="15" t="inlineStr">
        <is>
          <t>High</t>
        </is>
      </c>
      <c r="H2" s="15" t="inlineStr">
        <is>
          <t>In Progress</t>
        </is>
      </c>
      <c r="I2" s="16" t="n">
        <v>46185</v>
      </c>
      <c r="J2" s="16" t="inlineStr"/>
      <c r="K2" s="15">
        <f>IF(I2="","",MAX(0,IF(J2&lt;&gt;"",J2-I2,IF(OR(H2="Resolved",H2="Closed"),0,TODAY()-I2))))</f>
        <v/>
      </c>
      <c r="L2" s="15" t="inlineStr">
        <is>
          <t>Fix in review</t>
        </is>
      </c>
    </row>
    <row r="3">
      <c r="A3" s="15" t="inlineStr">
        <is>
          <t>ISS-002</t>
        </is>
      </c>
      <c r="B3" s="15" t="inlineStr">
        <is>
          <t>PRJ-002</t>
        </is>
      </c>
      <c r="C3" s="15" t="inlineStr">
        <is>
          <t>CBS sandbox unavailable</t>
        </is>
      </c>
      <c r="D3" s="15" t="inlineStr">
        <is>
          <t>Integration Lead</t>
        </is>
      </c>
      <c r="E3" s="16" t="n">
        <v>46162</v>
      </c>
      <c r="F3" s="15" t="inlineStr">
        <is>
          <t>Nikhil Verma</t>
        </is>
      </c>
      <c r="G3" s="15" t="inlineStr">
        <is>
          <t>Critical</t>
        </is>
      </c>
      <c r="H3" s="15" t="inlineStr">
        <is>
          <t>Open</t>
        </is>
      </c>
      <c r="I3" s="16" t="n">
        <v>46178</v>
      </c>
      <c r="J3" s="16" t="inlineStr"/>
      <c r="K3" s="15">
        <f>IF(I3="","",MAX(0,IF(J3&lt;&gt;"",J3-I3,IF(OR(H3="Resolved",H3="Closed"),0,TODAY()-I3))))</f>
        <v/>
      </c>
      <c r="L3" s="15" t="inlineStr">
        <is>
          <t>Escalated</t>
        </is>
      </c>
    </row>
    <row r="4">
      <c r="A4" s="15" t="inlineStr">
        <is>
          <t>ISS-003</t>
        </is>
      </c>
      <c r="B4" s="15" t="inlineStr">
        <is>
          <t>PRJ-004</t>
        </is>
      </c>
      <c r="C4" s="15" t="inlineStr">
        <is>
          <t>OCR false rejection rate high</t>
        </is>
      </c>
      <c r="D4" s="15" t="inlineStr">
        <is>
          <t>QA Team</t>
        </is>
      </c>
      <c r="E4" s="16" t="n">
        <v>46172</v>
      </c>
      <c r="F4" s="15" t="inlineStr">
        <is>
          <t>Imran Ali</t>
        </is>
      </c>
      <c r="G4" s="15" t="inlineStr">
        <is>
          <t>High</t>
        </is>
      </c>
      <c r="H4" s="15" t="inlineStr">
        <is>
          <t>In Progress</t>
        </is>
      </c>
      <c r="I4" s="16" t="n">
        <v>46183</v>
      </c>
      <c r="J4" s="16" t="inlineStr"/>
      <c r="K4" s="15">
        <f>IF(I4="","",MAX(0,IF(J4&lt;&gt;"",J4-I4,IF(OR(H4="Resolved",H4="Closed"),0,TODAY()-I4))))</f>
        <v/>
      </c>
      <c r="L4" s="15" t="inlineStr">
        <is>
          <t>Tuning</t>
        </is>
      </c>
    </row>
    <row r="5">
      <c r="A5" s="15" t="n"/>
      <c r="B5" s="15" t="n"/>
      <c r="C5" s="15" t="n"/>
      <c r="D5" s="15" t="n"/>
      <c r="E5" s="16" t="n"/>
      <c r="F5" s="15" t="n"/>
      <c r="G5" s="15" t="n"/>
      <c r="H5" s="15" t="n"/>
      <c r="I5" s="16" t="n"/>
      <c r="J5" s="16" t="n"/>
      <c r="K5" s="15">
        <f>IF(I5="","",MAX(0,IF(J5&lt;&gt;"",J5-I5,IF(OR(H5="Resolved",H5="Closed"),0,TODAY()-I5))))</f>
        <v/>
      </c>
      <c r="L5" s="15" t="n"/>
    </row>
    <row r="6">
      <c r="A6" s="15" t="n"/>
      <c r="B6" s="15" t="n"/>
      <c r="C6" s="15" t="n"/>
      <c r="D6" s="15" t="n"/>
      <c r="E6" s="16" t="n"/>
      <c r="F6" s="15" t="n"/>
      <c r="G6" s="15" t="n"/>
      <c r="H6" s="15" t="n"/>
      <c r="I6" s="16" t="n"/>
      <c r="J6" s="16" t="n"/>
      <c r="K6" s="15">
        <f>IF(I6="","",MAX(0,IF(J6&lt;&gt;"",J6-I6,IF(OR(H6="Resolved",H6="Closed"),0,TODAY()-I6))))</f>
        <v/>
      </c>
      <c r="L6" s="15" t="n"/>
    </row>
    <row r="7">
      <c r="A7" s="15" t="n"/>
      <c r="B7" s="15" t="n"/>
      <c r="C7" s="15" t="n"/>
      <c r="D7" s="15" t="n"/>
      <c r="E7" s="16" t="n"/>
      <c r="F7" s="15" t="n"/>
      <c r="G7" s="15" t="n"/>
      <c r="H7" s="15" t="n"/>
      <c r="I7" s="16" t="n"/>
      <c r="J7" s="16" t="n"/>
      <c r="K7" s="15">
        <f>IF(I7="","",MAX(0,IF(J7&lt;&gt;"",J7-I7,IF(OR(H7="Resolved",H7="Closed"),0,TODAY()-I7))))</f>
        <v/>
      </c>
      <c r="L7" s="15" t="n"/>
    </row>
    <row r="8">
      <c r="A8" s="15" t="n"/>
      <c r="B8" s="15" t="n"/>
      <c r="C8" s="15" t="n"/>
      <c r="D8" s="15" t="n"/>
      <c r="E8" s="16" t="n"/>
      <c r="F8" s="15" t="n"/>
      <c r="G8" s="15" t="n"/>
      <c r="H8" s="15" t="n"/>
      <c r="I8" s="16" t="n"/>
      <c r="J8" s="16" t="n"/>
      <c r="K8" s="15">
        <f>IF(I8="","",MAX(0,IF(J8&lt;&gt;"",J8-I8,IF(OR(H8="Resolved",H8="Closed"),0,TODAY()-I8))))</f>
        <v/>
      </c>
      <c r="L8" s="15" t="n"/>
    </row>
    <row r="9">
      <c r="A9" s="15" t="n"/>
      <c r="B9" s="15" t="n"/>
      <c r="C9" s="15" t="n"/>
      <c r="D9" s="15" t="n"/>
      <c r="E9" s="16" t="n"/>
      <c r="F9" s="15" t="n"/>
      <c r="G9" s="15" t="n"/>
      <c r="H9" s="15" t="n"/>
      <c r="I9" s="16" t="n"/>
      <c r="J9" s="16" t="n"/>
      <c r="K9" s="15">
        <f>IF(I9="","",MAX(0,IF(J9&lt;&gt;"",J9-I9,IF(OR(H9="Resolved",H9="Closed"),0,TODAY()-I9))))</f>
        <v/>
      </c>
      <c r="L9" s="15" t="n"/>
    </row>
    <row r="10">
      <c r="A10" s="15" t="n"/>
      <c r="B10" s="15" t="n"/>
      <c r="C10" s="15" t="n"/>
      <c r="D10" s="15" t="n"/>
      <c r="E10" s="16" t="n"/>
      <c r="F10" s="15" t="n"/>
      <c r="G10" s="15" t="n"/>
      <c r="H10" s="15" t="n"/>
      <c r="I10" s="16" t="n"/>
      <c r="J10" s="16" t="n"/>
      <c r="K10" s="15">
        <f>IF(I10="","",MAX(0,IF(J10&lt;&gt;"",J10-I10,IF(OR(H10="Resolved",H10="Closed"),0,TODAY()-I10))))</f>
        <v/>
      </c>
      <c r="L10" s="15" t="n"/>
    </row>
    <row r="11">
      <c r="A11" s="15" t="n"/>
      <c r="B11" s="15" t="n"/>
      <c r="C11" s="15" t="n"/>
      <c r="D11" s="15" t="n"/>
      <c r="E11" s="16" t="n"/>
      <c r="F11" s="15" t="n"/>
      <c r="G11" s="15" t="n"/>
      <c r="H11" s="15" t="n"/>
      <c r="I11" s="16" t="n"/>
      <c r="J11" s="16" t="n"/>
      <c r="K11" s="15">
        <f>IF(I11="","",MAX(0,IF(J11&lt;&gt;"",J11-I11,IF(OR(H11="Resolved",H11="Closed"),0,TODAY()-I11))))</f>
        <v/>
      </c>
      <c r="L11" s="15" t="n"/>
    </row>
    <row r="12">
      <c r="A12" s="15" t="n"/>
      <c r="B12" s="15" t="n"/>
      <c r="C12" s="15" t="n"/>
      <c r="D12" s="15" t="n"/>
      <c r="E12" s="16" t="n"/>
      <c r="F12" s="15" t="n"/>
      <c r="G12" s="15" t="n"/>
      <c r="H12" s="15" t="n"/>
      <c r="I12" s="16" t="n"/>
      <c r="J12" s="16" t="n"/>
      <c r="K12" s="15">
        <f>IF(I12="","",MAX(0,IF(J12&lt;&gt;"",J12-I12,IF(OR(H12="Resolved",H12="Closed"),0,TODAY()-I12))))</f>
        <v/>
      </c>
      <c r="L12" s="15" t="n"/>
    </row>
    <row r="13">
      <c r="A13" s="15" t="n"/>
      <c r="B13" s="15" t="n"/>
      <c r="C13" s="15" t="n"/>
      <c r="D13" s="15" t="n"/>
      <c r="E13" s="16" t="n"/>
      <c r="F13" s="15" t="n"/>
      <c r="G13" s="15" t="n"/>
      <c r="H13" s="15" t="n"/>
      <c r="I13" s="16" t="n"/>
      <c r="J13" s="16" t="n"/>
      <c r="K13" s="15">
        <f>IF(I13="","",MAX(0,IF(J13&lt;&gt;"",J13-I13,IF(OR(H13="Resolved",H13="Closed"),0,TODAY()-I13))))</f>
        <v/>
      </c>
      <c r="L13" s="15" t="n"/>
    </row>
    <row r="14">
      <c r="A14" s="15" t="n"/>
      <c r="B14" s="15" t="n"/>
      <c r="C14" s="15" t="n"/>
      <c r="D14" s="15" t="n"/>
      <c r="E14" s="16" t="n"/>
      <c r="F14" s="15" t="n"/>
      <c r="G14" s="15" t="n"/>
      <c r="H14" s="15" t="n"/>
      <c r="I14" s="16" t="n"/>
      <c r="J14" s="16" t="n"/>
      <c r="K14" s="15">
        <f>IF(I14="","",MAX(0,IF(J14&lt;&gt;"",J14-I14,IF(OR(H14="Resolved",H14="Closed"),0,TODAY()-I14))))</f>
        <v/>
      </c>
      <c r="L14" s="15" t="n"/>
    </row>
    <row r="15">
      <c r="A15" s="15" t="n"/>
      <c r="B15" s="15" t="n"/>
      <c r="C15" s="15" t="n"/>
      <c r="D15" s="15" t="n"/>
      <c r="E15" s="16" t="n"/>
      <c r="F15" s="15" t="n"/>
      <c r="G15" s="15" t="n"/>
      <c r="H15" s="15" t="n"/>
      <c r="I15" s="16" t="n"/>
      <c r="J15" s="16" t="n"/>
      <c r="K15" s="15">
        <f>IF(I15="","",MAX(0,IF(J15&lt;&gt;"",J15-I15,IF(OR(H15="Resolved",H15="Closed"),0,TODAY()-I15))))</f>
        <v/>
      </c>
      <c r="L15" s="15" t="n"/>
    </row>
    <row r="16">
      <c r="A16" s="15" t="n"/>
      <c r="B16" s="15" t="n"/>
      <c r="C16" s="15" t="n"/>
      <c r="D16" s="15" t="n"/>
      <c r="E16" s="16" t="n"/>
      <c r="F16" s="15" t="n"/>
      <c r="G16" s="15" t="n"/>
      <c r="H16" s="15" t="n"/>
      <c r="I16" s="16" t="n"/>
      <c r="J16" s="16" t="n"/>
      <c r="K16" s="15">
        <f>IF(I16="","",MAX(0,IF(J16&lt;&gt;"",J16-I16,IF(OR(H16="Resolved",H16="Closed"),0,TODAY()-I16))))</f>
        <v/>
      </c>
      <c r="L16" s="15" t="n"/>
    </row>
    <row r="17">
      <c r="A17" s="15" t="n"/>
      <c r="B17" s="15" t="n"/>
      <c r="C17" s="15" t="n"/>
      <c r="D17" s="15" t="n"/>
      <c r="E17" s="16" t="n"/>
      <c r="F17" s="15" t="n"/>
      <c r="G17" s="15" t="n"/>
      <c r="H17" s="15" t="n"/>
      <c r="I17" s="16" t="n"/>
      <c r="J17" s="16" t="n"/>
      <c r="K17" s="15">
        <f>IF(I17="","",MAX(0,IF(J17&lt;&gt;"",J17-I17,IF(OR(H17="Resolved",H17="Closed"),0,TODAY()-I17))))</f>
        <v/>
      </c>
      <c r="L17" s="15" t="n"/>
    </row>
    <row r="18">
      <c r="A18" s="15" t="n"/>
      <c r="B18" s="15" t="n"/>
      <c r="C18" s="15" t="n"/>
      <c r="D18" s="15" t="n"/>
      <c r="E18" s="16" t="n"/>
      <c r="F18" s="15" t="n"/>
      <c r="G18" s="15" t="n"/>
      <c r="H18" s="15" t="n"/>
      <c r="I18" s="16" t="n"/>
      <c r="J18" s="16" t="n"/>
      <c r="K18" s="15">
        <f>IF(I18="","",MAX(0,IF(J18&lt;&gt;"",J18-I18,IF(OR(H18="Resolved",H18="Closed"),0,TODAY()-I18))))</f>
        <v/>
      </c>
      <c r="L18" s="15" t="n"/>
    </row>
    <row r="19">
      <c r="A19" s="15" t="n"/>
      <c r="B19" s="15" t="n"/>
      <c r="C19" s="15" t="n"/>
      <c r="D19" s="15" t="n"/>
      <c r="E19" s="16" t="n"/>
      <c r="F19" s="15" t="n"/>
      <c r="G19" s="15" t="n"/>
      <c r="H19" s="15" t="n"/>
      <c r="I19" s="16" t="n"/>
      <c r="J19" s="16" t="n"/>
      <c r="K19" s="15">
        <f>IF(I19="","",MAX(0,IF(J19&lt;&gt;"",J19-I19,IF(OR(H19="Resolved",H19="Closed"),0,TODAY()-I19))))</f>
        <v/>
      </c>
      <c r="L19" s="15" t="n"/>
    </row>
    <row r="20">
      <c r="A20" s="15" t="n"/>
      <c r="B20" s="15" t="n"/>
      <c r="C20" s="15" t="n"/>
      <c r="D20" s="15" t="n"/>
      <c r="E20" s="16" t="n"/>
      <c r="F20" s="15" t="n"/>
      <c r="G20" s="15" t="n"/>
      <c r="H20" s="15" t="n"/>
      <c r="I20" s="16" t="n"/>
      <c r="J20" s="16" t="n"/>
      <c r="K20" s="15">
        <f>IF(I20="","",MAX(0,IF(J20&lt;&gt;"",J20-I20,IF(OR(H20="Resolved",H20="Closed"),0,TODAY()-I20))))</f>
        <v/>
      </c>
      <c r="L20" s="15" t="n"/>
    </row>
    <row r="21">
      <c r="A21" s="15" t="n"/>
      <c r="B21" s="15" t="n"/>
      <c r="C21" s="15" t="n"/>
      <c r="D21" s="15" t="n"/>
      <c r="E21" s="16" t="n"/>
      <c r="F21" s="15" t="n"/>
      <c r="G21" s="15" t="n"/>
      <c r="H21" s="15" t="n"/>
      <c r="I21" s="16" t="n"/>
      <c r="J21" s="16" t="n"/>
      <c r="K21" s="15">
        <f>IF(I21="","",MAX(0,IF(J21&lt;&gt;"",J21-I21,IF(OR(H21="Resolved",H21="Closed"),0,TODAY()-I21))))</f>
        <v/>
      </c>
      <c r="L21" s="15" t="n"/>
    </row>
    <row r="22">
      <c r="A22" s="15" t="n"/>
      <c r="B22" s="15" t="n"/>
      <c r="C22" s="15" t="n"/>
      <c r="D22" s="15" t="n"/>
      <c r="E22" s="16" t="n"/>
      <c r="F22" s="15" t="n"/>
      <c r="G22" s="15" t="n"/>
      <c r="H22" s="15" t="n"/>
      <c r="I22" s="16" t="n"/>
      <c r="J22" s="16" t="n"/>
      <c r="K22" s="15">
        <f>IF(I22="","",MAX(0,IF(J22&lt;&gt;"",J22-I22,IF(OR(H22="Resolved",H22="Closed"),0,TODAY()-I22))))</f>
        <v/>
      </c>
      <c r="L22" s="15" t="n"/>
    </row>
    <row r="23">
      <c r="A23" s="15" t="n"/>
      <c r="B23" s="15" t="n"/>
      <c r="C23" s="15" t="n"/>
      <c r="D23" s="15" t="n"/>
      <c r="E23" s="16" t="n"/>
      <c r="F23" s="15" t="n"/>
      <c r="G23" s="15" t="n"/>
      <c r="H23" s="15" t="n"/>
      <c r="I23" s="16" t="n"/>
      <c r="J23" s="16" t="n"/>
      <c r="K23" s="15">
        <f>IF(I23="","",MAX(0,IF(J23&lt;&gt;"",J23-I23,IF(OR(H23="Resolved",H23="Closed"),0,TODAY()-I23))))</f>
        <v/>
      </c>
      <c r="L23" s="15" t="n"/>
    </row>
    <row r="24">
      <c r="A24" s="15" t="n"/>
      <c r="B24" s="15" t="n"/>
      <c r="C24" s="15" t="n"/>
      <c r="D24" s="15" t="n"/>
      <c r="E24" s="16" t="n"/>
      <c r="F24" s="15" t="n"/>
      <c r="G24" s="15" t="n"/>
      <c r="H24" s="15" t="n"/>
      <c r="I24" s="16" t="n"/>
      <c r="J24" s="16" t="n"/>
      <c r="K24" s="15">
        <f>IF(I24="","",MAX(0,IF(J24&lt;&gt;"",J24-I24,IF(OR(H24="Resolved",H24="Closed"),0,TODAY()-I24))))</f>
        <v/>
      </c>
      <c r="L24" s="15" t="n"/>
    </row>
    <row r="25">
      <c r="A25" s="15" t="n"/>
      <c r="B25" s="15" t="n"/>
      <c r="C25" s="15" t="n"/>
      <c r="D25" s="15" t="n"/>
      <c r="E25" s="16" t="n"/>
      <c r="F25" s="15" t="n"/>
      <c r="G25" s="15" t="n"/>
      <c r="H25" s="15" t="n"/>
      <c r="I25" s="16" t="n"/>
      <c r="J25" s="16" t="n"/>
      <c r="K25" s="15">
        <f>IF(I25="","",MAX(0,IF(J25&lt;&gt;"",J25-I25,IF(OR(H25="Resolved",H25="Closed"),0,TODAY()-I25))))</f>
        <v/>
      </c>
      <c r="L25" s="15" t="n"/>
    </row>
    <row r="26">
      <c r="A26" s="15" t="n"/>
      <c r="B26" s="15" t="n"/>
      <c r="C26" s="15" t="n"/>
      <c r="D26" s="15" t="n"/>
      <c r="E26" s="16" t="n"/>
      <c r="F26" s="15" t="n"/>
      <c r="G26" s="15" t="n"/>
      <c r="H26" s="15" t="n"/>
      <c r="I26" s="16" t="n"/>
      <c r="J26" s="16" t="n"/>
      <c r="K26" s="15">
        <f>IF(I26="","",MAX(0,IF(J26&lt;&gt;"",J26-I26,IF(OR(H26="Resolved",H26="Closed"),0,TODAY()-I26))))</f>
        <v/>
      </c>
      <c r="L26" s="15" t="n"/>
    </row>
    <row r="27">
      <c r="A27" s="15" t="n"/>
      <c r="B27" s="15" t="n"/>
      <c r="C27" s="15" t="n"/>
      <c r="D27" s="15" t="n"/>
      <c r="E27" s="16" t="n"/>
      <c r="F27" s="15" t="n"/>
      <c r="G27" s="15" t="n"/>
      <c r="H27" s="15" t="n"/>
      <c r="I27" s="16" t="n"/>
      <c r="J27" s="16" t="n"/>
      <c r="K27" s="15">
        <f>IF(I27="","",MAX(0,IF(J27&lt;&gt;"",J27-I27,IF(OR(H27="Resolved",H27="Closed"),0,TODAY()-I27))))</f>
        <v/>
      </c>
      <c r="L27" s="15" t="n"/>
    </row>
    <row r="28">
      <c r="A28" s="15" t="n"/>
      <c r="B28" s="15" t="n"/>
      <c r="C28" s="15" t="n"/>
      <c r="D28" s="15" t="n"/>
      <c r="E28" s="16" t="n"/>
      <c r="F28" s="15" t="n"/>
      <c r="G28" s="15" t="n"/>
      <c r="H28" s="15" t="n"/>
      <c r="I28" s="16" t="n"/>
      <c r="J28" s="16" t="n"/>
      <c r="K28" s="15">
        <f>IF(I28="","",MAX(0,IF(J28&lt;&gt;"",J28-I28,IF(OR(H28="Resolved",H28="Closed"),0,TODAY()-I28))))</f>
        <v/>
      </c>
      <c r="L28" s="15" t="n"/>
    </row>
    <row r="29">
      <c r="A29" s="15" t="n"/>
      <c r="B29" s="15" t="n"/>
      <c r="C29" s="15" t="n"/>
      <c r="D29" s="15" t="n"/>
      <c r="E29" s="16" t="n"/>
      <c r="F29" s="15" t="n"/>
      <c r="G29" s="15" t="n"/>
      <c r="H29" s="15" t="n"/>
      <c r="I29" s="16" t="n"/>
      <c r="J29" s="16" t="n"/>
      <c r="K29" s="15">
        <f>IF(I29="","",MAX(0,IF(J29&lt;&gt;"",J29-I29,IF(OR(H29="Resolved",H29="Closed"),0,TODAY()-I29))))</f>
        <v/>
      </c>
      <c r="L29" s="15" t="n"/>
    </row>
    <row r="30">
      <c r="A30" s="15" t="n"/>
      <c r="B30" s="15" t="n"/>
      <c r="C30" s="15" t="n"/>
      <c r="D30" s="15" t="n"/>
      <c r="E30" s="16" t="n"/>
      <c r="F30" s="15" t="n"/>
      <c r="G30" s="15" t="n"/>
      <c r="H30" s="15" t="n"/>
      <c r="I30" s="16" t="n"/>
      <c r="J30" s="16" t="n"/>
      <c r="K30" s="15">
        <f>IF(I30="","",MAX(0,IF(J30&lt;&gt;"",J30-I30,IF(OR(H30="Resolved",H30="Closed"),0,TODAY()-I30))))</f>
        <v/>
      </c>
      <c r="L30" s="15" t="n"/>
    </row>
    <row r="31">
      <c r="A31" s="15" t="n"/>
      <c r="B31" s="15" t="n"/>
      <c r="C31" s="15" t="n"/>
      <c r="D31" s="15" t="n"/>
      <c r="E31" s="16" t="n"/>
      <c r="F31" s="15" t="n"/>
      <c r="G31" s="15" t="n"/>
      <c r="H31" s="15" t="n"/>
      <c r="I31" s="16" t="n"/>
      <c r="J31" s="16" t="n"/>
      <c r="K31" s="15">
        <f>IF(I31="","",MAX(0,IF(J31&lt;&gt;"",J31-I31,IF(OR(H31="Resolved",H31="Closed"),0,TODAY()-I31))))</f>
        <v/>
      </c>
      <c r="L31" s="15" t="n"/>
    </row>
    <row r="32">
      <c r="A32" s="15" t="n"/>
      <c r="B32" s="15" t="n"/>
      <c r="C32" s="15" t="n"/>
      <c r="D32" s="15" t="n"/>
      <c r="E32" s="16" t="n"/>
      <c r="F32" s="15" t="n"/>
      <c r="G32" s="15" t="n"/>
      <c r="H32" s="15" t="n"/>
      <c r="I32" s="16" t="n"/>
      <c r="J32" s="16" t="n"/>
      <c r="K32" s="15">
        <f>IF(I32="","",MAX(0,IF(J32&lt;&gt;"",J32-I32,IF(OR(H32="Resolved",H32="Closed"),0,TODAY()-I32))))</f>
        <v/>
      </c>
      <c r="L32" s="15" t="n"/>
    </row>
    <row r="33">
      <c r="A33" s="15" t="n"/>
      <c r="B33" s="15" t="n"/>
      <c r="C33" s="15" t="n"/>
      <c r="D33" s="15" t="n"/>
      <c r="E33" s="16" t="n"/>
      <c r="F33" s="15" t="n"/>
      <c r="G33" s="15" t="n"/>
      <c r="H33" s="15" t="n"/>
      <c r="I33" s="16" t="n"/>
      <c r="J33" s="16" t="n"/>
      <c r="K33" s="15">
        <f>IF(I33="","",MAX(0,IF(J33&lt;&gt;"",J33-I33,IF(OR(H33="Resolved",H33="Closed"),0,TODAY()-I33))))</f>
        <v/>
      </c>
      <c r="L33" s="15" t="n"/>
    </row>
    <row r="34">
      <c r="A34" s="15" t="n"/>
      <c r="B34" s="15" t="n"/>
      <c r="C34" s="15" t="n"/>
      <c r="D34" s="15" t="n"/>
      <c r="E34" s="16" t="n"/>
      <c r="F34" s="15" t="n"/>
      <c r="G34" s="15" t="n"/>
      <c r="H34" s="15" t="n"/>
      <c r="I34" s="16" t="n"/>
      <c r="J34" s="16" t="n"/>
      <c r="K34" s="15">
        <f>IF(I34="","",MAX(0,IF(J34&lt;&gt;"",J34-I34,IF(OR(H34="Resolved",H34="Closed"),0,TODAY()-I34))))</f>
        <v/>
      </c>
      <c r="L34" s="15" t="n"/>
    </row>
    <row r="35">
      <c r="A35" s="15" t="n"/>
      <c r="B35" s="15" t="n"/>
      <c r="C35" s="15" t="n"/>
      <c r="D35" s="15" t="n"/>
      <c r="E35" s="16" t="n"/>
      <c r="F35" s="15" t="n"/>
      <c r="G35" s="15" t="n"/>
      <c r="H35" s="15" t="n"/>
      <c r="I35" s="16" t="n"/>
      <c r="J35" s="16" t="n"/>
      <c r="K35" s="15">
        <f>IF(I35="","",MAX(0,IF(J35&lt;&gt;"",J35-I35,IF(OR(H35="Resolved",H35="Closed"),0,TODAY()-I35))))</f>
        <v/>
      </c>
      <c r="L35" s="15" t="n"/>
    </row>
    <row r="36">
      <c r="A36" s="15" t="n"/>
      <c r="B36" s="15" t="n"/>
      <c r="C36" s="15" t="n"/>
      <c r="D36" s="15" t="n"/>
      <c r="E36" s="16" t="n"/>
      <c r="F36" s="15" t="n"/>
      <c r="G36" s="15" t="n"/>
      <c r="H36" s="15" t="n"/>
      <c r="I36" s="16" t="n"/>
      <c r="J36" s="16" t="n"/>
      <c r="K36" s="15">
        <f>IF(I36="","",MAX(0,IF(J36&lt;&gt;"",J36-I36,IF(OR(H36="Resolved",H36="Closed"),0,TODAY()-I36))))</f>
        <v/>
      </c>
      <c r="L36" s="15" t="n"/>
    </row>
    <row r="37">
      <c r="A37" s="15" t="n"/>
      <c r="B37" s="15" t="n"/>
      <c r="C37" s="15" t="n"/>
      <c r="D37" s="15" t="n"/>
      <c r="E37" s="16" t="n"/>
      <c r="F37" s="15" t="n"/>
      <c r="G37" s="15" t="n"/>
      <c r="H37" s="15" t="n"/>
      <c r="I37" s="16" t="n"/>
      <c r="J37" s="16" t="n"/>
      <c r="K37" s="15">
        <f>IF(I37="","",MAX(0,IF(J37&lt;&gt;"",J37-I37,IF(OR(H37="Resolved",H37="Closed"),0,TODAY()-I37))))</f>
        <v/>
      </c>
      <c r="L37" s="15" t="n"/>
    </row>
    <row r="38">
      <c r="A38" s="15" t="n"/>
      <c r="B38" s="15" t="n"/>
      <c r="C38" s="15" t="n"/>
      <c r="D38" s="15" t="n"/>
      <c r="E38" s="16" t="n"/>
      <c r="F38" s="15" t="n"/>
      <c r="G38" s="15" t="n"/>
      <c r="H38" s="15" t="n"/>
      <c r="I38" s="16" t="n"/>
      <c r="J38" s="16" t="n"/>
      <c r="K38" s="15">
        <f>IF(I38="","",MAX(0,IF(J38&lt;&gt;"",J38-I38,IF(OR(H38="Resolved",H38="Closed"),0,TODAY()-I38))))</f>
        <v/>
      </c>
      <c r="L38" s="15" t="n"/>
    </row>
    <row r="39">
      <c r="A39" s="15" t="n"/>
      <c r="B39" s="15" t="n"/>
      <c r="C39" s="15" t="n"/>
      <c r="D39" s="15" t="n"/>
      <c r="E39" s="16" t="n"/>
      <c r="F39" s="15" t="n"/>
      <c r="G39" s="15" t="n"/>
      <c r="H39" s="15" t="n"/>
      <c r="I39" s="16" t="n"/>
      <c r="J39" s="16" t="n"/>
      <c r="K39" s="15">
        <f>IF(I39="","",MAX(0,IF(J39&lt;&gt;"",J39-I39,IF(OR(H39="Resolved",H39="Closed"),0,TODAY()-I39))))</f>
        <v/>
      </c>
      <c r="L39" s="15" t="n"/>
    </row>
    <row r="40">
      <c r="A40" s="15" t="n"/>
      <c r="B40" s="15" t="n"/>
      <c r="C40" s="15" t="n"/>
      <c r="D40" s="15" t="n"/>
      <c r="E40" s="16" t="n"/>
      <c r="F40" s="15" t="n"/>
      <c r="G40" s="15" t="n"/>
      <c r="H40" s="15" t="n"/>
      <c r="I40" s="16" t="n"/>
      <c r="J40" s="16" t="n"/>
      <c r="K40" s="15">
        <f>IF(I40="","",MAX(0,IF(J40&lt;&gt;"",J40-I40,IF(OR(H40="Resolved",H40="Closed"),0,TODAY()-I40))))</f>
        <v/>
      </c>
      <c r="L40" s="15" t="n"/>
    </row>
    <row r="41">
      <c r="A41" s="15" t="n"/>
      <c r="B41" s="15" t="n"/>
      <c r="C41" s="15" t="n"/>
      <c r="D41" s="15" t="n"/>
      <c r="E41" s="16" t="n"/>
      <c r="F41" s="15" t="n"/>
      <c r="G41" s="15" t="n"/>
      <c r="H41" s="15" t="n"/>
      <c r="I41" s="16" t="n"/>
      <c r="J41" s="16" t="n"/>
      <c r="K41" s="15">
        <f>IF(I41="","",MAX(0,IF(J41&lt;&gt;"",J41-I41,IF(OR(H41="Resolved",H41="Closed"),0,TODAY()-I41))))</f>
        <v/>
      </c>
      <c r="L41" s="15" t="n"/>
    </row>
    <row r="42">
      <c r="A42" s="15" t="n"/>
      <c r="B42" s="15" t="n"/>
      <c r="C42" s="15" t="n"/>
      <c r="D42" s="15" t="n"/>
      <c r="E42" s="16" t="n"/>
      <c r="F42" s="15" t="n"/>
      <c r="G42" s="15" t="n"/>
      <c r="H42" s="15" t="n"/>
      <c r="I42" s="16" t="n"/>
      <c r="J42" s="16" t="n"/>
      <c r="K42" s="15">
        <f>IF(I42="","",MAX(0,IF(J42&lt;&gt;"",J42-I42,IF(OR(H42="Resolved",H42="Closed"),0,TODAY()-I42))))</f>
        <v/>
      </c>
      <c r="L42" s="15" t="n"/>
    </row>
    <row r="43">
      <c r="A43" s="15" t="n"/>
      <c r="B43" s="15" t="n"/>
      <c r="C43" s="15" t="n"/>
      <c r="D43" s="15" t="n"/>
      <c r="E43" s="16" t="n"/>
      <c r="F43" s="15" t="n"/>
      <c r="G43" s="15" t="n"/>
      <c r="H43" s="15" t="n"/>
      <c r="I43" s="16" t="n"/>
      <c r="J43" s="16" t="n"/>
      <c r="K43" s="15">
        <f>IF(I43="","",MAX(0,IF(J43&lt;&gt;"",J43-I43,IF(OR(H43="Resolved",H43="Closed"),0,TODAY()-I43))))</f>
        <v/>
      </c>
      <c r="L43" s="15" t="n"/>
    </row>
    <row r="44">
      <c r="A44" s="15" t="n"/>
      <c r="B44" s="15" t="n"/>
      <c r="C44" s="15" t="n"/>
      <c r="D44" s="15" t="n"/>
      <c r="E44" s="16" t="n"/>
      <c r="F44" s="15" t="n"/>
      <c r="G44" s="15" t="n"/>
      <c r="H44" s="15" t="n"/>
      <c r="I44" s="16" t="n"/>
      <c r="J44" s="16" t="n"/>
      <c r="K44" s="15">
        <f>IF(I44="","",MAX(0,IF(J44&lt;&gt;"",J44-I44,IF(OR(H44="Resolved",H44="Closed"),0,TODAY()-I44))))</f>
        <v/>
      </c>
      <c r="L44" s="15" t="n"/>
    </row>
    <row r="45">
      <c r="A45" s="15" t="n"/>
      <c r="B45" s="15" t="n"/>
      <c r="C45" s="15" t="n"/>
      <c r="D45" s="15" t="n"/>
      <c r="E45" s="16" t="n"/>
      <c r="F45" s="15" t="n"/>
      <c r="G45" s="15" t="n"/>
      <c r="H45" s="15" t="n"/>
      <c r="I45" s="16" t="n"/>
      <c r="J45" s="16" t="n"/>
      <c r="K45" s="15">
        <f>IF(I45="","",MAX(0,IF(J45&lt;&gt;"",J45-I45,IF(OR(H45="Resolved",H45="Closed"),0,TODAY()-I45))))</f>
        <v/>
      </c>
      <c r="L45" s="15" t="n"/>
    </row>
    <row r="46">
      <c r="A46" s="15" t="n"/>
      <c r="B46" s="15" t="n"/>
      <c r="C46" s="15" t="n"/>
      <c r="D46" s="15" t="n"/>
      <c r="E46" s="16" t="n"/>
      <c r="F46" s="15" t="n"/>
      <c r="G46" s="15" t="n"/>
      <c r="H46" s="15" t="n"/>
      <c r="I46" s="16" t="n"/>
      <c r="J46" s="16" t="n"/>
      <c r="K46" s="15">
        <f>IF(I46="","",MAX(0,IF(J46&lt;&gt;"",J46-I46,IF(OR(H46="Resolved",H46="Closed"),0,TODAY()-I46))))</f>
        <v/>
      </c>
      <c r="L46" s="15" t="n"/>
    </row>
    <row r="47">
      <c r="A47" s="15" t="n"/>
      <c r="B47" s="15" t="n"/>
      <c r="C47" s="15" t="n"/>
      <c r="D47" s="15" t="n"/>
      <c r="E47" s="16" t="n"/>
      <c r="F47" s="15" t="n"/>
      <c r="G47" s="15" t="n"/>
      <c r="H47" s="15" t="n"/>
      <c r="I47" s="16" t="n"/>
      <c r="J47" s="16" t="n"/>
      <c r="K47" s="15">
        <f>IF(I47="","",MAX(0,IF(J47&lt;&gt;"",J47-I47,IF(OR(H47="Resolved",H47="Closed"),0,TODAY()-I47))))</f>
        <v/>
      </c>
      <c r="L47" s="15" t="n"/>
    </row>
    <row r="48">
      <c r="A48" s="15" t="n"/>
      <c r="B48" s="15" t="n"/>
      <c r="C48" s="15" t="n"/>
      <c r="D48" s="15" t="n"/>
      <c r="E48" s="16" t="n"/>
      <c r="F48" s="15" t="n"/>
      <c r="G48" s="15" t="n"/>
      <c r="H48" s="15" t="n"/>
      <c r="I48" s="16" t="n"/>
      <c r="J48" s="16" t="n"/>
      <c r="K48" s="15">
        <f>IF(I48="","",MAX(0,IF(J48&lt;&gt;"",J48-I48,IF(OR(H48="Resolved",H48="Closed"),0,TODAY()-I48))))</f>
        <v/>
      </c>
      <c r="L48" s="15" t="n"/>
    </row>
    <row r="49">
      <c r="A49" s="15" t="n"/>
      <c r="B49" s="15" t="n"/>
      <c r="C49" s="15" t="n"/>
      <c r="D49" s="15" t="n"/>
      <c r="E49" s="16" t="n"/>
      <c r="F49" s="15" t="n"/>
      <c r="G49" s="15" t="n"/>
      <c r="H49" s="15" t="n"/>
      <c r="I49" s="16" t="n"/>
      <c r="J49" s="16" t="n"/>
      <c r="K49" s="15">
        <f>IF(I49="","",MAX(0,IF(J49&lt;&gt;"",J49-I49,IF(OR(H49="Resolved",H49="Closed"),0,TODAY()-I49))))</f>
        <v/>
      </c>
      <c r="L49" s="15" t="n"/>
    </row>
    <row r="50">
      <c r="A50" s="15" t="n"/>
      <c r="B50" s="15" t="n"/>
      <c r="C50" s="15" t="n"/>
      <c r="D50" s="15" t="n"/>
      <c r="E50" s="16" t="n"/>
      <c r="F50" s="15" t="n"/>
      <c r="G50" s="15" t="n"/>
      <c r="H50" s="15" t="n"/>
      <c r="I50" s="16" t="n"/>
      <c r="J50" s="16" t="n"/>
      <c r="K50" s="15">
        <f>IF(I50="","",MAX(0,IF(J50&lt;&gt;"",J50-I50,IF(OR(H50="Resolved",H50="Closed"),0,TODAY()-I50))))</f>
        <v/>
      </c>
      <c r="L50" s="15" t="n"/>
    </row>
    <row r="51">
      <c r="A51" s="15" t="n"/>
      <c r="B51" s="15" t="n"/>
      <c r="C51" s="15" t="n"/>
      <c r="D51" s="15" t="n"/>
      <c r="E51" s="16" t="n"/>
      <c r="F51" s="15" t="n"/>
      <c r="G51" s="15" t="n"/>
      <c r="H51" s="15" t="n"/>
      <c r="I51" s="16" t="n"/>
      <c r="J51" s="16" t="n"/>
      <c r="K51" s="15">
        <f>IF(I51="","",MAX(0,IF(J51&lt;&gt;"",J51-I51,IF(OR(H51="Resolved",H51="Closed"),0,TODAY()-I51))))</f>
        <v/>
      </c>
      <c r="L51" s="15" t="n"/>
    </row>
    <row r="52">
      <c r="A52" s="15" t="n"/>
      <c r="B52" s="15" t="n"/>
      <c r="C52" s="15" t="n"/>
      <c r="D52" s="15" t="n"/>
      <c r="E52" s="16" t="n"/>
      <c r="F52" s="15" t="n"/>
      <c r="G52" s="15" t="n"/>
      <c r="H52" s="15" t="n"/>
      <c r="I52" s="16" t="n"/>
      <c r="J52" s="16" t="n"/>
      <c r="K52" s="15">
        <f>IF(I52="","",MAX(0,IF(J52&lt;&gt;"",J52-I52,IF(OR(H52="Resolved",H52="Closed"),0,TODAY()-I52))))</f>
        <v/>
      </c>
      <c r="L52" s="15" t="n"/>
    </row>
    <row r="53">
      <c r="A53" s="15" t="n"/>
      <c r="B53" s="15" t="n"/>
      <c r="C53" s="15" t="n"/>
      <c r="D53" s="15" t="n"/>
      <c r="E53" s="16" t="n"/>
      <c r="F53" s="15" t="n"/>
      <c r="G53" s="15" t="n"/>
      <c r="H53" s="15" t="n"/>
      <c r="I53" s="16" t="n"/>
      <c r="J53" s="16" t="n"/>
      <c r="K53" s="15">
        <f>IF(I53="","",MAX(0,IF(J53&lt;&gt;"",J53-I53,IF(OR(H53="Resolved",H53="Closed"),0,TODAY()-I53))))</f>
        <v/>
      </c>
      <c r="L53" s="15" t="n"/>
    </row>
    <row r="54">
      <c r="A54" s="15" t="n"/>
      <c r="B54" s="15" t="n"/>
      <c r="C54" s="15" t="n"/>
      <c r="D54" s="15" t="n"/>
      <c r="E54" s="16" t="n"/>
      <c r="F54" s="15" t="n"/>
      <c r="G54" s="15" t="n"/>
      <c r="H54" s="15" t="n"/>
      <c r="I54" s="16" t="n"/>
      <c r="J54" s="16" t="n"/>
      <c r="K54" s="15">
        <f>IF(I54="","",MAX(0,IF(J54&lt;&gt;"",J54-I54,IF(OR(H54="Resolved",H54="Closed"),0,TODAY()-I54))))</f>
        <v/>
      </c>
      <c r="L54" s="15" t="n"/>
    </row>
    <row r="55">
      <c r="A55" s="15" t="n"/>
      <c r="B55" s="15" t="n"/>
      <c r="C55" s="15" t="n"/>
      <c r="D55" s="15" t="n"/>
      <c r="E55" s="16" t="n"/>
      <c r="F55" s="15" t="n"/>
      <c r="G55" s="15" t="n"/>
      <c r="H55" s="15" t="n"/>
      <c r="I55" s="16" t="n"/>
      <c r="J55" s="16" t="n"/>
      <c r="K55" s="15">
        <f>IF(I55="","",MAX(0,IF(J55&lt;&gt;"",J55-I55,IF(OR(H55="Resolved",H55="Closed"),0,TODAY()-I55))))</f>
        <v/>
      </c>
      <c r="L55" s="15" t="n"/>
    </row>
    <row r="56">
      <c r="A56" s="15" t="n"/>
      <c r="B56" s="15" t="n"/>
      <c r="C56" s="15" t="n"/>
      <c r="D56" s="15" t="n"/>
      <c r="E56" s="16" t="n"/>
      <c r="F56" s="15" t="n"/>
      <c r="G56" s="15" t="n"/>
      <c r="H56" s="15" t="n"/>
      <c r="I56" s="16" t="n"/>
      <c r="J56" s="16" t="n"/>
      <c r="K56" s="15">
        <f>IF(I56="","",MAX(0,IF(J56&lt;&gt;"",J56-I56,IF(OR(H56="Resolved",H56="Closed"),0,TODAY()-I56))))</f>
        <v/>
      </c>
      <c r="L56" s="15" t="n"/>
    </row>
    <row r="57">
      <c r="A57" s="15" t="n"/>
      <c r="B57" s="15" t="n"/>
      <c r="C57" s="15" t="n"/>
      <c r="D57" s="15" t="n"/>
      <c r="E57" s="16" t="n"/>
      <c r="F57" s="15" t="n"/>
      <c r="G57" s="15" t="n"/>
      <c r="H57" s="15" t="n"/>
      <c r="I57" s="16" t="n"/>
      <c r="J57" s="16" t="n"/>
      <c r="K57" s="15">
        <f>IF(I57="","",MAX(0,IF(J57&lt;&gt;"",J57-I57,IF(OR(H57="Resolved",H57="Closed"),0,TODAY()-I57))))</f>
        <v/>
      </c>
      <c r="L57" s="15" t="n"/>
    </row>
    <row r="58">
      <c r="A58" s="15" t="n"/>
      <c r="B58" s="15" t="n"/>
      <c r="C58" s="15" t="n"/>
      <c r="D58" s="15" t="n"/>
      <c r="E58" s="16" t="n"/>
      <c r="F58" s="15" t="n"/>
      <c r="G58" s="15" t="n"/>
      <c r="H58" s="15" t="n"/>
      <c r="I58" s="16" t="n"/>
      <c r="J58" s="16" t="n"/>
      <c r="K58" s="15">
        <f>IF(I58="","",MAX(0,IF(J58&lt;&gt;"",J58-I58,IF(OR(H58="Resolved",H58="Closed"),0,TODAY()-I58))))</f>
        <v/>
      </c>
      <c r="L58" s="15" t="n"/>
    </row>
    <row r="59">
      <c r="A59" s="15" t="n"/>
      <c r="B59" s="15" t="n"/>
      <c r="C59" s="15" t="n"/>
      <c r="D59" s="15" t="n"/>
      <c r="E59" s="16" t="n"/>
      <c r="F59" s="15" t="n"/>
      <c r="G59" s="15" t="n"/>
      <c r="H59" s="15" t="n"/>
      <c r="I59" s="16" t="n"/>
      <c r="J59" s="16" t="n"/>
      <c r="K59" s="15">
        <f>IF(I59="","",MAX(0,IF(J59&lt;&gt;"",J59-I59,IF(OR(H59="Resolved",H59="Closed"),0,TODAY()-I59))))</f>
        <v/>
      </c>
      <c r="L59" s="15" t="n"/>
    </row>
    <row r="60">
      <c r="A60" s="15" t="n"/>
      <c r="B60" s="15" t="n"/>
      <c r="C60" s="15" t="n"/>
      <c r="D60" s="15" t="n"/>
      <c r="E60" s="16" t="n"/>
      <c r="F60" s="15" t="n"/>
      <c r="G60" s="15" t="n"/>
      <c r="H60" s="15" t="n"/>
      <c r="I60" s="16" t="n"/>
      <c r="J60" s="16" t="n"/>
      <c r="K60" s="15">
        <f>IF(I60="","",MAX(0,IF(J60&lt;&gt;"",J60-I60,IF(OR(H60="Resolved",H60="Closed"),0,TODAY()-I60))))</f>
        <v/>
      </c>
      <c r="L60" s="15" t="n"/>
    </row>
    <row r="61">
      <c r="A61" s="15" t="n"/>
      <c r="B61" s="15" t="n"/>
      <c r="C61" s="15" t="n"/>
      <c r="D61" s="15" t="n"/>
      <c r="E61" s="16" t="n"/>
      <c r="F61" s="15" t="n"/>
      <c r="G61" s="15" t="n"/>
      <c r="H61" s="15" t="n"/>
      <c r="I61" s="16" t="n"/>
      <c r="J61" s="16" t="n"/>
      <c r="K61" s="15">
        <f>IF(I61="","",MAX(0,IF(J61&lt;&gt;"",J61-I61,IF(OR(H61="Resolved",H61="Closed"),0,TODAY()-I61))))</f>
        <v/>
      </c>
      <c r="L61" s="15" t="n"/>
    </row>
    <row r="62">
      <c r="A62" s="15" t="n"/>
      <c r="B62" s="15" t="n"/>
      <c r="C62" s="15" t="n"/>
      <c r="D62" s="15" t="n"/>
      <c r="E62" s="16" t="n"/>
      <c r="F62" s="15" t="n"/>
      <c r="G62" s="15" t="n"/>
      <c r="H62" s="15" t="n"/>
      <c r="I62" s="16" t="n"/>
      <c r="J62" s="16" t="n"/>
      <c r="K62" s="15">
        <f>IF(I62="","",MAX(0,IF(J62&lt;&gt;"",J62-I62,IF(OR(H62="Resolved",H62="Closed"),0,TODAY()-I62))))</f>
        <v/>
      </c>
      <c r="L62" s="15" t="n"/>
    </row>
    <row r="63">
      <c r="A63" s="15" t="n"/>
      <c r="B63" s="15" t="n"/>
      <c r="C63" s="15" t="n"/>
      <c r="D63" s="15" t="n"/>
      <c r="E63" s="16" t="n"/>
      <c r="F63" s="15" t="n"/>
      <c r="G63" s="15" t="n"/>
      <c r="H63" s="15" t="n"/>
      <c r="I63" s="16" t="n"/>
      <c r="J63" s="16" t="n"/>
      <c r="K63" s="15">
        <f>IF(I63="","",MAX(0,IF(J63&lt;&gt;"",J63-I63,IF(OR(H63="Resolved",H63="Closed"),0,TODAY()-I63))))</f>
        <v/>
      </c>
      <c r="L63" s="15" t="n"/>
    </row>
    <row r="64">
      <c r="A64" s="15" t="n"/>
      <c r="B64" s="15" t="n"/>
      <c r="C64" s="15" t="n"/>
      <c r="D64" s="15" t="n"/>
      <c r="E64" s="16" t="n"/>
      <c r="F64" s="15" t="n"/>
      <c r="G64" s="15" t="n"/>
      <c r="H64" s="15" t="n"/>
      <c r="I64" s="16" t="n"/>
      <c r="J64" s="16" t="n"/>
      <c r="K64" s="15">
        <f>IF(I64="","",MAX(0,IF(J64&lt;&gt;"",J64-I64,IF(OR(H64="Resolved",H64="Closed"),0,TODAY()-I64))))</f>
        <v/>
      </c>
      <c r="L64" s="15" t="n"/>
    </row>
    <row r="65">
      <c r="A65" s="15" t="n"/>
      <c r="B65" s="15" t="n"/>
      <c r="C65" s="15" t="n"/>
      <c r="D65" s="15" t="n"/>
      <c r="E65" s="16" t="n"/>
      <c r="F65" s="15" t="n"/>
      <c r="G65" s="15" t="n"/>
      <c r="H65" s="15" t="n"/>
      <c r="I65" s="16" t="n"/>
      <c r="J65" s="16" t="n"/>
      <c r="K65" s="15">
        <f>IF(I65="","",MAX(0,IF(J65&lt;&gt;"",J65-I65,IF(OR(H65="Resolved",H65="Closed"),0,TODAY()-I65))))</f>
        <v/>
      </c>
      <c r="L65" s="15" t="n"/>
    </row>
    <row r="66">
      <c r="A66" s="15" t="n"/>
      <c r="B66" s="15" t="n"/>
      <c r="C66" s="15" t="n"/>
      <c r="D66" s="15" t="n"/>
      <c r="E66" s="16" t="n"/>
      <c r="F66" s="15" t="n"/>
      <c r="G66" s="15" t="n"/>
      <c r="H66" s="15" t="n"/>
      <c r="I66" s="16" t="n"/>
      <c r="J66" s="16" t="n"/>
      <c r="K66" s="15">
        <f>IF(I66="","",MAX(0,IF(J66&lt;&gt;"",J66-I66,IF(OR(H66="Resolved",H66="Closed"),0,TODAY()-I66))))</f>
        <v/>
      </c>
      <c r="L66" s="15" t="n"/>
    </row>
    <row r="67">
      <c r="A67" s="15" t="n"/>
      <c r="B67" s="15" t="n"/>
      <c r="C67" s="15" t="n"/>
      <c r="D67" s="15" t="n"/>
      <c r="E67" s="16" t="n"/>
      <c r="F67" s="15" t="n"/>
      <c r="G67" s="15" t="n"/>
      <c r="H67" s="15" t="n"/>
      <c r="I67" s="16" t="n"/>
      <c r="J67" s="16" t="n"/>
      <c r="K67" s="15">
        <f>IF(I67="","",MAX(0,IF(J67&lt;&gt;"",J67-I67,IF(OR(H67="Resolved",H67="Closed"),0,TODAY()-I67))))</f>
        <v/>
      </c>
      <c r="L67" s="15" t="n"/>
    </row>
    <row r="68">
      <c r="A68" s="15" t="n"/>
      <c r="B68" s="15" t="n"/>
      <c r="C68" s="15" t="n"/>
      <c r="D68" s="15" t="n"/>
      <c r="E68" s="16" t="n"/>
      <c r="F68" s="15" t="n"/>
      <c r="G68" s="15" t="n"/>
      <c r="H68" s="15" t="n"/>
      <c r="I68" s="16" t="n"/>
      <c r="J68" s="16" t="n"/>
      <c r="K68" s="15">
        <f>IF(I68="","",MAX(0,IF(J68&lt;&gt;"",J68-I68,IF(OR(H68="Resolved",H68="Closed"),0,TODAY()-I68))))</f>
        <v/>
      </c>
      <c r="L68" s="15" t="n"/>
    </row>
    <row r="69">
      <c r="A69" s="15" t="n"/>
      <c r="B69" s="15" t="n"/>
      <c r="C69" s="15" t="n"/>
      <c r="D69" s="15" t="n"/>
      <c r="E69" s="16" t="n"/>
      <c r="F69" s="15" t="n"/>
      <c r="G69" s="15" t="n"/>
      <c r="H69" s="15" t="n"/>
      <c r="I69" s="16" t="n"/>
      <c r="J69" s="16" t="n"/>
      <c r="K69" s="15">
        <f>IF(I69="","",MAX(0,IF(J69&lt;&gt;"",J69-I69,IF(OR(H69="Resolved",H69="Closed"),0,TODAY()-I69))))</f>
        <v/>
      </c>
      <c r="L69" s="15" t="n"/>
    </row>
    <row r="70">
      <c r="A70" s="15" t="n"/>
      <c r="B70" s="15" t="n"/>
      <c r="C70" s="15" t="n"/>
      <c r="D70" s="15" t="n"/>
      <c r="E70" s="16" t="n"/>
      <c r="F70" s="15" t="n"/>
      <c r="G70" s="15" t="n"/>
      <c r="H70" s="15" t="n"/>
      <c r="I70" s="16" t="n"/>
      <c r="J70" s="16" t="n"/>
      <c r="K70" s="15">
        <f>IF(I70="","",MAX(0,IF(J70&lt;&gt;"",J70-I70,IF(OR(H70="Resolved",H70="Closed"),0,TODAY()-I70))))</f>
        <v/>
      </c>
      <c r="L70" s="15" t="n"/>
    </row>
    <row r="71">
      <c r="A71" s="15" t="n"/>
      <c r="B71" s="15" t="n"/>
      <c r="C71" s="15" t="n"/>
      <c r="D71" s="15" t="n"/>
      <c r="E71" s="16" t="n"/>
      <c r="F71" s="15" t="n"/>
      <c r="G71" s="15" t="n"/>
      <c r="H71" s="15" t="n"/>
      <c r="I71" s="16" t="n"/>
      <c r="J71" s="16" t="n"/>
      <c r="K71" s="15">
        <f>IF(I71="","",MAX(0,IF(J71&lt;&gt;"",J71-I71,IF(OR(H71="Resolved",H71="Closed"),0,TODAY()-I71))))</f>
        <v/>
      </c>
      <c r="L71" s="15" t="n"/>
    </row>
    <row r="72">
      <c r="A72" s="15" t="n"/>
      <c r="B72" s="15" t="n"/>
      <c r="C72" s="15" t="n"/>
      <c r="D72" s="15" t="n"/>
      <c r="E72" s="16" t="n"/>
      <c r="F72" s="15" t="n"/>
      <c r="G72" s="15" t="n"/>
      <c r="H72" s="15" t="n"/>
      <c r="I72" s="16" t="n"/>
      <c r="J72" s="16" t="n"/>
      <c r="K72" s="15">
        <f>IF(I72="","",MAX(0,IF(J72&lt;&gt;"",J72-I72,IF(OR(H72="Resolved",H72="Closed"),0,TODAY()-I72))))</f>
        <v/>
      </c>
      <c r="L72" s="15" t="n"/>
    </row>
    <row r="73">
      <c r="A73" s="15" t="n"/>
      <c r="B73" s="15" t="n"/>
      <c r="C73" s="15" t="n"/>
      <c r="D73" s="15" t="n"/>
      <c r="E73" s="16" t="n"/>
      <c r="F73" s="15" t="n"/>
      <c r="G73" s="15" t="n"/>
      <c r="H73" s="15" t="n"/>
      <c r="I73" s="16" t="n"/>
      <c r="J73" s="16" t="n"/>
      <c r="K73" s="15">
        <f>IF(I73="","",MAX(0,IF(J73&lt;&gt;"",J73-I73,IF(OR(H73="Resolved",H73="Closed"),0,TODAY()-I73))))</f>
        <v/>
      </c>
      <c r="L73" s="15" t="n"/>
    </row>
    <row r="74">
      <c r="A74" s="15" t="n"/>
      <c r="B74" s="15" t="n"/>
      <c r="C74" s="15" t="n"/>
      <c r="D74" s="15" t="n"/>
      <c r="E74" s="16" t="n"/>
      <c r="F74" s="15" t="n"/>
      <c r="G74" s="15" t="n"/>
      <c r="H74" s="15" t="n"/>
      <c r="I74" s="16" t="n"/>
      <c r="J74" s="16" t="n"/>
      <c r="K74" s="15">
        <f>IF(I74="","",MAX(0,IF(J74&lt;&gt;"",J74-I74,IF(OR(H74="Resolved",H74="Closed"),0,TODAY()-I74))))</f>
        <v/>
      </c>
      <c r="L74" s="15" t="n"/>
    </row>
    <row r="75">
      <c r="A75" s="15" t="n"/>
      <c r="B75" s="15" t="n"/>
      <c r="C75" s="15" t="n"/>
      <c r="D75" s="15" t="n"/>
      <c r="E75" s="16" t="n"/>
      <c r="F75" s="15" t="n"/>
      <c r="G75" s="15" t="n"/>
      <c r="H75" s="15" t="n"/>
      <c r="I75" s="16" t="n"/>
      <c r="J75" s="16" t="n"/>
      <c r="K75" s="15">
        <f>IF(I75="","",MAX(0,IF(J75&lt;&gt;"",J75-I75,IF(OR(H75="Resolved",H75="Closed"),0,TODAY()-I75))))</f>
        <v/>
      </c>
      <c r="L75" s="15" t="n"/>
    </row>
    <row r="76">
      <c r="A76" s="15" t="n"/>
      <c r="B76" s="15" t="n"/>
      <c r="C76" s="15" t="n"/>
      <c r="D76" s="15" t="n"/>
      <c r="E76" s="16" t="n"/>
      <c r="F76" s="15" t="n"/>
      <c r="G76" s="15" t="n"/>
      <c r="H76" s="15" t="n"/>
      <c r="I76" s="16" t="n"/>
      <c r="J76" s="16" t="n"/>
      <c r="K76" s="15">
        <f>IF(I76="","",MAX(0,IF(J76&lt;&gt;"",J76-I76,IF(OR(H76="Resolved",H76="Closed"),0,TODAY()-I76))))</f>
        <v/>
      </c>
      <c r="L76" s="15" t="n"/>
    </row>
    <row r="77">
      <c r="A77" s="15" t="n"/>
      <c r="B77" s="15" t="n"/>
      <c r="C77" s="15" t="n"/>
      <c r="D77" s="15" t="n"/>
      <c r="E77" s="16" t="n"/>
      <c r="F77" s="15" t="n"/>
      <c r="G77" s="15" t="n"/>
      <c r="H77" s="15" t="n"/>
      <c r="I77" s="16" t="n"/>
      <c r="J77" s="16" t="n"/>
      <c r="K77" s="15">
        <f>IF(I77="","",MAX(0,IF(J77&lt;&gt;"",J77-I77,IF(OR(H77="Resolved",H77="Closed"),0,TODAY()-I77))))</f>
        <v/>
      </c>
      <c r="L77" s="15" t="n"/>
    </row>
    <row r="78">
      <c r="A78" s="15" t="n"/>
      <c r="B78" s="15" t="n"/>
      <c r="C78" s="15" t="n"/>
      <c r="D78" s="15" t="n"/>
      <c r="E78" s="16" t="n"/>
      <c r="F78" s="15" t="n"/>
      <c r="G78" s="15" t="n"/>
      <c r="H78" s="15" t="n"/>
      <c r="I78" s="16" t="n"/>
      <c r="J78" s="16" t="n"/>
      <c r="K78" s="15">
        <f>IF(I78="","",MAX(0,IF(J78&lt;&gt;"",J78-I78,IF(OR(H78="Resolved",H78="Closed"),0,TODAY()-I78))))</f>
        <v/>
      </c>
      <c r="L78" s="15" t="n"/>
    </row>
    <row r="79">
      <c r="A79" s="15" t="n"/>
      <c r="B79" s="15" t="n"/>
      <c r="C79" s="15" t="n"/>
      <c r="D79" s="15" t="n"/>
      <c r="E79" s="16" t="n"/>
      <c r="F79" s="15" t="n"/>
      <c r="G79" s="15" t="n"/>
      <c r="H79" s="15" t="n"/>
      <c r="I79" s="16" t="n"/>
      <c r="J79" s="16" t="n"/>
      <c r="K79" s="15">
        <f>IF(I79="","",MAX(0,IF(J79&lt;&gt;"",J79-I79,IF(OR(H79="Resolved",H79="Closed"),0,TODAY()-I79))))</f>
        <v/>
      </c>
      <c r="L79" s="15" t="n"/>
    </row>
    <row r="80">
      <c r="A80" s="15" t="n"/>
      <c r="B80" s="15" t="n"/>
      <c r="C80" s="15" t="n"/>
      <c r="D80" s="15" t="n"/>
      <c r="E80" s="16" t="n"/>
      <c r="F80" s="15" t="n"/>
      <c r="G80" s="15" t="n"/>
      <c r="H80" s="15" t="n"/>
      <c r="I80" s="16" t="n"/>
      <c r="J80" s="16" t="n"/>
      <c r="K80" s="15">
        <f>IF(I80="","",MAX(0,IF(J80&lt;&gt;"",J80-I80,IF(OR(H80="Resolved",H80="Closed"),0,TODAY()-I80))))</f>
        <v/>
      </c>
      <c r="L80" s="15" t="n"/>
    </row>
    <row r="81">
      <c r="A81" s="15" t="n"/>
      <c r="B81" s="15" t="n"/>
      <c r="C81" s="15" t="n"/>
      <c r="D81" s="15" t="n"/>
      <c r="E81" s="16" t="n"/>
      <c r="F81" s="15" t="n"/>
      <c r="G81" s="15" t="n"/>
      <c r="H81" s="15" t="n"/>
      <c r="I81" s="16" t="n"/>
      <c r="J81" s="16" t="n"/>
      <c r="K81" s="15">
        <f>IF(I81="","",MAX(0,IF(J81&lt;&gt;"",J81-I81,IF(OR(H81="Resolved",H81="Closed"),0,TODAY()-I81))))</f>
        <v/>
      </c>
      <c r="L81" s="15" t="n"/>
    </row>
    <row r="82">
      <c r="A82" s="15" t="n"/>
      <c r="B82" s="15" t="n"/>
      <c r="C82" s="15" t="n"/>
      <c r="D82" s="15" t="n"/>
      <c r="E82" s="16" t="n"/>
      <c r="F82" s="15" t="n"/>
      <c r="G82" s="15" t="n"/>
      <c r="H82" s="15" t="n"/>
      <c r="I82" s="16" t="n"/>
      <c r="J82" s="16" t="n"/>
      <c r="K82" s="15">
        <f>IF(I82="","",MAX(0,IF(J82&lt;&gt;"",J82-I82,IF(OR(H82="Resolved",H82="Closed"),0,TODAY()-I82))))</f>
        <v/>
      </c>
      <c r="L82" s="15" t="n"/>
    </row>
    <row r="83">
      <c r="A83" s="15" t="n"/>
      <c r="B83" s="15" t="n"/>
      <c r="C83" s="15" t="n"/>
      <c r="D83" s="15" t="n"/>
      <c r="E83" s="16" t="n"/>
      <c r="F83" s="15" t="n"/>
      <c r="G83" s="15" t="n"/>
      <c r="H83" s="15" t="n"/>
      <c r="I83" s="16" t="n"/>
      <c r="J83" s="16" t="n"/>
      <c r="K83" s="15">
        <f>IF(I83="","",MAX(0,IF(J83&lt;&gt;"",J83-I83,IF(OR(H83="Resolved",H83="Closed"),0,TODAY()-I83))))</f>
        <v/>
      </c>
      <c r="L83" s="15" t="n"/>
    </row>
    <row r="84">
      <c r="A84" s="15" t="n"/>
      <c r="B84" s="15" t="n"/>
      <c r="C84" s="15" t="n"/>
      <c r="D84" s="15" t="n"/>
      <c r="E84" s="16" t="n"/>
      <c r="F84" s="15" t="n"/>
      <c r="G84" s="15" t="n"/>
      <c r="H84" s="15" t="n"/>
      <c r="I84" s="16" t="n"/>
      <c r="J84" s="16" t="n"/>
      <c r="K84" s="15">
        <f>IF(I84="","",MAX(0,IF(J84&lt;&gt;"",J84-I84,IF(OR(H84="Resolved",H84="Closed"),0,TODAY()-I84))))</f>
        <v/>
      </c>
      <c r="L84" s="15" t="n"/>
    </row>
    <row r="85">
      <c r="A85" s="15" t="n"/>
      <c r="B85" s="15" t="n"/>
      <c r="C85" s="15" t="n"/>
      <c r="D85" s="15" t="n"/>
      <c r="E85" s="16" t="n"/>
      <c r="F85" s="15" t="n"/>
      <c r="G85" s="15" t="n"/>
      <c r="H85" s="15" t="n"/>
      <c r="I85" s="16" t="n"/>
      <c r="J85" s="16" t="n"/>
      <c r="K85" s="15">
        <f>IF(I85="","",MAX(0,IF(J85&lt;&gt;"",J85-I85,IF(OR(H85="Resolved",H85="Closed"),0,TODAY()-I85))))</f>
        <v/>
      </c>
      <c r="L85" s="15" t="n"/>
    </row>
    <row r="86">
      <c r="A86" s="15" t="n"/>
      <c r="B86" s="15" t="n"/>
      <c r="C86" s="15" t="n"/>
      <c r="D86" s="15" t="n"/>
      <c r="E86" s="16" t="n"/>
      <c r="F86" s="15" t="n"/>
      <c r="G86" s="15" t="n"/>
      <c r="H86" s="15" t="n"/>
      <c r="I86" s="16" t="n"/>
      <c r="J86" s="16" t="n"/>
      <c r="K86" s="15">
        <f>IF(I86="","",MAX(0,IF(J86&lt;&gt;"",J86-I86,IF(OR(H86="Resolved",H86="Closed"),0,TODAY()-I86))))</f>
        <v/>
      </c>
      <c r="L86" s="15" t="n"/>
    </row>
    <row r="87">
      <c r="A87" s="15" t="n"/>
      <c r="B87" s="15" t="n"/>
      <c r="C87" s="15" t="n"/>
      <c r="D87" s="15" t="n"/>
      <c r="E87" s="16" t="n"/>
      <c r="F87" s="15" t="n"/>
      <c r="G87" s="15" t="n"/>
      <c r="H87" s="15" t="n"/>
      <c r="I87" s="16" t="n"/>
      <c r="J87" s="16" t="n"/>
      <c r="K87" s="15">
        <f>IF(I87="","",MAX(0,IF(J87&lt;&gt;"",J87-I87,IF(OR(H87="Resolved",H87="Closed"),0,TODAY()-I87))))</f>
        <v/>
      </c>
      <c r="L87" s="15" t="n"/>
    </row>
    <row r="88">
      <c r="A88" s="15" t="n"/>
      <c r="B88" s="15" t="n"/>
      <c r="C88" s="15" t="n"/>
      <c r="D88" s="15" t="n"/>
      <c r="E88" s="16" t="n"/>
      <c r="F88" s="15" t="n"/>
      <c r="G88" s="15" t="n"/>
      <c r="H88" s="15" t="n"/>
      <c r="I88" s="16" t="n"/>
      <c r="J88" s="16" t="n"/>
      <c r="K88" s="15">
        <f>IF(I88="","",MAX(0,IF(J88&lt;&gt;"",J88-I88,IF(OR(H88="Resolved",H88="Closed"),0,TODAY()-I88))))</f>
        <v/>
      </c>
      <c r="L88" s="15" t="n"/>
    </row>
    <row r="89">
      <c r="A89" s="15" t="n"/>
      <c r="B89" s="15" t="n"/>
      <c r="C89" s="15" t="n"/>
      <c r="D89" s="15" t="n"/>
      <c r="E89" s="16" t="n"/>
      <c r="F89" s="15" t="n"/>
      <c r="G89" s="15" t="n"/>
      <c r="H89" s="15" t="n"/>
      <c r="I89" s="16" t="n"/>
      <c r="J89" s="16" t="n"/>
      <c r="K89" s="15">
        <f>IF(I89="","",MAX(0,IF(J89&lt;&gt;"",J89-I89,IF(OR(H89="Resolved",H89="Closed"),0,TODAY()-I89))))</f>
        <v/>
      </c>
      <c r="L89" s="15" t="n"/>
    </row>
    <row r="90">
      <c r="A90" s="15" t="n"/>
      <c r="B90" s="15" t="n"/>
      <c r="C90" s="15" t="n"/>
      <c r="D90" s="15" t="n"/>
      <c r="E90" s="16" t="n"/>
      <c r="F90" s="15" t="n"/>
      <c r="G90" s="15" t="n"/>
      <c r="H90" s="15" t="n"/>
      <c r="I90" s="16" t="n"/>
      <c r="J90" s="16" t="n"/>
      <c r="K90" s="15">
        <f>IF(I90="","",MAX(0,IF(J90&lt;&gt;"",J90-I90,IF(OR(H90="Resolved",H90="Closed"),0,TODAY()-I90))))</f>
        <v/>
      </c>
      <c r="L90" s="15" t="n"/>
    </row>
    <row r="91">
      <c r="A91" s="15" t="n"/>
      <c r="B91" s="15" t="n"/>
      <c r="C91" s="15" t="n"/>
      <c r="D91" s="15" t="n"/>
      <c r="E91" s="16" t="n"/>
      <c r="F91" s="15" t="n"/>
      <c r="G91" s="15" t="n"/>
      <c r="H91" s="15" t="n"/>
      <c r="I91" s="16" t="n"/>
      <c r="J91" s="16" t="n"/>
      <c r="K91" s="15">
        <f>IF(I91="","",MAX(0,IF(J91&lt;&gt;"",J91-I91,IF(OR(H91="Resolved",H91="Closed"),0,TODAY()-I91))))</f>
        <v/>
      </c>
      <c r="L91" s="15" t="n"/>
    </row>
    <row r="92">
      <c r="A92" s="15" t="n"/>
      <c r="B92" s="15" t="n"/>
      <c r="C92" s="15" t="n"/>
      <c r="D92" s="15" t="n"/>
      <c r="E92" s="16" t="n"/>
      <c r="F92" s="15" t="n"/>
      <c r="G92" s="15" t="n"/>
      <c r="H92" s="15" t="n"/>
      <c r="I92" s="16" t="n"/>
      <c r="J92" s="16" t="n"/>
      <c r="K92" s="15">
        <f>IF(I92="","",MAX(0,IF(J92&lt;&gt;"",J92-I92,IF(OR(H92="Resolved",H92="Closed"),0,TODAY()-I92))))</f>
        <v/>
      </c>
      <c r="L92" s="15" t="n"/>
    </row>
    <row r="93">
      <c r="A93" s="15" t="n"/>
      <c r="B93" s="15" t="n"/>
      <c r="C93" s="15" t="n"/>
      <c r="D93" s="15" t="n"/>
      <c r="E93" s="16" t="n"/>
      <c r="F93" s="15" t="n"/>
      <c r="G93" s="15" t="n"/>
      <c r="H93" s="15" t="n"/>
      <c r="I93" s="16" t="n"/>
      <c r="J93" s="16" t="n"/>
      <c r="K93" s="15">
        <f>IF(I93="","",MAX(0,IF(J93&lt;&gt;"",J93-I93,IF(OR(H93="Resolved",H93="Closed"),0,TODAY()-I93))))</f>
        <v/>
      </c>
      <c r="L93" s="15" t="n"/>
    </row>
    <row r="94">
      <c r="A94" s="15" t="n"/>
      <c r="B94" s="15" t="n"/>
      <c r="C94" s="15" t="n"/>
      <c r="D94" s="15" t="n"/>
      <c r="E94" s="16" t="n"/>
      <c r="F94" s="15" t="n"/>
      <c r="G94" s="15" t="n"/>
      <c r="H94" s="15" t="n"/>
      <c r="I94" s="16" t="n"/>
      <c r="J94" s="16" t="n"/>
      <c r="K94" s="15">
        <f>IF(I94="","",MAX(0,IF(J94&lt;&gt;"",J94-I94,IF(OR(H94="Resolved",H94="Closed"),0,TODAY()-I94))))</f>
        <v/>
      </c>
      <c r="L94" s="15" t="n"/>
    </row>
    <row r="95">
      <c r="A95" s="15" t="n"/>
      <c r="B95" s="15" t="n"/>
      <c r="C95" s="15" t="n"/>
      <c r="D95" s="15" t="n"/>
      <c r="E95" s="16" t="n"/>
      <c r="F95" s="15" t="n"/>
      <c r="G95" s="15" t="n"/>
      <c r="H95" s="15" t="n"/>
      <c r="I95" s="16" t="n"/>
      <c r="J95" s="16" t="n"/>
      <c r="K95" s="15">
        <f>IF(I95="","",MAX(0,IF(J95&lt;&gt;"",J95-I95,IF(OR(H95="Resolved",H95="Closed"),0,TODAY()-I95))))</f>
        <v/>
      </c>
      <c r="L95" s="15" t="n"/>
    </row>
    <row r="96">
      <c r="A96" s="15" t="n"/>
      <c r="B96" s="15" t="n"/>
      <c r="C96" s="15" t="n"/>
      <c r="D96" s="15" t="n"/>
      <c r="E96" s="16" t="n"/>
      <c r="F96" s="15" t="n"/>
      <c r="G96" s="15" t="n"/>
      <c r="H96" s="15" t="n"/>
      <c r="I96" s="16" t="n"/>
      <c r="J96" s="16" t="n"/>
      <c r="K96" s="15">
        <f>IF(I96="","",MAX(0,IF(J96&lt;&gt;"",J96-I96,IF(OR(H96="Resolved",H96="Closed"),0,TODAY()-I96))))</f>
        <v/>
      </c>
      <c r="L96" s="15" t="n"/>
    </row>
    <row r="97">
      <c r="A97" s="15" t="n"/>
      <c r="B97" s="15" t="n"/>
      <c r="C97" s="15" t="n"/>
      <c r="D97" s="15" t="n"/>
      <c r="E97" s="16" t="n"/>
      <c r="F97" s="15" t="n"/>
      <c r="G97" s="15" t="n"/>
      <c r="H97" s="15" t="n"/>
      <c r="I97" s="16" t="n"/>
      <c r="J97" s="16" t="n"/>
      <c r="K97" s="15">
        <f>IF(I97="","",MAX(0,IF(J97&lt;&gt;"",J97-I97,IF(OR(H97="Resolved",H97="Closed"),0,TODAY()-I97))))</f>
        <v/>
      </c>
      <c r="L97" s="15" t="n"/>
    </row>
    <row r="98">
      <c r="A98" s="15" t="n"/>
      <c r="B98" s="15" t="n"/>
      <c r="C98" s="15" t="n"/>
      <c r="D98" s="15" t="n"/>
      <c r="E98" s="16" t="n"/>
      <c r="F98" s="15" t="n"/>
      <c r="G98" s="15" t="n"/>
      <c r="H98" s="15" t="n"/>
      <c r="I98" s="16" t="n"/>
      <c r="J98" s="16" t="n"/>
      <c r="K98" s="15">
        <f>IF(I98="","",MAX(0,IF(J98&lt;&gt;"",J98-I98,IF(OR(H98="Resolved",H98="Closed"),0,TODAY()-I98))))</f>
        <v/>
      </c>
      <c r="L98" s="15" t="n"/>
    </row>
    <row r="99">
      <c r="A99" s="15" t="n"/>
      <c r="B99" s="15" t="n"/>
      <c r="C99" s="15" t="n"/>
      <c r="D99" s="15" t="n"/>
      <c r="E99" s="16" t="n"/>
      <c r="F99" s="15" t="n"/>
      <c r="G99" s="15" t="n"/>
      <c r="H99" s="15" t="n"/>
      <c r="I99" s="16" t="n"/>
      <c r="J99" s="16" t="n"/>
      <c r="K99" s="15">
        <f>IF(I99="","",MAX(0,IF(J99&lt;&gt;"",J99-I99,IF(OR(H99="Resolved",H99="Closed"),0,TODAY()-I99))))</f>
        <v/>
      </c>
      <c r="L99" s="15" t="n"/>
    </row>
    <row r="100">
      <c r="A100" s="15" t="n"/>
      <c r="B100" s="15" t="n"/>
      <c r="C100" s="15" t="n"/>
      <c r="D100" s="15" t="n"/>
      <c r="E100" s="16" t="n"/>
      <c r="F100" s="15" t="n"/>
      <c r="G100" s="15" t="n"/>
      <c r="H100" s="15" t="n"/>
      <c r="I100" s="16" t="n"/>
      <c r="J100" s="16" t="n"/>
      <c r="K100" s="15">
        <f>IF(I100="","",MAX(0,IF(J100&lt;&gt;"",J100-I100,IF(OR(H100="Resolved",H100="Closed"),0,TODAY()-I100))))</f>
        <v/>
      </c>
      <c r="L100" s="15" t="n"/>
    </row>
    <row r="101">
      <c r="A101" s="15" t="n"/>
      <c r="B101" s="15" t="n"/>
      <c r="C101" s="15" t="n"/>
      <c r="D101" s="15" t="n"/>
      <c r="E101" s="16" t="n"/>
      <c r="F101" s="15" t="n"/>
      <c r="G101" s="15" t="n"/>
      <c r="H101" s="15" t="n"/>
      <c r="I101" s="16" t="n"/>
      <c r="J101" s="16" t="n"/>
      <c r="K101" s="15">
        <f>IF(I101="","",MAX(0,IF(J101&lt;&gt;"",J101-I101,IF(OR(H101="Resolved",H101="Closed"),0,TODAY()-I101))))</f>
        <v/>
      </c>
      <c r="L101" s="15" t="n"/>
    </row>
    <row r="102">
      <c r="A102" s="15" t="n"/>
      <c r="B102" s="15" t="n"/>
      <c r="C102" s="15" t="n"/>
      <c r="D102" s="15" t="n"/>
      <c r="E102" s="16" t="n"/>
      <c r="F102" s="15" t="n"/>
      <c r="G102" s="15" t="n"/>
      <c r="H102" s="15" t="n"/>
      <c r="I102" s="16" t="n"/>
      <c r="J102" s="16" t="n"/>
      <c r="K102" s="15">
        <f>IF(I102="","",MAX(0,IF(J102&lt;&gt;"",J102-I102,IF(OR(H102="Resolved",H102="Closed"),0,TODAY()-I102))))</f>
        <v/>
      </c>
      <c r="L102" s="15" t="n"/>
    </row>
    <row r="103">
      <c r="A103" s="15" t="n"/>
      <c r="B103" s="15" t="n"/>
      <c r="C103" s="15" t="n"/>
      <c r="D103" s="15" t="n"/>
      <c r="E103" s="16" t="n"/>
      <c r="F103" s="15" t="n"/>
      <c r="G103" s="15" t="n"/>
      <c r="H103" s="15" t="n"/>
      <c r="I103" s="16" t="n"/>
      <c r="J103" s="16" t="n"/>
      <c r="K103" s="15">
        <f>IF(I103="","",MAX(0,IF(J103&lt;&gt;"",J103-I103,IF(OR(H103="Resolved",H103="Closed"),0,TODAY()-I103))))</f>
        <v/>
      </c>
      <c r="L103" s="15" t="n"/>
    </row>
    <row r="104">
      <c r="A104" s="15" t="n"/>
      <c r="B104" s="15" t="n"/>
      <c r="C104" s="15" t="n"/>
      <c r="D104" s="15" t="n"/>
      <c r="E104" s="16" t="n"/>
      <c r="F104" s="15" t="n"/>
      <c r="G104" s="15" t="n"/>
      <c r="H104" s="15" t="n"/>
      <c r="I104" s="16" t="n"/>
      <c r="J104" s="16" t="n"/>
      <c r="K104" s="15">
        <f>IF(I104="","",MAX(0,IF(J104&lt;&gt;"",J104-I104,IF(OR(H104="Resolved",H104="Closed"),0,TODAY()-I104))))</f>
        <v/>
      </c>
      <c r="L104" s="15" t="n"/>
    </row>
    <row r="105">
      <c r="A105" s="15" t="n"/>
      <c r="B105" s="15" t="n"/>
      <c r="C105" s="15" t="n"/>
      <c r="D105" s="15" t="n"/>
      <c r="E105" s="16" t="n"/>
      <c r="F105" s="15" t="n"/>
      <c r="G105" s="15" t="n"/>
      <c r="H105" s="15" t="n"/>
      <c r="I105" s="16" t="n"/>
      <c r="J105" s="16" t="n"/>
      <c r="K105" s="15">
        <f>IF(I105="","",MAX(0,IF(J105&lt;&gt;"",J105-I105,IF(OR(H105="Resolved",H105="Closed"),0,TODAY()-I105))))</f>
        <v/>
      </c>
      <c r="L105" s="15" t="n"/>
    </row>
    <row r="106">
      <c r="A106" s="15" t="n"/>
      <c r="B106" s="15" t="n"/>
      <c r="C106" s="15" t="n"/>
      <c r="D106" s="15" t="n"/>
      <c r="E106" s="16" t="n"/>
      <c r="F106" s="15" t="n"/>
      <c r="G106" s="15" t="n"/>
      <c r="H106" s="15" t="n"/>
      <c r="I106" s="16" t="n"/>
      <c r="J106" s="16" t="n"/>
      <c r="K106" s="15">
        <f>IF(I106="","",MAX(0,IF(J106&lt;&gt;"",J106-I106,IF(OR(H106="Resolved",H106="Closed"),0,TODAY()-I106))))</f>
        <v/>
      </c>
      <c r="L106" s="15" t="n"/>
    </row>
    <row r="107">
      <c r="A107" s="15" t="n"/>
      <c r="B107" s="15" t="n"/>
      <c r="C107" s="15" t="n"/>
      <c r="D107" s="15" t="n"/>
      <c r="E107" s="16" t="n"/>
      <c r="F107" s="15" t="n"/>
      <c r="G107" s="15" t="n"/>
      <c r="H107" s="15" t="n"/>
      <c r="I107" s="16" t="n"/>
      <c r="J107" s="16" t="n"/>
      <c r="K107" s="15">
        <f>IF(I107="","",MAX(0,IF(J107&lt;&gt;"",J107-I107,IF(OR(H107="Resolved",H107="Closed"),0,TODAY()-I107))))</f>
        <v/>
      </c>
      <c r="L107" s="15" t="n"/>
    </row>
    <row r="108">
      <c r="A108" s="15" t="n"/>
      <c r="B108" s="15" t="n"/>
      <c r="C108" s="15" t="n"/>
      <c r="D108" s="15" t="n"/>
      <c r="E108" s="16" t="n"/>
      <c r="F108" s="15" t="n"/>
      <c r="G108" s="15" t="n"/>
      <c r="H108" s="15" t="n"/>
      <c r="I108" s="16" t="n"/>
      <c r="J108" s="16" t="n"/>
      <c r="K108" s="15">
        <f>IF(I108="","",MAX(0,IF(J108&lt;&gt;"",J108-I108,IF(OR(H108="Resolved",H108="Closed"),0,TODAY()-I108))))</f>
        <v/>
      </c>
      <c r="L108" s="15" t="n"/>
    </row>
    <row r="109">
      <c r="A109" s="15" t="n"/>
      <c r="B109" s="15" t="n"/>
      <c r="C109" s="15" t="n"/>
      <c r="D109" s="15" t="n"/>
      <c r="E109" s="16" t="n"/>
      <c r="F109" s="15" t="n"/>
      <c r="G109" s="15" t="n"/>
      <c r="H109" s="15" t="n"/>
      <c r="I109" s="16" t="n"/>
      <c r="J109" s="16" t="n"/>
      <c r="K109" s="15">
        <f>IF(I109="","",MAX(0,IF(J109&lt;&gt;"",J109-I109,IF(OR(H109="Resolved",H109="Closed"),0,TODAY()-I109))))</f>
        <v/>
      </c>
      <c r="L109" s="15" t="n"/>
    </row>
    <row r="110">
      <c r="A110" s="15" t="n"/>
      <c r="B110" s="15" t="n"/>
      <c r="C110" s="15" t="n"/>
      <c r="D110" s="15" t="n"/>
      <c r="E110" s="16" t="n"/>
      <c r="F110" s="15" t="n"/>
      <c r="G110" s="15" t="n"/>
      <c r="H110" s="15" t="n"/>
      <c r="I110" s="16" t="n"/>
      <c r="J110" s="16" t="n"/>
      <c r="K110" s="15">
        <f>IF(I110="","",MAX(0,IF(J110&lt;&gt;"",J110-I110,IF(OR(H110="Resolved",H110="Closed"),0,TODAY()-I110))))</f>
        <v/>
      </c>
      <c r="L110" s="15" t="n"/>
    </row>
    <row r="111">
      <c r="A111" s="15" t="n"/>
      <c r="B111" s="15" t="n"/>
      <c r="C111" s="15" t="n"/>
      <c r="D111" s="15" t="n"/>
      <c r="E111" s="16" t="n"/>
      <c r="F111" s="15" t="n"/>
      <c r="G111" s="15" t="n"/>
      <c r="H111" s="15" t="n"/>
      <c r="I111" s="16" t="n"/>
      <c r="J111" s="16" t="n"/>
      <c r="K111" s="15">
        <f>IF(I111="","",MAX(0,IF(J111&lt;&gt;"",J111-I111,IF(OR(H111="Resolved",H111="Closed"),0,TODAY()-I111))))</f>
        <v/>
      </c>
      <c r="L111" s="15" t="n"/>
    </row>
    <row r="112">
      <c r="A112" s="15" t="n"/>
      <c r="B112" s="15" t="n"/>
      <c r="C112" s="15" t="n"/>
      <c r="D112" s="15" t="n"/>
      <c r="E112" s="16" t="n"/>
      <c r="F112" s="15" t="n"/>
      <c r="G112" s="15" t="n"/>
      <c r="H112" s="15" t="n"/>
      <c r="I112" s="16" t="n"/>
      <c r="J112" s="16" t="n"/>
      <c r="K112" s="15">
        <f>IF(I112="","",MAX(0,IF(J112&lt;&gt;"",J112-I112,IF(OR(H112="Resolved",H112="Closed"),0,TODAY()-I112))))</f>
        <v/>
      </c>
      <c r="L112" s="15" t="n"/>
    </row>
    <row r="113">
      <c r="A113" s="15" t="n"/>
      <c r="B113" s="15" t="n"/>
      <c r="C113" s="15" t="n"/>
      <c r="D113" s="15" t="n"/>
      <c r="E113" s="16" t="n"/>
      <c r="F113" s="15" t="n"/>
      <c r="G113" s="15" t="n"/>
      <c r="H113" s="15" t="n"/>
      <c r="I113" s="16" t="n"/>
      <c r="J113" s="16" t="n"/>
      <c r="K113" s="15">
        <f>IF(I113="","",MAX(0,IF(J113&lt;&gt;"",J113-I113,IF(OR(H113="Resolved",H113="Closed"),0,TODAY()-I113))))</f>
        <v/>
      </c>
      <c r="L113" s="15" t="n"/>
    </row>
    <row r="114">
      <c r="A114" s="15" t="n"/>
      <c r="B114" s="15" t="n"/>
      <c r="C114" s="15" t="n"/>
      <c r="D114" s="15" t="n"/>
      <c r="E114" s="16" t="n"/>
      <c r="F114" s="15" t="n"/>
      <c r="G114" s="15" t="n"/>
      <c r="H114" s="15" t="n"/>
      <c r="I114" s="16" t="n"/>
      <c r="J114" s="16" t="n"/>
      <c r="K114" s="15">
        <f>IF(I114="","",MAX(0,IF(J114&lt;&gt;"",J114-I114,IF(OR(H114="Resolved",H114="Closed"),0,TODAY()-I114))))</f>
        <v/>
      </c>
      <c r="L114" s="15" t="n"/>
    </row>
    <row r="115">
      <c r="A115" s="15" t="n"/>
      <c r="B115" s="15" t="n"/>
      <c r="C115" s="15" t="n"/>
      <c r="D115" s="15" t="n"/>
      <c r="E115" s="16" t="n"/>
      <c r="F115" s="15" t="n"/>
      <c r="G115" s="15" t="n"/>
      <c r="H115" s="15" t="n"/>
      <c r="I115" s="16" t="n"/>
      <c r="J115" s="16" t="n"/>
      <c r="K115" s="15">
        <f>IF(I115="","",MAX(0,IF(J115&lt;&gt;"",J115-I115,IF(OR(H115="Resolved",H115="Closed"),0,TODAY()-I115))))</f>
        <v/>
      </c>
      <c r="L115" s="15" t="n"/>
    </row>
    <row r="116">
      <c r="A116" s="15" t="n"/>
      <c r="B116" s="15" t="n"/>
      <c r="C116" s="15" t="n"/>
      <c r="D116" s="15" t="n"/>
      <c r="E116" s="16" t="n"/>
      <c r="F116" s="15" t="n"/>
      <c r="G116" s="15" t="n"/>
      <c r="H116" s="15" t="n"/>
      <c r="I116" s="16" t="n"/>
      <c r="J116" s="16" t="n"/>
      <c r="K116" s="15">
        <f>IF(I116="","",MAX(0,IF(J116&lt;&gt;"",J116-I116,IF(OR(H116="Resolved",H116="Closed"),0,TODAY()-I116))))</f>
        <v/>
      </c>
      <c r="L116" s="15" t="n"/>
    </row>
    <row r="117">
      <c r="A117" s="15" t="n"/>
      <c r="B117" s="15" t="n"/>
      <c r="C117" s="15" t="n"/>
      <c r="D117" s="15" t="n"/>
      <c r="E117" s="16" t="n"/>
      <c r="F117" s="15" t="n"/>
      <c r="G117" s="15" t="n"/>
      <c r="H117" s="15" t="n"/>
      <c r="I117" s="16" t="n"/>
      <c r="J117" s="16" t="n"/>
      <c r="K117" s="15">
        <f>IF(I117="","",MAX(0,IF(J117&lt;&gt;"",J117-I117,IF(OR(H117="Resolved",H117="Closed"),0,TODAY()-I117))))</f>
        <v/>
      </c>
      <c r="L117" s="15" t="n"/>
    </row>
    <row r="118">
      <c r="A118" s="15" t="n"/>
      <c r="B118" s="15" t="n"/>
      <c r="C118" s="15" t="n"/>
      <c r="D118" s="15" t="n"/>
      <c r="E118" s="16" t="n"/>
      <c r="F118" s="15" t="n"/>
      <c r="G118" s="15" t="n"/>
      <c r="H118" s="15" t="n"/>
      <c r="I118" s="16" t="n"/>
      <c r="J118" s="16" t="n"/>
      <c r="K118" s="15">
        <f>IF(I118="","",MAX(0,IF(J118&lt;&gt;"",J118-I118,IF(OR(H118="Resolved",H118="Closed"),0,TODAY()-I118))))</f>
        <v/>
      </c>
      <c r="L118" s="15" t="n"/>
    </row>
    <row r="119">
      <c r="A119" s="15" t="n"/>
      <c r="B119" s="15" t="n"/>
      <c r="C119" s="15" t="n"/>
      <c r="D119" s="15" t="n"/>
      <c r="E119" s="16" t="n"/>
      <c r="F119" s="15" t="n"/>
      <c r="G119" s="15" t="n"/>
      <c r="H119" s="15" t="n"/>
      <c r="I119" s="16" t="n"/>
      <c r="J119" s="16" t="n"/>
      <c r="K119" s="15">
        <f>IF(I119="","",MAX(0,IF(J119&lt;&gt;"",J119-I119,IF(OR(H119="Resolved",H119="Closed"),0,TODAY()-I119))))</f>
        <v/>
      </c>
      <c r="L119" s="15" t="n"/>
    </row>
    <row r="120">
      <c r="A120" s="15" t="n"/>
      <c r="B120" s="15" t="n"/>
      <c r="C120" s="15" t="n"/>
      <c r="D120" s="15" t="n"/>
      <c r="E120" s="16" t="n"/>
      <c r="F120" s="15" t="n"/>
      <c r="G120" s="15" t="n"/>
      <c r="H120" s="15" t="n"/>
      <c r="I120" s="16" t="n"/>
      <c r="J120" s="16" t="n"/>
      <c r="K120" s="15">
        <f>IF(I120="","",MAX(0,IF(J120&lt;&gt;"",J120-I120,IF(OR(H120="Resolved",H120="Closed"),0,TODAY()-I120))))</f>
        <v/>
      </c>
      <c r="L120" s="15" t="n"/>
    </row>
    <row r="121">
      <c r="A121" s="15" t="n"/>
      <c r="B121" s="15" t="n"/>
      <c r="C121" s="15" t="n"/>
      <c r="D121" s="15" t="n"/>
      <c r="E121" s="16" t="n"/>
      <c r="F121" s="15" t="n"/>
      <c r="G121" s="15" t="n"/>
      <c r="H121" s="15" t="n"/>
      <c r="I121" s="16" t="n"/>
      <c r="J121" s="16" t="n"/>
      <c r="K121" s="15">
        <f>IF(I121="","",MAX(0,IF(J121&lt;&gt;"",J121-I121,IF(OR(H121="Resolved",H121="Closed"),0,TODAY()-I121))))</f>
        <v/>
      </c>
      <c r="L121" s="15" t="n"/>
    </row>
    <row r="122">
      <c r="A122" s="15" t="n"/>
      <c r="B122" s="15" t="n"/>
      <c r="C122" s="15" t="n"/>
      <c r="D122" s="15" t="n"/>
      <c r="E122" s="16" t="n"/>
      <c r="F122" s="15" t="n"/>
      <c r="G122" s="15" t="n"/>
      <c r="H122" s="15" t="n"/>
      <c r="I122" s="16" t="n"/>
      <c r="J122" s="16" t="n"/>
      <c r="K122" s="15">
        <f>IF(I122="","",MAX(0,IF(J122&lt;&gt;"",J122-I122,IF(OR(H122="Resolved",H122="Closed"),0,TODAY()-I122))))</f>
        <v/>
      </c>
      <c r="L122" s="15" t="n"/>
    </row>
    <row r="123">
      <c r="A123" s="15" t="n"/>
      <c r="B123" s="15" t="n"/>
      <c r="C123" s="15" t="n"/>
      <c r="D123" s="15" t="n"/>
      <c r="E123" s="16" t="n"/>
      <c r="F123" s="15" t="n"/>
      <c r="G123" s="15" t="n"/>
      <c r="H123" s="15" t="n"/>
      <c r="I123" s="16" t="n"/>
      <c r="J123" s="16" t="n"/>
      <c r="K123" s="15">
        <f>IF(I123="","",MAX(0,IF(J123&lt;&gt;"",J123-I123,IF(OR(H123="Resolved",H123="Closed"),0,TODAY()-I123))))</f>
        <v/>
      </c>
      <c r="L123" s="15" t="n"/>
    </row>
    <row r="124">
      <c r="A124" s="15" t="n"/>
      <c r="B124" s="15" t="n"/>
      <c r="C124" s="15" t="n"/>
      <c r="D124" s="15" t="n"/>
      <c r="E124" s="16" t="n"/>
      <c r="F124" s="15" t="n"/>
      <c r="G124" s="15" t="n"/>
      <c r="H124" s="15" t="n"/>
      <c r="I124" s="16" t="n"/>
      <c r="J124" s="16" t="n"/>
      <c r="K124" s="15">
        <f>IF(I124="","",MAX(0,IF(J124&lt;&gt;"",J124-I124,IF(OR(H124="Resolved",H124="Closed"),0,TODAY()-I124))))</f>
        <v/>
      </c>
      <c r="L124" s="15" t="n"/>
    </row>
    <row r="125">
      <c r="A125" s="15" t="n"/>
      <c r="B125" s="15" t="n"/>
      <c r="C125" s="15" t="n"/>
      <c r="D125" s="15" t="n"/>
      <c r="E125" s="16" t="n"/>
      <c r="F125" s="15" t="n"/>
      <c r="G125" s="15" t="n"/>
      <c r="H125" s="15" t="n"/>
      <c r="I125" s="16" t="n"/>
      <c r="J125" s="16" t="n"/>
      <c r="K125" s="15">
        <f>IF(I125="","",MAX(0,IF(J125&lt;&gt;"",J125-I125,IF(OR(H125="Resolved",H125="Closed"),0,TODAY()-I125))))</f>
        <v/>
      </c>
      <c r="L125" s="15" t="n"/>
    </row>
    <row r="126">
      <c r="A126" s="15" t="n"/>
      <c r="B126" s="15" t="n"/>
      <c r="C126" s="15" t="n"/>
      <c r="D126" s="15" t="n"/>
      <c r="E126" s="16" t="n"/>
      <c r="F126" s="15" t="n"/>
      <c r="G126" s="15" t="n"/>
      <c r="H126" s="15" t="n"/>
      <c r="I126" s="16" t="n"/>
      <c r="J126" s="16" t="n"/>
      <c r="K126" s="15">
        <f>IF(I126="","",MAX(0,IF(J126&lt;&gt;"",J126-I126,IF(OR(H126="Resolved",H126="Closed"),0,TODAY()-I126))))</f>
        <v/>
      </c>
      <c r="L126" s="15" t="n"/>
    </row>
    <row r="127">
      <c r="A127" s="15" t="n"/>
      <c r="B127" s="15" t="n"/>
      <c r="C127" s="15" t="n"/>
      <c r="D127" s="15" t="n"/>
      <c r="E127" s="16" t="n"/>
      <c r="F127" s="15" t="n"/>
      <c r="G127" s="15" t="n"/>
      <c r="H127" s="15" t="n"/>
      <c r="I127" s="16" t="n"/>
      <c r="J127" s="16" t="n"/>
      <c r="K127" s="15">
        <f>IF(I127="","",MAX(0,IF(J127&lt;&gt;"",J127-I127,IF(OR(H127="Resolved",H127="Closed"),0,TODAY()-I127))))</f>
        <v/>
      </c>
      <c r="L127" s="15" t="n"/>
    </row>
    <row r="128">
      <c r="A128" s="15" t="n"/>
      <c r="B128" s="15" t="n"/>
      <c r="C128" s="15" t="n"/>
      <c r="D128" s="15" t="n"/>
      <c r="E128" s="16" t="n"/>
      <c r="F128" s="15" t="n"/>
      <c r="G128" s="15" t="n"/>
      <c r="H128" s="15" t="n"/>
      <c r="I128" s="16" t="n"/>
      <c r="J128" s="16" t="n"/>
      <c r="K128" s="15">
        <f>IF(I128="","",MAX(0,IF(J128&lt;&gt;"",J128-I128,IF(OR(H128="Resolved",H128="Closed"),0,TODAY()-I128))))</f>
        <v/>
      </c>
      <c r="L128" s="15" t="n"/>
    </row>
    <row r="129">
      <c r="A129" s="15" t="n"/>
      <c r="B129" s="15" t="n"/>
      <c r="C129" s="15" t="n"/>
      <c r="D129" s="15" t="n"/>
      <c r="E129" s="16" t="n"/>
      <c r="F129" s="15" t="n"/>
      <c r="G129" s="15" t="n"/>
      <c r="H129" s="15" t="n"/>
      <c r="I129" s="16" t="n"/>
      <c r="J129" s="16" t="n"/>
      <c r="K129" s="15">
        <f>IF(I129="","",MAX(0,IF(J129&lt;&gt;"",J129-I129,IF(OR(H129="Resolved",H129="Closed"),0,TODAY()-I129))))</f>
        <v/>
      </c>
      <c r="L129" s="15" t="n"/>
    </row>
    <row r="130">
      <c r="A130" s="15" t="n"/>
      <c r="B130" s="15" t="n"/>
      <c r="C130" s="15" t="n"/>
      <c r="D130" s="15" t="n"/>
      <c r="E130" s="16" t="n"/>
      <c r="F130" s="15" t="n"/>
      <c r="G130" s="15" t="n"/>
      <c r="H130" s="15" t="n"/>
      <c r="I130" s="16" t="n"/>
      <c r="J130" s="16" t="n"/>
      <c r="K130" s="15">
        <f>IF(I130="","",MAX(0,IF(J130&lt;&gt;"",J130-I130,IF(OR(H130="Resolved",H130="Closed"),0,TODAY()-I130))))</f>
        <v/>
      </c>
      <c r="L130" s="15" t="n"/>
    </row>
    <row r="131">
      <c r="A131" s="15" t="n"/>
      <c r="B131" s="15" t="n"/>
      <c r="C131" s="15" t="n"/>
      <c r="D131" s="15" t="n"/>
      <c r="E131" s="16" t="n"/>
      <c r="F131" s="15" t="n"/>
      <c r="G131" s="15" t="n"/>
      <c r="H131" s="15" t="n"/>
      <c r="I131" s="16" t="n"/>
      <c r="J131" s="16" t="n"/>
      <c r="K131" s="15">
        <f>IF(I131="","",MAX(0,IF(J131&lt;&gt;"",J131-I131,IF(OR(H131="Resolved",H131="Closed"),0,TODAY()-I131))))</f>
        <v/>
      </c>
      <c r="L131" s="15" t="n"/>
    </row>
    <row r="132">
      <c r="A132" s="15" t="n"/>
      <c r="B132" s="15" t="n"/>
      <c r="C132" s="15" t="n"/>
      <c r="D132" s="15" t="n"/>
      <c r="E132" s="16" t="n"/>
      <c r="F132" s="15" t="n"/>
      <c r="G132" s="15" t="n"/>
      <c r="H132" s="15" t="n"/>
      <c r="I132" s="16" t="n"/>
      <c r="J132" s="16" t="n"/>
      <c r="K132" s="15">
        <f>IF(I132="","",MAX(0,IF(J132&lt;&gt;"",J132-I132,IF(OR(H132="Resolved",H132="Closed"),0,TODAY()-I132))))</f>
        <v/>
      </c>
      <c r="L132" s="15" t="n"/>
    </row>
    <row r="133">
      <c r="A133" s="15" t="n"/>
      <c r="B133" s="15" t="n"/>
      <c r="C133" s="15" t="n"/>
      <c r="D133" s="15" t="n"/>
      <c r="E133" s="16" t="n"/>
      <c r="F133" s="15" t="n"/>
      <c r="G133" s="15" t="n"/>
      <c r="H133" s="15" t="n"/>
      <c r="I133" s="16" t="n"/>
      <c r="J133" s="16" t="n"/>
      <c r="K133" s="15">
        <f>IF(I133="","",MAX(0,IF(J133&lt;&gt;"",J133-I133,IF(OR(H133="Resolved",H133="Closed"),0,TODAY()-I133))))</f>
        <v/>
      </c>
      <c r="L133" s="15" t="n"/>
    </row>
    <row r="134">
      <c r="A134" s="15" t="n"/>
      <c r="B134" s="15" t="n"/>
      <c r="C134" s="15" t="n"/>
      <c r="D134" s="15" t="n"/>
      <c r="E134" s="16" t="n"/>
      <c r="F134" s="15" t="n"/>
      <c r="G134" s="15" t="n"/>
      <c r="H134" s="15" t="n"/>
      <c r="I134" s="16" t="n"/>
      <c r="J134" s="16" t="n"/>
      <c r="K134" s="15">
        <f>IF(I134="","",MAX(0,IF(J134&lt;&gt;"",J134-I134,IF(OR(H134="Resolved",H134="Closed"),0,TODAY()-I134))))</f>
        <v/>
      </c>
      <c r="L134" s="15" t="n"/>
    </row>
    <row r="135">
      <c r="A135" s="15" t="n"/>
      <c r="B135" s="15" t="n"/>
      <c r="C135" s="15" t="n"/>
      <c r="D135" s="15" t="n"/>
      <c r="E135" s="16" t="n"/>
      <c r="F135" s="15" t="n"/>
      <c r="G135" s="15" t="n"/>
      <c r="H135" s="15" t="n"/>
      <c r="I135" s="16" t="n"/>
      <c r="J135" s="16" t="n"/>
      <c r="K135" s="15">
        <f>IF(I135="","",MAX(0,IF(J135&lt;&gt;"",J135-I135,IF(OR(H135="Resolved",H135="Closed"),0,TODAY()-I135))))</f>
        <v/>
      </c>
      <c r="L135" s="15" t="n"/>
    </row>
    <row r="136">
      <c r="A136" s="15" t="n"/>
      <c r="B136" s="15" t="n"/>
      <c r="C136" s="15" t="n"/>
      <c r="D136" s="15" t="n"/>
      <c r="E136" s="16" t="n"/>
      <c r="F136" s="15" t="n"/>
      <c r="G136" s="15" t="n"/>
      <c r="H136" s="15" t="n"/>
      <c r="I136" s="16" t="n"/>
      <c r="J136" s="16" t="n"/>
      <c r="K136" s="15">
        <f>IF(I136="","",MAX(0,IF(J136&lt;&gt;"",J136-I136,IF(OR(H136="Resolved",H136="Closed"),0,TODAY()-I136))))</f>
        <v/>
      </c>
      <c r="L136" s="15" t="n"/>
    </row>
    <row r="137">
      <c r="A137" s="15" t="n"/>
      <c r="B137" s="15" t="n"/>
      <c r="C137" s="15" t="n"/>
      <c r="D137" s="15" t="n"/>
      <c r="E137" s="16" t="n"/>
      <c r="F137" s="15" t="n"/>
      <c r="G137" s="15" t="n"/>
      <c r="H137" s="15" t="n"/>
      <c r="I137" s="16" t="n"/>
      <c r="J137" s="16" t="n"/>
      <c r="K137" s="15">
        <f>IF(I137="","",MAX(0,IF(J137&lt;&gt;"",J137-I137,IF(OR(H137="Resolved",H137="Closed"),0,TODAY()-I137))))</f>
        <v/>
      </c>
      <c r="L137" s="15" t="n"/>
    </row>
    <row r="138">
      <c r="A138" s="15" t="n"/>
      <c r="B138" s="15" t="n"/>
      <c r="C138" s="15" t="n"/>
      <c r="D138" s="15" t="n"/>
      <c r="E138" s="16" t="n"/>
      <c r="F138" s="15" t="n"/>
      <c r="G138" s="15" t="n"/>
      <c r="H138" s="15" t="n"/>
      <c r="I138" s="16" t="n"/>
      <c r="J138" s="16" t="n"/>
      <c r="K138" s="15">
        <f>IF(I138="","",MAX(0,IF(J138&lt;&gt;"",J138-I138,IF(OR(H138="Resolved",H138="Closed"),0,TODAY()-I138))))</f>
        <v/>
      </c>
      <c r="L138" s="15" t="n"/>
    </row>
    <row r="139">
      <c r="A139" s="15" t="n"/>
      <c r="B139" s="15" t="n"/>
      <c r="C139" s="15" t="n"/>
      <c r="D139" s="15" t="n"/>
      <c r="E139" s="16" t="n"/>
      <c r="F139" s="15" t="n"/>
      <c r="G139" s="15" t="n"/>
      <c r="H139" s="15" t="n"/>
      <c r="I139" s="16" t="n"/>
      <c r="J139" s="16" t="n"/>
      <c r="K139" s="15">
        <f>IF(I139="","",MAX(0,IF(J139&lt;&gt;"",J139-I139,IF(OR(H139="Resolved",H139="Closed"),0,TODAY()-I139))))</f>
        <v/>
      </c>
      <c r="L139" s="15" t="n"/>
    </row>
    <row r="140">
      <c r="A140" s="15" t="n"/>
      <c r="B140" s="15" t="n"/>
      <c r="C140" s="15" t="n"/>
      <c r="D140" s="15" t="n"/>
      <c r="E140" s="16" t="n"/>
      <c r="F140" s="15" t="n"/>
      <c r="G140" s="15" t="n"/>
      <c r="H140" s="15" t="n"/>
      <c r="I140" s="16" t="n"/>
      <c r="J140" s="16" t="n"/>
      <c r="K140" s="15">
        <f>IF(I140="","",MAX(0,IF(J140&lt;&gt;"",J140-I140,IF(OR(H140="Resolved",H140="Closed"),0,TODAY()-I140))))</f>
        <v/>
      </c>
      <c r="L140" s="15" t="n"/>
    </row>
    <row r="141">
      <c r="A141" s="15" t="n"/>
      <c r="B141" s="15" t="n"/>
      <c r="C141" s="15" t="n"/>
      <c r="D141" s="15" t="n"/>
      <c r="E141" s="16" t="n"/>
      <c r="F141" s="15" t="n"/>
      <c r="G141" s="15" t="n"/>
      <c r="H141" s="15" t="n"/>
      <c r="I141" s="16" t="n"/>
      <c r="J141" s="16" t="n"/>
      <c r="K141" s="15">
        <f>IF(I141="","",MAX(0,IF(J141&lt;&gt;"",J141-I141,IF(OR(H141="Resolved",H141="Closed"),0,TODAY()-I141))))</f>
        <v/>
      </c>
      <c r="L141" s="15" t="n"/>
    </row>
    <row r="142">
      <c r="A142" s="15" t="n"/>
      <c r="B142" s="15" t="n"/>
      <c r="C142" s="15" t="n"/>
      <c r="D142" s="15" t="n"/>
      <c r="E142" s="16" t="n"/>
      <c r="F142" s="15" t="n"/>
      <c r="G142" s="15" t="n"/>
      <c r="H142" s="15" t="n"/>
      <c r="I142" s="16" t="n"/>
      <c r="J142" s="16" t="n"/>
      <c r="K142" s="15">
        <f>IF(I142="","",MAX(0,IF(J142&lt;&gt;"",J142-I142,IF(OR(H142="Resolved",H142="Closed"),0,TODAY()-I142))))</f>
        <v/>
      </c>
      <c r="L142" s="15" t="n"/>
    </row>
    <row r="143">
      <c r="A143" s="15" t="n"/>
      <c r="B143" s="15" t="n"/>
      <c r="C143" s="15" t="n"/>
      <c r="D143" s="15" t="n"/>
      <c r="E143" s="16" t="n"/>
      <c r="F143" s="15" t="n"/>
      <c r="G143" s="15" t="n"/>
      <c r="H143" s="15" t="n"/>
      <c r="I143" s="16" t="n"/>
      <c r="J143" s="16" t="n"/>
      <c r="K143" s="15">
        <f>IF(I143="","",MAX(0,IF(J143&lt;&gt;"",J143-I143,IF(OR(H143="Resolved",H143="Closed"),0,TODAY()-I143))))</f>
        <v/>
      </c>
      <c r="L143" s="15" t="n"/>
    </row>
    <row r="144">
      <c r="A144" s="15" t="n"/>
      <c r="B144" s="15" t="n"/>
      <c r="C144" s="15" t="n"/>
      <c r="D144" s="15" t="n"/>
      <c r="E144" s="16" t="n"/>
      <c r="F144" s="15" t="n"/>
      <c r="G144" s="15" t="n"/>
      <c r="H144" s="15" t="n"/>
      <c r="I144" s="16" t="n"/>
      <c r="J144" s="16" t="n"/>
      <c r="K144" s="15">
        <f>IF(I144="","",MAX(0,IF(J144&lt;&gt;"",J144-I144,IF(OR(H144="Resolved",H144="Closed"),0,TODAY()-I144))))</f>
        <v/>
      </c>
      <c r="L144" s="15" t="n"/>
    </row>
    <row r="145">
      <c r="A145" s="15" t="n"/>
      <c r="B145" s="15" t="n"/>
      <c r="C145" s="15" t="n"/>
      <c r="D145" s="15" t="n"/>
      <c r="E145" s="16" t="n"/>
      <c r="F145" s="15" t="n"/>
      <c r="G145" s="15" t="n"/>
      <c r="H145" s="15" t="n"/>
      <c r="I145" s="16" t="n"/>
      <c r="J145" s="16" t="n"/>
      <c r="K145" s="15">
        <f>IF(I145="","",MAX(0,IF(J145&lt;&gt;"",J145-I145,IF(OR(H145="Resolved",H145="Closed"),0,TODAY()-I145))))</f>
        <v/>
      </c>
      <c r="L145" s="15" t="n"/>
    </row>
    <row r="146">
      <c r="A146" s="15" t="n"/>
      <c r="B146" s="15" t="n"/>
      <c r="C146" s="15" t="n"/>
      <c r="D146" s="15" t="n"/>
      <c r="E146" s="16" t="n"/>
      <c r="F146" s="15" t="n"/>
      <c r="G146" s="15" t="n"/>
      <c r="H146" s="15" t="n"/>
      <c r="I146" s="16" t="n"/>
      <c r="J146" s="16" t="n"/>
      <c r="K146" s="15">
        <f>IF(I146="","",MAX(0,IF(J146&lt;&gt;"",J146-I146,IF(OR(H146="Resolved",H146="Closed"),0,TODAY()-I146))))</f>
        <v/>
      </c>
      <c r="L146" s="15" t="n"/>
    </row>
    <row r="147">
      <c r="A147" s="15" t="n"/>
      <c r="B147" s="15" t="n"/>
      <c r="C147" s="15" t="n"/>
      <c r="D147" s="15" t="n"/>
      <c r="E147" s="16" t="n"/>
      <c r="F147" s="15" t="n"/>
      <c r="G147" s="15" t="n"/>
      <c r="H147" s="15" t="n"/>
      <c r="I147" s="16" t="n"/>
      <c r="J147" s="16" t="n"/>
      <c r="K147" s="15">
        <f>IF(I147="","",MAX(0,IF(J147&lt;&gt;"",J147-I147,IF(OR(H147="Resolved",H147="Closed"),0,TODAY()-I147))))</f>
        <v/>
      </c>
      <c r="L147" s="15" t="n"/>
    </row>
    <row r="148">
      <c r="A148" s="15" t="n"/>
      <c r="B148" s="15" t="n"/>
      <c r="C148" s="15" t="n"/>
      <c r="D148" s="15" t="n"/>
      <c r="E148" s="16" t="n"/>
      <c r="F148" s="15" t="n"/>
      <c r="G148" s="15" t="n"/>
      <c r="H148" s="15" t="n"/>
      <c r="I148" s="16" t="n"/>
      <c r="J148" s="16" t="n"/>
      <c r="K148" s="15">
        <f>IF(I148="","",MAX(0,IF(J148&lt;&gt;"",J148-I148,IF(OR(H148="Resolved",H148="Closed"),0,TODAY()-I148))))</f>
        <v/>
      </c>
      <c r="L148" s="15" t="n"/>
    </row>
    <row r="149">
      <c r="A149" s="15" t="n"/>
      <c r="B149" s="15" t="n"/>
      <c r="C149" s="15" t="n"/>
      <c r="D149" s="15" t="n"/>
      <c r="E149" s="16" t="n"/>
      <c r="F149" s="15" t="n"/>
      <c r="G149" s="15" t="n"/>
      <c r="H149" s="15" t="n"/>
      <c r="I149" s="16" t="n"/>
      <c r="J149" s="16" t="n"/>
      <c r="K149" s="15">
        <f>IF(I149="","",MAX(0,IF(J149&lt;&gt;"",J149-I149,IF(OR(H149="Resolved",H149="Closed"),0,TODAY()-I149))))</f>
        <v/>
      </c>
      <c r="L149" s="15" t="n"/>
    </row>
    <row r="150">
      <c r="A150" s="15" t="n"/>
      <c r="B150" s="15" t="n"/>
      <c r="C150" s="15" t="n"/>
      <c r="D150" s="15" t="n"/>
      <c r="E150" s="16" t="n"/>
      <c r="F150" s="15" t="n"/>
      <c r="G150" s="15" t="n"/>
      <c r="H150" s="15" t="n"/>
      <c r="I150" s="16" t="n"/>
      <c r="J150" s="16" t="n"/>
      <c r="K150" s="15">
        <f>IF(I150="","",MAX(0,IF(J150&lt;&gt;"",J150-I150,IF(OR(H150="Resolved",H150="Closed"),0,TODAY()-I150))))</f>
        <v/>
      </c>
      <c r="L150" s="15" t="n"/>
    </row>
    <row r="151">
      <c r="A151" s="15" t="n"/>
      <c r="B151" s="15" t="n"/>
      <c r="C151" s="15" t="n"/>
      <c r="D151" s="15" t="n"/>
      <c r="E151" s="16" t="n"/>
      <c r="F151" s="15" t="n"/>
      <c r="G151" s="15" t="n"/>
      <c r="H151" s="15" t="n"/>
      <c r="I151" s="16" t="n"/>
      <c r="J151" s="16" t="n"/>
      <c r="K151" s="15">
        <f>IF(I151="","",MAX(0,IF(J151&lt;&gt;"",J151-I151,IF(OR(H151="Resolved",H151="Closed"),0,TODAY()-I151))))</f>
        <v/>
      </c>
      <c r="L151" s="15" t="n"/>
    </row>
    <row r="152">
      <c r="A152" s="15" t="n"/>
      <c r="B152" s="15" t="n"/>
      <c r="C152" s="15" t="n"/>
      <c r="D152" s="15" t="n"/>
      <c r="E152" s="16" t="n"/>
      <c r="F152" s="15" t="n"/>
      <c r="G152" s="15" t="n"/>
      <c r="H152" s="15" t="n"/>
      <c r="I152" s="16" t="n"/>
      <c r="J152" s="16" t="n"/>
      <c r="K152" s="15">
        <f>IF(I152="","",MAX(0,IF(J152&lt;&gt;"",J152-I152,IF(OR(H152="Resolved",H152="Closed"),0,TODAY()-I152))))</f>
        <v/>
      </c>
      <c r="L152" s="15" t="n"/>
    </row>
    <row r="153">
      <c r="A153" s="15" t="n"/>
      <c r="B153" s="15" t="n"/>
      <c r="C153" s="15" t="n"/>
      <c r="D153" s="15" t="n"/>
      <c r="E153" s="16" t="n"/>
      <c r="F153" s="15" t="n"/>
      <c r="G153" s="15" t="n"/>
      <c r="H153" s="15" t="n"/>
      <c r="I153" s="16" t="n"/>
      <c r="J153" s="16" t="n"/>
      <c r="K153" s="15">
        <f>IF(I153="","",MAX(0,IF(J153&lt;&gt;"",J153-I153,IF(OR(H153="Resolved",H153="Closed"),0,TODAY()-I153))))</f>
        <v/>
      </c>
      <c r="L153" s="15" t="n"/>
    </row>
    <row r="154">
      <c r="A154" s="15" t="n"/>
      <c r="B154" s="15" t="n"/>
      <c r="C154" s="15" t="n"/>
      <c r="D154" s="15" t="n"/>
      <c r="E154" s="16" t="n"/>
      <c r="F154" s="15" t="n"/>
      <c r="G154" s="15" t="n"/>
      <c r="H154" s="15" t="n"/>
      <c r="I154" s="16" t="n"/>
      <c r="J154" s="16" t="n"/>
      <c r="K154" s="15">
        <f>IF(I154="","",MAX(0,IF(J154&lt;&gt;"",J154-I154,IF(OR(H154="Resolved",H154="Closed"),0,TODAY()-I154))))</f>
        <v/>
      </c>
      <c r="L154" s="15" t="n"/>
    </row>
    <row r="155">
      <c r="A155" s="15" t="n"/>
      <c r="B155" s="15" t="n"/>
      <c r="C155" s="15" t="n"/>
      <c r="D155" s="15" t="n"/>
      <c r="E155" s="16" t="n"/>
      <c r="F155" s="15" t="n"/>
      <c r="G155" s="15" t="n"/>
      <c r="H155" s="15" t="n"/>
      <c r="I155" s="16" t="n"/>
      <c r="J155" s="16" t="n"/>
      <c r="K155" s="15">
        <f>IF(I155="","",MAX(0,IF(J155&lt;&gt;"",J155-I155,IF(OR(H155="Resolved",H155="Closed"),0,TODAY()-I155))))</f>
        <v/>
      </c>
      <c r="L155" s="15" t="n"/>
    </row>
    <row r="156">
      <c r="A156" s="15" t="n"/>
      <c r="B156" s="15" t="n"/>
      <c r="C156" s="15" t="n"/>
      <c r="D156" s="15" t="n"/>
      <c r="E156" s="16" t="n"/>
      <c r="F156" s="15" t="n"/>
      <c r="G156" s="15" t="n"/>
      <c r="H156" s="15" t="n"/>
      <c r="I156" s="16" t="n"/>
      <c r="J156" s="16" t="n"/>
      <c r="K156" s="15">
        <f>IF(I156="","",MAX(0,IF(J156&lt;&gt;"",J156-I156,IF(OR(H156="Resolved",H156="Closed"),0,TODAY()-I156))))</f>
        <v/>
      </c>
      <c r="L156" s="15" t="n"/>
    </row>
    <row r="157">
      <c r="A157" s="15" t="n"/>
      <c r="B157" s="15" t="n"/>
      <c r="C157" s="15" t="n"/>
      <c r="D157" s="15" t="n"/>
      <c r="E157" s="16" t="n"/>
      <c r="F157" s="15" t="n"/>
      <c r="G157" s="15" t="n"/>
      <c r="H157" s="15" t="n"/>
      <c r="I157" s="16" t="n"/>
      <c r="J157" s="16" t="n"/>
      <c r="K157" s="15">
        <f>IF(I157="","",MAX(0,IF(J157&lt;&gt;"",J157-I157,IF(OR(H157="Resolved",H157="Closed"),0,TODAY()-I157))))</f>
        <v/>
      </c>
      <c r="L157" s="15" t="n"/>
    </row>
    <row r="158">
      <c r="A158" s="15" t="n"/>
      <c r="B158" s="15" t="n"/>
      <c r="C158" s="15" t="n"/>
      <c r="D158" s="15" t="n"/>
      <c r="E158" s="16" t="n"/>
      <c r="F158" s="15" t="n"/>
      <c r="G158" s="15" t="n"/>
      <c r="H158" s="15" t="n"/>
      <c r="I158" s="16" t="n"/>
      <c r="J158" s="16" t="n"/>
      <c r="K158" s="15">
        <f>IF(I158="","",MAX(0,IF(J158&lt;&gt;"",J158-I158,IF(OR(H158="Resolved",H158="Closed"),0,TODAY()-I158))))</f>
        <v/>
      </c>
      <c r="L158" s="15" t="n"/>
    </row>
    <row r="159">
      <c r="A159" s="15" t="n"/>
      <c r="B159" s="15" t="n"/>
      <c r="C159" s="15" t="n"/>
      <c r="D159" s="15" t="n"/>
      <c r="E159" s="16" t="n"/>
      <c r="F159" s="15" t="n"/>
      <c r="G159" s="15" t="n"/>
      <c r="H159" s="15" t="n"/>
      <c r="I159" s="16" t="n"/>
      <c r="J159" s="16" t="n"/>
      <c r="K159" s="15">
        <f>IF(I159="","",MAX(0,IF(J159&lt;&gt;"",J159-I159,IF(OR(H159="Resolved",H159="Closed"),0,TODAY()-I159))))</f>
        <v/>
      </c>
      <c r="L159" s="15" t="n"/>
    </row>
    <row r="160">
      <c r="A160" s="15" t="n"/>
      <c r="B160" s="15" t="n"/>
      <c r="C160" s="15" t="n"/>
      <c r="D160" s="15" t="n"/>
      <c r="E160" s="16" t="n"/>
      <c r="F160" s="15" t="n"/>
      <c r="G160" s="15" t="n"/>
      <c r="H160" s="15" t="n"/>
      <c r="I160" s="16" t="n"/>
      <c r="J160" s="16" t="n"/>
      <c r="K160" s="15">
        <f>IF(I160="","",MAX(0,IF(J160&lt;&gt;"",J160-I160,IF(OR(H160="Resolved",H160="Closed"),0,TODAY()-I160))))</f>
        <v/>
      </c>
      <c r="L160" s="15" t="n"/>
    </row>
    <row r="161">
      <c r="A161" s="15" t="n"/>
      <c r="B161" s="15" t="n"/>
      <c r="C161" s="15" t="n"/>
      <c r="D161" s="15" t="n"/>
      <c r="E161" s="16" t="n"/>
      <c r="F161" s="15" t="n"/>
      <c r="G161" s="15" t="n"/>
      <c r="H161" s="15" t="n"/>
      <c r="I161" s="16" t="n"/>
      <c r="J161" s="16" t="n"/>
      <c r="K161" s="15">
        <f>IF(I161="","",MAX(0,IF(J161&lt;&gt;"",J161-I161,IF(OR(H161="Resolved",H161="Closed"),0,TODAY()-I161))))</f>
        <v/>
      </c>
      <c r="L161" s="15" t="n"/>
    </row>
    <row r="162">
      <c r="A162" s="15" t="n"/>
      <c r="B162" s="15" t="n"/>
      <c r="C162" s="15" t="n"/>
      <c r="D162" s="15" t="n"/>
      <c r="E162" s="16" t="n"/>
      <c r="F162" s="15" t="n"/>
      <c r="G162" s="15" t="n"/>
      <c r="H162" s="15" t="n"/>
      <c r="I162" s="16" t="n"/>
      <c r="J162" s="16" t="n"/>
      <c r="K162" s="15">
        <f>IF(I162="","",MAX(0,IF(J162&lt;&gt;"",J162-I162,IF(OR(H162="Resolved",H162="Closed"),0,TODAY()-I162))))</f>
        <v/>
      </c>
      <c r="L162" s="15" t="n"/>
    </row>
    <row r="163">
      <c r="A163" s="15" t="n"/>
      <c r="B163" s="15" t="n"/>
      <c r="C163" s="15" t="n"/>
      <c r="D163" s="15" t="n"/>
      <c r="E163" s="16" t="n"/>
      <c r="F163" s="15" t="n"/>
      <c r="G163" s="15" t="n"/>
      <c r="H163" s="15" t="n"/>
      <c r="I163" s="16" t="n"/>
      <c r="J163" s="16" t="n"/>
      <c r="K163" s="15">
        <f>IF(I163="","",MAX(0,IF(J163&lt;&gt;"",J163-I163,IF(OR(H163="Resolved",H163="Closed"),0,TODAY()-I163))))</f>
        <v/>
      </c>
      <c r="L163" s="15" t="n"/>
    </row>
    <row r="164">
      <c r="A164" s="15" t="n"/>
      <c r="B164" s="15" t="n"/>
      <c r="C164" s="15" t="n"/>
      <c r="D164" s="15" t="n"/>
      <c r="E164" s="16" t="n"/>
      <c r="F164" s="15" t="n"/>
      <c r="G164" s="15" t="n"/>
      <c r="H164" s="15" t="n"/>
      <c r="I164" s="16" t="n"/>
      <c r="J164" s="16" t="n"/>
      <c r="K164" s="15">
        <f>IF(I164="","",MAX(0,IF(J164&lt;&gt;"",J164-I164,IF(OR(H164="Resolved",H164="Closed"),0,TODAY()-I164))))</f>
        <v/>
      </c>
      <c r="L164" s="15" t="n"/>
    </row>
    <row r="165">
      <c r="A165" s="15" t="n"/>
      <c r="B165" s="15" t="n"/>
      <c r="C165" s="15" t="n"/>
      <c r="D165" s="15" t="n"/>
      <c r="E165" s="16" t="n"/>
      <c r="F165" s="15" t="n"/>
      <c r="G165" s="15" t="n"/>
      <c r="H165" s="15" t="n"/>
      <c r="I165" s="16" t="n"/>
      <c r="J165" s="16" t="n"/>
      <c r="K165" s="15">
        <f>IF(I165="","",MAX(0,IF(J165&lt;&gt;"",J165-I165,IF(OR(H165="Resolved",H165="Closed"),0,TODAY()-I165))))</f>
        <v/>
      </c>
      <c r="L165" s="15" t="n"/>
    </row>
    <row r="166">
      <c r="A166" s="15" t="n"/>
      <c r="B166" s="15" t="n"/>
      <c r="C166" s="15" t="n"/>
      <c r="D166" s="15" t="n"/>
      <c r="E166" s="16" t="n"/>
      <c r="F166" s="15" t="n"/>
      <c r="G166" s="15" t="n"/>
      <c r="H166" s="15" t="n"/>
      <c r="I166" s="16" t="n"/>
      <c r="J166" s="16" t="n"/>
      <c r="K166" s="15">
        <f>IF(I166="","",MAX(0,IF(J166&lt;&gt;"",J166-I166,IF(OR(H166="Resolved",H166="Closed"),0,TODAY()-I166))))</f>
        <v/>
      </c>
      <c r="L166" s="15" t="n"/>
    </row>
    <row r="167">
      <c r="A167" s="15" t="n"/>
      <c r="B167" s="15" t="n"/>
      <c r="C167" s="15" t="n"/>
      <c r="D167" s="15" t="n"/>
      <c r="E167" s="16" t="n"/>
      <c r="F167" s="15" t="n"/>
      <c r="G167" s="15" t="n"/>
      <c r="H167" s="15" t="n"/>
      <c r="I167" s="16" t="n"/>
      <c r="J167" s="16" t="n"/>
      <c r="K167" s="15">
        <f>IF(I167="","",MAX(0,IF(J167&lt;&gt;"",J167-I167,IF(OR(H167="Resolved",H167="Closed"),0,TODAY()-I167))))</f>
        <v/>
      </c>
      <c r="L167" s="15" t="n"/>
    </row>
    <row r="168">
      <c r="A168" s="15" t="n"/>
      <c r="B168" s="15" t="n"/>
      <c r="C168" s="15" t="n"/>
      <c r="D168" s="15" t="n"/>
      <c r="E168" s="16" t="n"/>
      <c r="F168" s="15" t="n"/>
      <c r="G168" s="15" t="n"/>
      <c r="H168" s="15" t="n"/>
      <c r="I168" s="16" t="n"/>
      <c r="J168" s="16" t="n"/>
      <c r="K168" s="15">
        <f>IF(I168="","",MAX(0,IF(J168&lt;&gt;"",J168-I168,IF(OR(H168="Resolved",H168="Closed"),0,TODAY()-I168))))</f>
        <v/>
      </c>
      <c r="L168" s="15" t="n"/>
    </row>
    <row r="169">
      <c r="A169" s="15" t="n"/>
      <c r="B169" s="15" t="n"/>
      <c r="C169" s="15" t="n"/>
      <c r="D169" s="15" t="n"/>
      <c r="E169" s="16" t="n"/>
      <c r="F169" s="15" t="n"/>
      <c r="G169" s="15" t="n"/>
      <c r="H169" s="15" t="n"/>
      <c r="I169" s="16" t="n"/>
      <c r="J169" s="16" t="n"/>
      <c r="K169" s="15">
        <f>IF(I169="","",MAX(0,IF(J169&lt;&gt;"",J169-I169,IF(OR(H169="Resolved",H169="Closed"),0,TODAY()-I169))))</f>
        <v/>
      </c>
      <c r="L169" s="15" t="n"/>
    </row>
    <row r="170">
      <c r="A170" s="15" t="n"/>
      <c r="B170" s="15" t="n"/>
      <c r="C170" s="15" t="n"/>
      <c r="D170" s="15" t="n"/>
      <c r="E170" s="16" t="n"/>
      <c r="F170" s="15" t="n"/>
      <c r="G170" s="15" t="n"/>
      <c r="H170" s="15" t="n"/>
      <c r="I170" s="16" t="n"/>
      <c r="J170" s="16" t="n"/>
      <c r="K170" s="15">
        <f>IF(I170="","",MAX(0,IF(J170&lt;&gt;"",J170-I170,IF(OR(H170="Resolved",H170="Closed"),0,TODAY()-I170))))</f>
        <v/>
      </c>
      <c r="L170" s="15" t="n"/>
    </row>
    <row r="171">
      <c r="A171" s="15" t="n"/>
      <c r="B171" s="15" t="n"/>
      <c r="C171" s="15" t="n"/>
      <c r="D171" s="15" t="n"/>
      <c r="E171" s="16" t="n"/>
      <c r="F171" s="15" t="n"/>
      <c r="G171" s="15" t="n"/>
      <c r="H171" s="15" t="n"/>
      <c r="I171" s="16" t="n"/>
      <c r="J171" s="16" t="n"/>
      <c r="K171" s="15">
        <f>IF(I171="","",MAX(0,IF(J171&lt;&gt;"",J171-I171,IF(OR(H171="Resolved",H171="Closed"),0,TODAY()-I171))))</f>
        <v/>
      </c>
      <c r="L171" s="15" t="n"/>
    </row>
    <row r="172">
      <c r="A172" s="15" t="n"/>
      <c r="B172" s="15" t="n"/>
      <c r="C172" s="15" t="n"/>
      <c r="D172" s="15" t="n"/>
      <c r="E172" s="16" t="n"/>
      <c r="F172" s="15" t="n"/>
      <c r="G172" s="15" t="n"/>
      <c r="H172" s="15" t="n"/>
      <c r="I172" s="16" t="n"/>
      <c r="J172" s="16" t="n"/>
      <c r="K172" s="15">
        <f>IF(I172="","",MAX(0,IF(J172&lt;&gt;"",J172-I172,IF(OR(H172="Resolved",H172="Closed"),0,TODAY()-I172))))</f>
        <v/>
      </c>
      <c r="L172" s="15" t="n"/>
    </row>
    <row r="173">
      <c r="A173" s="15" t="n"/>
      <c r="B173" s="15" t="n"/>
      <c r="C173" s="15" t="n"/>
      <c r="D173" s="15" t="n"/>
      <c r="E173" s="16" t="n"/>
      <c r="F173" s="15" t="n"/>
      <c r="G173" s="15" t="n"/>
      <c r="H173" s="15" t="n"/>
      <c r="I173" s="16" t="n"/>
      <c r="J173" s="16" t="n"/>
      <c r="K173" s="15">
        <f>IF(I173="","",MAX(0,IF(J173&lt;&gt;"",J173-I173,IF(OR(H173="Resolved",H173="Closed"),0,TODAY()-I173))))</f>
        <v/>
      </c>
      <c r="L173" s="15" t="n"/>
    </row>
    <row r="174">
      <c r="A174" s="15" t="n"/>
      <c r="B174" s="15" t="n"/>
      <c r="C174" s="15" t="n"/>
      <c r="D174" s="15" t="n"/>
      <c r="E174" s="16" t="n"/>
      <c r="F174" s="15" t="n"/>
      <c r="G174" s="15" t="n"/>
      <c r="H174" s="15" t="n"/>
      <c r="I174" s="16" t="n"/>
      <c r="J174" s="16" t="n"/>
      <c r="K174" s="15">
        <f>IF(I174="","",MAX(0,IF(J174&lt;&gt;"",J174-I174,IF(OR(H174="Resolved",H174="Closed"),0,TODAY()-I174))))</f>
        <v/>
      </c>
      <c r="L174" s="15" t="n"/>
    </row>
    <row r="175">
      <c r="A175" s="15" t="n"/>
      <c r="B175" s="15" t="n"/>
      <c r="C175" s="15" t="n"/>
      <c r="D175" s="15" t="n"/>
      <c r="E175" s="16" t="n"/>
      <c r="F175" s="15" t="n"/>
      <c r="G175" s="15" t="n"/>
      <c r="H175" s="15" t="n"/>
      <c r="I175" s="16" t="n"/>
      <c r="J175" s="16" t="n"/>
      <c r="K175" s="15">
        <f>IF(I175="","",MAX(0,IF(J175&lt;&gt;"",J175-I175,IF(OR(H175="Resolved",H175="Closed"),0,TODAY()-I175))))</f>
        <v/>
      </c>
      <c r="L175" s="15" t="n"/>
    </row>
    <row r="176">
      <c r="A176" s="15" t="n"/>
      <c r="B176" s="15" t="n"/>
      <c r="C176" s="15" t="n"/>
      <c r="D176" s="15" t="n"/>
      <c r="E176" s="16" t="n"/>
      <c r="F176" s="15" t="n"/>
      <c r="G176" s="15" t="n"/>
      <c r="H176" s="15" t="n"/>
      <c r="I176" s="16" t="n"/>
      <c r="J176" s="16" t="n"/>
      <c r="K176" s="15">
        <f>IF(I176="","",MAX(0,IF(J176&lt;&gt;"",J176-I176,IF(OR(H176="Resolved",H176="Closed"),0,TODAY()-I176))))</f>
        <v/>
      </c>
      <c r="L176" s="15" t="n"/>
    </row>
    <row r="177">
      <c r="A177" s="15" t="n"/>
      <c r="B177" s="15" t="n"/>
      <c r="C177" s="15" t="n"/>
      <c r="D177" s="15" t="n"/>
      <c r="E177" s="16" t="n"/>
      <c r="F177" s="15" t="n"/>
      <c r="G177" s="15" t="n"/>
      <c r="H177" s="15" t="n"/>
      <c r="I177" s="16" t="n"/>
      <c r="J177" s="16" t="n"/>
      <c r="K177" s="15">
        <f>IF(I177="","",MAX(0,IF(J177&lt;&gt;"",J177-I177,IF(OR(H177="Resolved",H177="Closed"),0,TODAY()-I177))))</f>
        <v/>
      </c>
      <c r="L177" s="15" t="n"/>
    </row>
    <row r="178">
      <c r="A178" s="15" t="n"/>
      <c r="B178" s="15" t="n"/>
      <c r="C178" s="15" t="n"/>
      <c r="D178" s="15" t="n"/>
      <c r="E178" s="16" t="n"/>
      <c r="F178" s="15" t="n"/>
      <c r="G178" s="15" t="n"/>
      <c r="H178" s="15" t="n"/>
      <c r="I178" s="16" t="n"/>
      <c r="J178" s="16" t="n"/>
      <c r="K178" s="15">
        <f>IF(I178="","",MAX(0,IF(J178&lt;&gt;"",J178-I178,IF(OR(H178="Resolved",H178="Closed"),0,TODAY()-I178))))</f>
        <v/>
      </c>
      <c r="L178" s="15" t="n"/>
    </row>
    <row r="179">
      <c r="A179" s="15" t="n"/>
      <c r="B179" s="15" t="n"/>
      <c r="C179" s="15" t="n"/>
      <c r="D179" s="15" t="n"/>
      <c r="E179" s="16" t="n"/>
      <c r="F179" s="15" t="n"/>
      <c r="G179" s="15" t="n"/>
      <c r="H179" s="15" t="n"/>
      <c r="I179" s="16" t="n"/>
      <c r="J179" s="16" t="n"/>
      <c r="K179" s="15">
        <f>IF(I179="","",MAX(0,IF(J179&lt;&gt;"",J179-I179,IF(OR(H179="Resolved",H179="Closed"),0,TODAY()-I179))))</f>
        <v/>
      </c>
      <c r="L179" s="15" t="n"/>
    </row>
    <row r="180">
      <c r="A180" s="15" t="n"/>
      <c r="B180" s="15" t="n"/>
      <c r="C180" s="15" t="n"/>
      <c r="D180" s="15" t="n"/>
      <c r="E180" s="16" t="n"/>
      <c r="F180" s="15" t="n"/>
      <c r="G180" s="15" t="n"/>
      <c r="H180" s="15" t="n"/>
      <c r="I180" s="16" t="n"/>
      <c r="J180" s="16" t="n"/>
      <c r="K180" s="15">
        <f>IF(I180="","",MAX(0,IF(J180&lt;&gt;"",J180-I180,IF(OR(H180="Resolved",H180="Closed"),0,TODAY()-I180))))</f>
        <v/>
      </c>
      <c r="L180" s="15" t="n"/>
    </row>
    <row r="181">
      <c r="A181" s="15" t="n"/>
      <c r="B181" s="15" t="n"/>
      <c r="C181" s="15" t="n"/>
      <c r="D181" s="15" t="n"/>
      <c r="E181" s="16" t="n"/>
      <c r="F181" s="15" t="n"/>
      <c r="G181" s="15" t="n"/>
      <c r="H181" s="15" t="n"/>
      <c r="I181" s="16" t="n"/>
      <c r="J181" s="16" t="n"/>
      <c r="K181" s="15">
        <f>IF(I181="","",MAX(0,IF(J181&lt;&gt;"",J181-I181,IF(OR(H181="Resolved",H181="Closed"),0,TODAY()-I181))))</f>
        <v/>
      </c>
      <c r="L181" s="15" t="n"/>
    </row>
    <row r="182">
      <c r="A182" s="15" t="n"/>
      <c r="B182" s="15" t="n"/>
      <c r="C182" s="15" t="n"/>
      <c r="D182" s="15" t="n"/>
      <c r="E182" s="16" t="n"/>
      <c r="F182" s="15" t="n"/>
      <c r="G182" s="15" t="n"/>
      <c r="H182" s="15" t="n"/>
      <c r="I182" s="16" t="n"/>
      <c r="J182" s="16" t="n"/>
      <c r="K182" s="15">
        <f>IF(I182="","",MAX(0,IF(J182&lt;&gt;"",J182-I182,IF(OR(H182="Resolved",H182="Closed"),0,TODAY()-I182))))</f>
        <v/>
      </c>
      <c r="L182" s="15" t="n"/>
    </row>
    <row r="183">
      <c r="A183" s="15" t="n"/>
      <c r="B183" s="15" t="n"/>
      <c r="C183" s="15" t="n"/>
      <c r="D183" s="15" t="n"/>
      <c r="E183" s="16" t="n"/>
      <c r="F183" s="15" t="n"/>
      <c r="G183" s="15" t="n"/>
      <c r="H183" s="15" t="n"/>
      <c r="I183" s="16" t="n"/>
      <c r="J183" s="16" t="n"/>
      <c r="K183" s="15">
        <f>IF(I183="","",MAX(0,IF(J183&lt;&gt;"",J183-I183,IF(OR(H183="Resolved",H183="Closed"),0,TODAY()-I183))))</f>
        <v/>
      </c>
      <c r="L183" s="15" t="n"/>
    </row>
    <row r="184">
      <c r="A184" s="15" t="n"/>
      <c r="B184" s="15" t="n"/>
      <c r="C184" s="15" t="n"/>
      <c r="D184" s="15" t="n"/>
      <c r="E184" s="16" t="n"/>
      <c r="F184" s="15" t="n"/>
      <c r="G184" s="15" t="n"/>
      <c r="H184" s="15" t="n"/>
      <c r="I184" s="16" t="n"/>
      <c r="J184" s="16" t="n"/>
      <c r="K184" s="15">
        <f>IF(I184="","",MAX(0,IF(J184&lt;&gt;"",J184-I184,IF(OR(H184="Resolved",H184="Closed"),0,TODAY()-I184))))</f>
        <v/>
      </c>
      <c r="L184" s="15" t="n"/>
    </row>
    <row r="185">
      <c r="A185" s="15" t="n"/>
      <c r="B185" s="15" t="n"/>
      <c r="C185" s="15" t="n"/>
      <c r="D185" s="15" t="n"/>
      <c r="E185" s="16" t="n"/>
      <c r="F185" s="15" t="n"/>
      <c r="G185" s="15" t="n"/>
      <c r="H185" s="15" t="n"/>
      <c r="I185" s="16" t="n"/>
      <c r="J185" s="16" t="n"/>
      <c r="K185" s="15">
        <f>IF(I185="","",MAX(0,IF(J185&lt;&gt;"",J185-I185,IF(OR(H185="Resolved",H185="Closed"),0,TODAY()-I185))))</f>
        <v/>
      </c>
      <c r="L185" s="15" t="n"/>
    </row>
    <row r="186">
      <c r="A186" s="15" t="n"/>
      <c r="B186" s="15" t="n"/>
      <c r="C186" s="15" t="n"/>
      <c r="D186" s="15" t="n"/>
      <c r="E186" s="16" t="n"/>
      <c r="F186" s="15" t="n"/>
      <c r="G186" s="15" t="n"/>
      <c r="H186" s="15" t="n"/>
      <c r="I186" s="16" t="n"/>
      <c r="J186" s="16" t="n"/>
      <c r="K186" s="15">
        <f>IF(I186="","",MAX(0,IF(J186&lt;&gt;"",J186-I186,IF(OR(H186="Resolved",H186="Closed"),0,TODAY()-I186))))</f>
        <v/>
      </c>
      <c r="L186" s="15" t="n"/>
    </row>
    <row r="187">
      <c r="A187" s="15" t="n"/>
      <c r="B187" s="15" t="n"/>
      <c r="C187" s="15" t="n"/>
      <c r="D187" s="15" t="n"/>
      <c r="E187" s="16" t="n"/>
      <c r="F187" s="15" t="n"/>
      <c r="G187" s="15" t="n"/>
      <c r="H187" s="15" t="n"/>
      <c r="I187" s="16" t="n"/>
      <c r="J187" s="16" t="n"/>
      <c r="K187" s="15">
        <f>IF(I187="","",MAX(0,IF(J187&lt;&gt;"",J187-I187,IF(OR(H187="Resolved",H187="Closed"),0,TODAY()-I187))))</f>
        <v/>
      </c>
      <c r="L187" s="15" t="n"/>
    </row>
    <row r="188">
      <c r="A188" s="15" t="n"/>
      <c r="B188" s="15" t="n"/>
      <c r="C188" s="15" t="n"/>
      <c r="D188" s="15" t="n"/>
      <c r="E188" s="16" t="n"/>
      <c r="F188" s="15" t="n"/>
      <c r="G188" s="15" t="n"/>
      <c r="H188" s="15" t="n"/>
      <c r="I188" s="16" t="n"/>
      <c r="J188" s="16" t="n"/>
      <c r="K188" s="15">
        <f>IF(I188="","",MAX(0,IF(J188&lt;&gt;"",J188-I188,IF(OR(H188="Resolved",H188="Closed"),0,TODAY()-I188))))</f>
        <v/>
      </c>
      <c r="L188" s="15" t="n"/>
    </row>
    <row r="189">
      <c r="A189" s="15" t="n"/>
      <c r="B189" s="15" t="n"/>
      <c r="C189" s="15" t="n"/>
      <c r="D189" s="15" t="n"/>
      <c r="E189" s="16" t="n"/>
      <c r="F189" s="15" t="n"/>
      <c r="G189" s="15" t="n"/>
      <c r="H189" s="15" t="n"/>
      <c r="I189" s="16" t="n"/>
      <c r="J189" s="16" t="n"/>
      <c r="K189" s="15">
        <f>IF(I189="","",MAX(0,IF(J189&lt;&gt;"",J189-I189,IF(OR(H189="Resolved",H189="Closed"),0,TODAY()-I189))))</f>
        <v/>
      </c>
      <c r="L189" s="15" t="n"/>
    </row>
    <row r="190">
      <c r="A190" s="15" t="n"/>
      <c r="B190" s="15" t="n"/>
      <c r="C190" s="15" t="n"/>
      <c r="D190" s="15" t="n"/>
      <c r="E190" s="16" t="n"/>
      <c r="F190" s="15" t="n"/>
      <c r="G190" s="15" t="n"/>
      <c r="H190" s="15" t="n"/>
      <c r="I190" s="16" t="n"/>
      <c r="J190" s="16" t="n"/>
      <c r="K190" s="15">
        <f>IF(I190="","",MAX(0,IF(J190&lt;&gt;"",J190-I190,IF(OR(H190="Resolved",H190="Closed"),0,TODAY()-I190))))</f>
        <v/>
      </c>
      <c r="L190" s="15" t="n"/>
    </row>
    <row r="191">
      <c r="A191" s="15" t="n"/>
      <c r="B191" s="15" t="n"/>
      <c r="C191" s="15" t="n"/>
      <c r="D191" s="15" t="n"/>
      <c r="E191" s="16" t="n"/>
      <c r="F191" s="15" t="n"/>
      <c r="G191" s="15" t="n"/>
      <c r="H191" s="15" t="n"/>
      <c r="I191" s="16" t="n"/>
      <c r="J191" s="16" t="n"/>
      <c r="K191" s="15">
        <f>IF(I191="","",MAX(0,IF(J191&lt;&gt;"",J191-I191,IF(OR(H191="Resolved",H191="Closed"),0,TODAY()-I191))))</f>
        <v/>
      </c>
      <c r="L191" s="15" t="n"/>
    </row>
    <row r="192">
      <c r="A192" s="15" t="n"/>
      <c r="B192" s="15" t="n"/>
      <c r="C192" s="15" t="n"/>
      <c r="D192" s="15" t="n"/>
      <c r="E192" s="16" t="n"/>
      <c r="F192" s="15" t="n"/>
      <c r="G192" s="15" t="n"/>
      <c r="H192" s="15" t="n"/>
      <c r="I192" s="16" t="n"/>
      <c r="J192" s="16" t="n"/>
      <c r="K192" s="15">
        <f>IF(I192="","",MAX(0,IF(J192&lt;&gt;"",J192-I192,IF(OR(H192="Resolved",H192="Closed"),0,TODAY()-I192))))</f>
        <v/>
      </c>
      <c r="L192" s="15" t="n"/>
    </row>
    <row r="193">
      <c r="A193" s="15" t="n"/>
      <c r="B193" s="15" t="n"/>
      <c r="C193" s="15" t="n"/>
      <c r="D193" s="15" t="n"/>
      <c r="E193" s="16" t="n"/>
      <c r="F193" s="15" t="n"/>
      <c r="G193" s="15" t="n"/>
      <c r="H193" s="15" t="n"/>
      <c r="I193" s="16" t="n"/>
      <c r="J193" s="16" t="n"/>
      <c r="K193" s="15">
        <f>IF(I193="","",MAX(0,IF(J193&lt;&gt;"",J193-I193,IF(OR(H193="Resolved",H193="Closed"),0,TODAY()-I193))))</f>
        <v/>
      </c>
      <c r="L193" s="15" t="n"/>
    </row>
    <row r="194">
      <c r="A194" s="15" t="n"/>
      <c r="B194" s="15" t="n"/>
      <c r="C194" s="15" t="n"/>
      <c r="D194" s="15" t="n"/>
      <c r="E194" s="16" t="n"/>
      <c r="F194" s="15" t="n"/>
      <c r="G194" s="15" t="n"/>
      <c r="H194" s="15" t="n"/>
      <c r="I194" s="16" t="n"/>
      <c r="J194" s="16" t="n"/>
      <c r="K194" s="15">
        <f>IF(I194="","",MAX(0,IF(J194&lt;&gt;"",J194-I194,IF(OR(H194="Resolved",H194="Closed"),0,TODAY()-I194))))</f>
        <v/>
      </c>
      <c r="L194" s="15" t="n"/>
    </row>
    <row r="195">
      <c r="A195" s="15" t="n"/>
      <c r="B195" s="15" t="n"/>
      <c r="C195" s="15" t="n"/>
      <c r="D195" s="15" t="n"/>
      <c r="E195" s="16" t="n"/>
      <c r="F195" s="15" t="n"/>
      <c r="G195" s="15" t="n"/>
      <c r="H195" s="15" t="n"/>
      <c r="I195" s="16" t="n"/>
      <c r="J195" s="16" t="n"/>
      <c r="K195" s="15">
        <f>IF(I195="","",MAX(0,IF(J195&lt;&gt;"",J195-I195,IF(OR(H195="Resolved",H195="Closed"),0,TODAY()-I195))))</f>
        <v/>
      </c>
      <c r="L195" s="15" t="n"/>
    </row>
    <row r="196">
      <c r="A196" s="15" t="n"/>
      <c r="B196" s="15" t="n"/>
      <c r="C196" s="15" t="n"/>
      <c r="D196" s="15" t="n"/>
      <c r="E196" s="16" t="n"/>
      <c r="F196" s="15" t="n"/>
      <c r="G196" s="15" t="n"/>
      <c r="H196" s="15" t="n"/>
      <c r="I196" s="16" t="n"/>
      <c r="J196" s="16" t="n"/>
      <c r="K196" s="15">
        <f>IF(I196="","",MAX(0,IF(J196&lt;&gt;"",J196-I196,IF(OR(H196="Resolved",H196="Closed"),0,TODAY()-I196))))</f>
        <v/>
      </c>
      <c r="L196" s="15" t="n"/>
    </row>
    <row r="197">
      <c r="A197" s="15" t="n"/>
      <c r="B197" s="15" t="n"/>
      <c r="C197" s="15" t="n"/>
      <c r="D197" s="15" t="n"/>
      <c r="E197" s="16" t="n"/>
      <c r="F197" s="15" t="n"/>
      <c r="G197" s="15" t="n"/>
      <c r="H197" s="15" t="n"/>
      <c r="I197" s="16" t="n"/>
      <c r="J197" s="16" t="n"/>
      <c r="K197" s="15">
        <f>IF(I197="","",MAX(0,IF(J197&lt;&gt;"",J197-I197,IF(OR(H197="Resolved",H197="Closed"),0,TODAY()-I197))))</f>
        <v/>
      </c>
      <c r="L197" s="15" t="n"/>
    </row>
    <row r="198">
      <c r="A198" s="15" t="n"/>
      <c r="B198" s="15" t="n"/>
      <c r="C198" s="15" t="n"/>
      <c r="D198" s="15" t="n"/>
      <c r="E198" s="16" t="n"/>
      <c r="F198" s="15" t="n"/>
      <c r="G198" s="15" t="n"/>
      <c r="H198" s="15" t="n"/>
      <c r="I198" s="16" t="n"/>
      <c r="J198" s="16" t="n"/>
      <c r="K198" s="15">
        <f>IF(I198="","",MAX(0,IF(J198&lt;&gt;"",J198-I198,IF(OR(H198="Resolved",H198="Closed"),0,TODAY()-I198))))</f>
        <v/>
      </c>
      <c r="L198" s="15" t="n"/>
    </row>
    <row r="199">
      <c r="A199" s="15" t="n"/>
      <c r="B199" s="15" t="n"/>
      <c r="C199" s="15" t="n"/>
      <c r="D199" s="15" t="n"/>
      <c r="E199" s="16" t="n"/>
      <c r="F199" s="15" t="n"/>
      <c r="G199" s="15" t="n"/>
      <c r="H199" s="15" t="n"/>
      <c r="I199" s="16" t="n"/>
      <c r="J199" s="16" t="n"/>
      <c r="K199" s="15">
        <f>IF(I199="","",MAX(0,IF(J199&lt;&gt;"",J199-I199,IF(OR(H199="Resolved",H199="Closed"),0,TODAY()-I199))))</f>
        <v/>
      </c>
      <c r="L199" s="15" t="n"/>
    </row>
    <row r="200">
      <c r="A200" s="15" t="n"/>
      <c r="B200" s="15" t="n"/>
      <c r="C200" s="15" t="n"/>
      <c r="D200" s="15" t="n"/>
      <c r="E200" s="16" t="n"/>
      <c r="F200" s="15" t="n"/>
      <c r="G200" s="15" t="n"/>
      <c r="H200" s="15" t="n"/>
      <c r="I200" s="16" t="n"/>
      <c r="J200" s="16" t="n"/>
      <c r="K200" s="15">
        <f>IF(I200="","",MAX(0,IF(J200&lt;&gt;"",J200-I200,IF(OR(H200="Resolved",H200="Closed"),0,TODAY()-I200))))</f>
        <v/>
      </c>
      <c r="L200" s="15" t="n"/>
    </row>
    <row r="201">
      <c r="A201" s="15" t="n"/>
      <c r="B201" s="15" t="n"/>
      <c r="C201" s="15" t="n"/>
      <c r="D201" s="15" t="n"/>
      <c r="E201" s="16" t="n"/>
      <c r="F201" s="15" t="n"/>
      <c r="G201" s="15" t="n"/>
      <c r="H201" s="15" t="n"/>
      <c r="I201" s="16" t="n"/>
      <c r="J201" s="16" t="n"/>
      <c r="K201" s="15">
        <f>IF(I201="","",MAX(0,IF(J201&lt;&gt;"",J201-I201,IF(OR(H201="Resolved",H201="Closed"),0,TODAY()-I201))))</f>
        <v/>
      </c>
      <c r="L201" s="15" t="n"/>
    </row>
    <row r="202">
      <c r="A202" s="15" t="n"/>
      <c r="B202" s="15" t="n"/>
      <c r="C202" s="15" t="n"/>
      <c r="D202" s="15" t="n"/>
      <c r="E202" s="16" t="n"/>
      <c r="F202" s="15" t="n"/>
      <c r="G202" s="15" t="n"/>
      <c r="H202" s="15" t="n"/>
      <c r="I202" s="16" t="n"/>
      <c r="J202" s="16" t="n"/>
      <c r="K202" s="15">
        <f>IF(I202="","",MAX(0,IF(J202&lt;&gt;"",J202-I202,IF(OR(H202="Resolved",H202="Closed"),0,TODAY()-I202))))</f>
        <v/>
      </c>
      <c r="L202" s="15" t="n"/>
    </row>
    <row r="203">
      <c r="A203" s="15" t="n"/>
      <c r="B203" s="15" t="n"/>
      <c r="C203" s="15" t="n"/>
      <c r="D203" s="15" t="n"/>
      <c r="E203" s="16" t="n"/>
      <c r="F203" s="15" t="n"/>
      <c r="G203" s="15" t="n"/>
      <c r="H203" s="15" t="n"/>
      <c r="I203" s="16" t="n"/>
      <c r="J203" s="16" t="n"/>
      <c r="K203" s="15">
        <f>IF(I203="","",MAX(0,IF(J203&lt;&gt;"",J203-I203,IF(OR(H203="Resolved",H203="Closed"),0,TODAY()-I203))))</f>
        <v/>
      </c>
      <c r="L203" s="15" t="n"/>
    </row>
    <row r="204">
      <c r="A204" s="15" t="n"/>
      <c r="B204" s="15" t="n"/>
      <c r="C204" s="15" t="n"/>
      <c r="D204" s="15" t="n"/>
      <c r="E204" s="16" t="n"/>
      <c r="F204" s="15" t="n"/>
      <c r="G204" s="15" t="n"/>
      <c r="H204" s="15" t="n"/>
      <c r="I204" s="16" t="n"/>
      <c r="J204" s="16" t="n"/>
      <c r="K204" s="15">
        <f>IF(I204="","",MAX(0,IF(J204&lt;&gt;"",J204-I204,IF(OR(H204="Resolved",H204="Closed"),0,TODAY()-I204))))</f>
        <v/>
      </c>
      <c r="L204" s="15" t="n"/>
    </row>
    <row r="205">
      <c r="A205" s="15" t="n"/>
      <c r="B205" s="15" t="n"/>
      <c r="C205" s="15" t="n"/>
      <c r="D205" s="15" t="n"/>
      <c r="E205" s="16" t="n"/>
      <c r="F205" s="15" t="n"/>
      <c r="G205" s="15" t="n"/>
      <c r="H205" s="15" t="n"/>
      <c r="I205" s="16" t="n"/>
      <c r="J205" s="16" t="n"/>
      <c r="K205" s="15">
        <f>IF(I205="","",MAX(0,IF(J205&lt;&gt;"",J205-I205,IF(OR(H205="Resolved",H205="Closed"),0,TODAY()-I205))))</f>
        <v/>
      </c>
      <c r="L205" s="15" t="n"/>
    </row>
    <row r="206">
      <c r="A206" s="15" t="n"/>
      <c r="B206" s="15" t="n"/>
      <c r="C206" s="15" t="n"/>
      <c r="D206" s="15" t="n"/>
      <c r="E206" s="16" t="n"/>
      <c r="F206" s="15" t="n"/>
      <c r="G206" s="15" t="n"/>
      <c r="H206" s="15" t="n"/>
      <c r="I206" s="16" t="n"/>
      <c r="J206" s="16" t="n"/>
      <c r="K206" s="15">
        <f>IF(I206="","",MAX(0,IF(J206&lt;&gt;"",J206-I206,IF(OR(H206="Resolved",H206="Closed"),0,TODAY()-I206))))</f>
        <v/>
      </c>
      <c r="L206" s="15" t="n"/>
    </row>
    <row r="207">
      <c r="A207" s="15" t="n"/>
      <c r="B207" s="15" t="n"/>
      <c r="C207" s="15" t="n"/>
      <c r="D207" s="15" t="n"/>
      <c r="E207" s="16" t="n"/>
      <c r="F207" s="15" t="n"/>
      <c r="G207" s="15" t="n"/>
      <c r="H207" s="15" t="n"/>
      <c r="I207" s="16" t="n"/>
      <c r="J207" s="16" t="n"/>
      <c r="K207" s="15">
        <f>IF(I207="","",MAX(0,IF(J207&lt;&gt;"",J207-I207,IF(OR(H207="Resolved",H207="Closed"),0,TODAY()-I207))))</f>
        <v/>
      </c>
      <c r="L207" s="15" t="n"/>
    </row>
    <row r="208">
      <c r="A208" s="15" t="n"/>
      <c r="B208" s="15" t="n"/>
      <c r="C208" s="15" t="n"/>
      <c r="D208" s="15" t="n"/>
      <c r="E208" s="16" t="n"/>
      <c r="F208" s="15" t="n"/>
      <c r="G208" s="15" t="n"/>
      <c r="H208" s="15" t="n"/>
      <c r="I208" s="16" t="n"/>
      <c r="J208" s="16" t="n"/>
      <c r="K208" s="15">
        <f>IF(I208="","",MAX(0,IF(J208&lt;&gt;"",J208-I208,IF(OR(H208="Resolved",H208="Closed"),0,TODAY()-I208))))</f>
        <v/>
      </c>
      <c r="L208" s="15" t="n"/>
    </row>
    <row r="209">
      <c r="A209" s="15" t="n"/>
      <c r="B209" s="15" t="n"/>
      <c r="C209" s="15" t="n"/>
      <c r="D209" s="15" t="n"/>
      <c r="E209" s="16" t="n"/>
      <c r="F209" s="15" t="n"/>
      <c r="G209" s="15" t="n"/>
      <c r="H209" s="15" t="n"/>
      <c r="I209" s="16" t="n"/>
      <c r="J209" s="16" t="n"/>
      <c r="K209" s="15">
        <f>IF(I209="","",MAX(0,IF(J209&lt;&gt;"",J209-I209,IF(OR(H209="Resolved",H209="Closed"),0,TODAY()-I209))))</f>
        <v/>
      </c>
      <c r="L209" s="15" t="n"/>
    </row>
    <row r="210">
      <c r="A210" s="15" t="n"/>
      <c r="B210" s="15" t="n"/>
      <c r="C210" s="15" t="n"/>
      <c r="D210" s="15" t="n"/>
      <c r="E210" s="16" t="n"/>
      <c r="F210" s="15" t="n"/>
      <c r="G210" s="15" t="n"/>
      <c r="H210" s="15" t="n"/>
      <c r="I210" s="16" t="n"/>
      <c r="J210" s="16" t="n"/>
      <c r="K210" s="15">
        <f>IF(I210="","",MAX(0,IF(J210&lt;&gt;"",J210-I210,IF(OR(H210="Resolved",H210="Closed"),0,TODAY()-I210))))</f>
        <v/>
      </c>
      <c r="L210" s="15" t="n"/>
    </row>
    <row r="211">
      <c r="A211" s="15" t="n"/>
      <c r="B211" s="15" t="n"/>
      <c r="C211" s="15" t="n"/>
      <c r="D211" s="15" t="n"/>
      <c r="E211" s="16" t="n"/>
      <c r="F211" s="15" t="n"/>
      <c r="G211" s="15" t="n"/>
      <c r="H211" s="15" t="n"/>
      <c r="I211" s="16" t="n"/>
      <c r="J211" s="16" t="n"/>
      <c r="K211" s="15">
        <f>IF(I211="","",MAX(0,IF(J211&lt;&gt;"",J211-I211,IF(OR(H211="Resolved",H211="Closed"),0,TODAY()-I211))))</f>
        <v/>
      </c>
      <c r="L211" s="15" t="n"/>
    </row>
    <row r="212">
      <c r="A212" s="15" t="n"/>
      <c r="B212" s="15" t="n"/>
      <c r="C212" s="15" t="n"/>
      <c r="D212" s="15" t="n"/>
      <c r="E212" s="16" t="n"/>
      <c r="F212" s="15" t="n"/>
      <c r="G212" s="15" t="n"/>
      <c r="H212" s="15" t="n"/>
      <c r="I212" s="16" t="n"/>
      <c r="J212" s="16" t="n"/>
      <c r="K212" s="15">
        <f>IF(I212="","",MAX(0,IF(J212&lt;&gt;"",J212-I212,IF(OR(H212="Resolved",H212="Closed"),0,TODAY()-I212))))</f>
        <v/>
      </c>
      <c r="L212" s="15" t="n"/>
    </row>
    <row r="213">
      <c r="A213" s="15" t="n"/>
      <c r="B213" s="15" t="n"/>
      <c r="C213" s="15" t="n"/>
      <c r="D213" s="15" t="n"/>
      <c r="E213" s="16" t="n"/>
      <c r="F213" s="15" t="n"/>
      <c r="G213" s="15" t="n"/>
      <c r="H213" s="15" t="n"/>
      <c r="I213" s="16" t="n"/>
      <c r="J213" s="16" t="n"/>
      <c r="K213" s="15">
        <f>IF(I213="","",MAX(0,IF(J213&lt;&gt;"",J213-I213,IF(OR(H213="Resolved",H213="Closed"),0,TODAY()-I213))))</f>
        <v/>
      </c>
      <c r="L213" s="15" t="n"/>
    </row>
    <row r="214">
      <c r="A214" s="15" t="n"/>
      <c r="B214" s="15" t="n"/>
      <c r="C214" s="15" t="n"/>
      <c r="D214" s="15" t="n"/>
      <c r="E214" s="16" t="n"/>
      <c r="F214" s="15" t="n"/>
      <c r="G214" s="15" t="n"/>
      <c r="H214" s="15" t="n"/>
      <c r="I214" s="16" t="n"/>
      <c r="J214" s="16" t="n"/>
      <c r="K214" s="15">
        <f>IF(I214="","",MAX(0,IF(J214&lt;&gt;"",J214-I214,IF(OR(H214="Resolved",H214="Closed"),0,TODAY()-I214))))</f>
        <v/>
      </c>
      <c r="L214" s="15" t="n"/>
    </row>
    <row r="215">
      <c r="A215" s="15" t="n"/>
      <c r="B215" s="15" t="n"/>
      <c r="C215" s="15" t="n"/>
      <c r="D215" s="15" t="n"/>
      <c r="E215" s="16" t="n"/>
      <c r="F215" s="15" t="n"/>
      <c r="G215" s="15" t="n"/>
      <c r="H215" s="15" t="n"/>
      <c r="I215" s="16" t="n"/>
      <c r="J215" s="16" t="n"/>
      <c r="K215" s="15">
        <f>IF(I215="","",MAX(0,IF(J215&lt;&gt;"",J215-I215,IF(OR(H215="Resolved",H215="Closed"),0,TODAY()-I215))))</f>
        <v/>
      </c>
      <c r="L215" s="15" t="n"/>
    </row>
    <row r="216">
      <c r="A216" s="15" t="n"/>
      <c r="B216" s="15" t="n"/>
      <c r="C216" s="15" t="n"/>
      <c r="D216" s="15" t="n"/>
      <c r="E216" s="16" t="n"/>
      <c r="F216" s="15" t="n"/>
      <c r="G216" s="15" t="n"/>
      <c r="H216" s="15" t="n"/>
      <c r="I216" s="16" t="n"/>
      <c r="J216" s="16" t="n"/>
      <c r="K216" s="15">
        <f>IF(I216="","",MAX(0,IF(J216&lt;&gt;"",J216-I216,IF(OR(H216="Resolved",H216="Closed"),0,TODAY()-I216))))</f>
        <v/>
      </c>
      <c r="L216" s="15" t="n"/>
    </row>
    <row r="217">
      <c r="A217" s="15" t="n"/>
      <c r="B217" s="15" t="n"/>
      <c r="C217" s="15" t="n"/>
      <c r="D217" s="15" t="n"/>
      <c r="E217" s="16" t="n"/>
      <c r="F217" s="15" t="n"/>
      <c r="G217" s="15" t="n"/>
      <c r="H217" s="15" t="n"/>
      <c r="I217" s="16" t="n"/>
      <c r="J217" s="16" t="n"/>
      <c r="K217" s="15">
        <f>IF(I217="","",MAX(0,IF(J217&lt;&gt;"",J217-I217,IF(OR(H217="Resolved",H217="Closed"),0,TODAY()-I217))))</f>
        <v/>
      </c>
      <c r="L217" s="15" t="n"/>
    </row>
    <row r="218">
      <c r="A218" s="15" t="n"/>
      <c r="B218" s="15" t="n"/>
      <c r="C218" s="15" t="n"/>
      <c r="D218" s="15" t="n"/>
      <c r="E218" s="16" t="n"/>
      <c r="F218" s="15" t="n"/>
      <c r="G218" s="15" t="n"/>
      <c r="H218" s="15" t="n"/>
      <c r="I218" s="16" t="n"/>
      <c r="J218" s="16" t="n"/>
      <c r="K218" s="15">
        <f>IF(I218="","",MAX(0,IF(J218&lt;&gt;"",J218-I218,IF(OR(H218="Resolved",H218="Closed"),0,TODAY()-I218))))</f>
        <v/>
      </c>
      <c r="L218" s="15" t="n"/>
    </row>
    <row r="219">
      <c r="A219" s="15" t="n"/>
      <c r="B219" s="15" t="n"/>
      <c r="C219" s="15" t="n"/>
      <c r="D219" s="15" t="n"/>
      <c r="E219" s="16" t="n"/>
      <c r="F219" s="15" t="n"/>
      <c r="G219" s="15" t="n"/>
      <c r="H219" s="15" t="n"/>
      <c r="I219" s="16" t="n"/>
      <c r="J219" s="16" t="n"/>
      <c r="K219" s="15">
        <f>IF(I219="","",MAX(0,IF(J219&lt;&gt;"",J219-I219,IF(OR(H219="Resolved",H219="Closed"),0,TODAY()-I219))))</f>
        <v/>
      </c>
      <c r="L219" s="15" t="n"/>
    </row>
    <row r="220">
      <c r="A220" s="15" t="n"/>
      <c r="B220" s="15" t="n"/>
      <c r="C220" s="15" t="n"/>
      <c r="D220" s="15" t="n"/>
      <c r="E220" s="16" t="n"/>
      <c r="F220" s="15" t="n"/>
      <c r="G220" s="15" t="n"/>
      <c r="H220" s="15" t="n"/>
      <c r="I220" s="16" t="n"/>
      <c r="J220" s="16" t="n"/>
      <c r="K220" s="15">
        <f>IF(I220="","",MAX(0,IF(J220&lt;&gt;"",J220-I220,IF(OR(H220="Resolved",H220="Closed"),0,TODAY()-I220))))</f>
        <v/>
      </c>
      <c r="L220" s="15" t="n"/>
    </row>
    <row r="221">
      <c r="A221" s="15" t="n"/>
      <c r="B221" s="15" t="n"/>
      <c r="C221" s="15" t="n"/>
      <c r="D221" s="15" t="n"/>
      <c r="E221" s="16" t="n"/>
      <c r="F221" s="15" t="n"/>
      <c r="G221" s="15" t="n"/>
      <c r="H221" s="15" t="n"/>
      <c r="I221" s="16" t="n"/>
      <c r="J221" s="16" t="n"/>
      <c r="K221" s="15">
        <f>IF(I221="","",MAX(0,IF(J221&lt;&gt;"",J221-I221,IF(OR(H221="Resolved",H221="Closed"),0,TODAY()-I221))))</f>
        <v/>
      </c>
      <c r="L221" s="15" t="n"/>
    </row>
    <row r="222">
      <c r="A222" s="15" t="n"/>
      <c r="B222" s="15" t="n"/>
      <c r="C222" s="15" t="n"/>
      <c r="D222" s="15" t="n"/>
      <c r="E222" s="16" t="n"/>
      <c r="F222" s="15" t="n"/>
      <c r="G222" s="15" t="n"/>
      <c r="H222" s="15" t="n"/>
      <c r="I222" s="16" t="n"/>
      <c r="J222" s="16" t="n"/>
      <c r="K222" s="15">
        <f>IF(I222="","",MAX(0,IF(J222&lt;&gt;"",J222-I222,IF(OR(H222="Resolved",H222="Closed"),0,TODAY()-I222))))</f>
        <v/>
      </c>
      <c r="L222" s="15" t="n"/>
    </row>
    <row r="223">
      <c r="A223" s="15" t="n"/>
      <c r="B223" s="15" t="n"/>
      <c r="C223" s="15" t="n"/>
      <c r="D223" s="15" t="n"/>
      <c r="E223" s="16" t="n"/>
      <c r="F223" s="15" t="n"/>
      <c r="G223" s="15" t="n"/>
      <c r="H223" s="15" t="n"/>
      <c r="I223" s="16" t="n"/>
      <c r="J223" s="16" t="n"/>
      <c r="K223" s="15">
        <f>IF(I223="","",MAX(0,IF(J223&lt;&gt;"",J223-I223,IF(OR(H223="Resolved",H223="Closed"),0,TODAY()-I223))))</f>
        <v/>
      </c>
      <c r="L223" s="15" t="n"/>
    </row>
    <row r="224">
      <c r="A224" s="15" t="n"/>
      <c r="B224" s="15" t="n"/>
      <c r="C224" s="15" t="n"/>
      <c r="D224" s="15" t="n"/>
      <c r="E224" s="16" t="n"/>
      <c r="F224" s="15" t="n"/>
      <c r="G224" s="15" t="n"/>
      <c r="H224" s="15" t="n"/>
      <c r="I224" s="16" t="n"/>
      <c r="J224" s="16" t="n"/>
      <c r="K224" s="15">
        <f>IF(I224="","",MAX(0,IF(J224&lt;&gt;"",J224-I224,IF(OR(H224="Resolved",H224="Closed"),0,TODAY()-I224))))</f>
        <v/>
      </c>
      <c r="L224" s="15" t="n"/>
    </row>
    <row r="225">
      <c r="A225" s="15" t="n"/>
      <c r="B225" s="15" t="n"/>
      <c r="C225" s="15" t="n"/>
      <c r="D225" s="15" t="n"/>
      <c r="E225" s="16" t="n"/>
      <c r="F225" s="15" t="n"/>
      <c r="G225" s="15" t="n"/>
      <c r="H225" s="15" t="n"/>
      <c r="I225" s="16" t="n"/>
      <c r="J225" s="16" t="n"/>
      <c r="K225" s="15">
        <f>IF(I225="","",MAX(0,IF(J225&lt;&gt;"",J225-I225,IF(OR(H225="Resolved",H225="Closed"),0,TODAY()-I225))))</f>
        <v/>
      </c>
      <c r="L225" s="15" t="n"/>
    </row>
    <row r="226">
      <c r="A226" s="15" t="n"/>
      <c r="B226" s="15" t="n"/>
      <c r="C226" s="15" t="n"/>
      <c r="D226" s="15" t="n"/>
      <c r="E226" s="16" t="n"/>
      <c r="F226" s="15" t="n"/>
      <c r="G226" s="15" t="n"/>
      <c r="H226" s="15" t="n"/>
      <c r="I226" s="16" t="n"/>
      <c r="J226" s="16" t="n"/>
      <c r="K226" s="15">
        <f>IF(I226="","",MAX(0,IF(J226&lt;&gt;"",J226-I226,IF(OR(H226="Resolved",H226="Closed"),0,TODAY()-I226))))</f>
        <v/>
      </c>
      <c r="L226" s="15" t="n"/>
    </row>
    <row r="227">
      <c r="A227" s="15" t="n"/>
      <c r="B227" s="15" t="n"/>
      <c r="C227" s="15" t="n"/>
      <c r="D227" s="15" t="n"/>
      <c r="E227" s="16" t="n"/>
      <c r="F227" s="15" t="n"/>
      <c r="G227" s="15" t="n"/>
      <c r="H227" s="15" t="n"/>
      <c r="I227" s="16" t="n"/>
      <c r="J227" s="16" t="n"/>
      <c r="K227" s="15">
        <f>IF(I227="","",MAX(0,IF(J227&lt;&gt;"",J227-I227,IF(OR(H227="Resolved",H227="Closed"),0,TODAY()-I227))))</f>
        <v/>
      </c>
      <c r="L227" s="15" t="n"/>
    </row>
    <row r="228">
      <c r="A228" s="15" t="n"/>
      <c r="B228" s="15" t="n"/>
      <c r="C228" s="15" t="n"/>
      <c r="D228" s="15" t="n"/>
      <c r="E228" s="16" t="n"/>
      <c r="F228" s="15" t="n"/>
      <c r="G228" s="15" t="n"/>
      <c r="H228" s="15" t="n"/>
      <c r="I228" s="16" t="n"/>
      <c r="J228" s="16" t="n"/>
      <c r="K228" s="15">
        <f>IF(I228="","",MAX(0,IF(J228&lt;&gt;"",J228-I228,IF(OR(H228="Resolved",H228="Closed"),0,TODAY()-I228))))</f>
        <v/>
      </c>
      <c r="L228" s="15" t="n"/>
    </row>
    <row r="229">
      <c r="A229" s="15" t="n"/>
      <c r="B229" s="15" t="n"/>
      <c r="C229" s="15" t="n"/>
      <c r="D229" s="15" t="n"/>
      <c r="E229" s="16" t="n"/>
      <c r="F229" s="15" t="n"/>
      <c r="G229" s="15" t="n"/>
      <c r="H229" s="15" t="n"/>
      <c r="I229" s="16" t="n"/>
      <c r="J229" s="16" t="n"/>
      <c r="K229" s="15">
        <f>IF(I229="","",MAX(0,IF(J229&lt;&gt;"",J229-I229,IF(OR(H229="Resolved",H229="Closed"),0,TODAY()-I229))))</f>
        <v/>
      </c>
      <c r="L229" s="15" t="n"/>
    </row>
    <row r="230">
      <c r="A230" s="15" t="n"/>
      <c r="B230" s="15" t="n"/>
      <c r="C230" s="15" t="n"/>
      <c r="D230" s="15" t="n"/>
      <c r="E230" s="16" t="n"/>
      <c r="F230" s="15" t="n"/>
      <c r="G230" s="15" t="n"/>
      <c r="H230" s="15" t="n"/>
      <c r="I230" s="16" t="n"/>
      <c r="J230" s="16" t="n"/>
      <c r="K230" s="15">
        <f>IF(I230="","",MAX(0,IF(J230&lt;&gt;"",J230-I230,IF(OR(H230="Resolved",H230="Closed"),0,TODAY()-I230))))</f>
        <v/>
      </c>
      <c r="L230" s="15" t="n"/>
    </row>
    <row r="231">
      <c r="A231" s="15" t="n"/>
      <c r="B231" s="15" t="n"/>
      <c r="C231" s="15" t="n"/>
      <c r="D231" s="15" t="n"/>
      <c r="E231" s="16" t="n"/>
      <c r="F231" s="15" t="n"/>
      <c r="G231" s="15" t="n"/>
      <c r="H231" s="15" t="n"/>
      <c r="I231" s="16" t="n"/>
      <c r="J231" s="16" t="n"/>
      <c r="K231" s="15">
        <f>IF(I231="","",MAX(0,IF(J231&lt;&gt;"",J231-I231,IF(OR(H231="Resolved",H231="Closed"),0,TODAY()-I231))))</f>
        <v/>
      </c>
      <c r="L231" s="15" t="n"/>
    </row>
    <row r="232">
      <c r="A232" s="15" t="n"/>
      <c r="B232" s="15" t="n"/>
      <c r="C232" s="15" t="n"/>
      <c r="D232" s="15" t="n"/>
      <c r="E232" s="16" t="n"/>
      <c r="F232" s="15" t="n"/>
      <c r="G232" s="15" t="n"/>
      <c r="H232" s="15" t="n"/>
      <c r="I232" s="16" t="n"/>
      <c r="J232" s="16" t="n"/>
      <c r="K232" s="15">
        <f>IF(I232="","",MAX(0,IF(J232&lt;&gt;"",J232-I232,IF(OR(H232="Resolved",H232="Closed"),0,TODAY()-I232))))</f>
        <v/>
      </c>
      <c r="L232" s="15" t="n"/>
    </row>
    <row r="233">
      <c r="A233" s="15" t="n"/>
      <c r="B233" s="15" t="n"/>
      <c r="C233" s="15" t="n"/>
      <c r="D233" s="15" t="n"/>
      <c r="E233" s="16" t="n"/>
      <c r="F233" s="15" t="n"/>
      <c r="G233" s="15" t="n"/>
      <c r="H233" s="15" t="n"/>
      <c r="I233" s="16" t="n"/>
      <c r="J233" s="16" t="n"/>
      <c r="K233" s="15">
        <f>IF(I233="","",MAX(0,IF(J233&lt;&gt;"",J233-I233,IF(OR(H233="Resolved",H233="Closed"),0,TODAY()-I233))))</f>
        <v/>
      </c>
      <c r="L233" s="15" t="n"/>
    </row>
    <row r="234">
      <c r="A234" s="15" t="n"/>
      <c r="B234" s="15" t="n"/>
      <c r="C234" s="15" t="n"/>
      <c r="D234" s="15" t="n"/>
      <c r="E234" s="16" t="n"/>
      <c r="F234" s="15" t="n"/>
      <c r="G234" s="15" t="n"/>
      <c r="H234" s="15" t="n"/>
      <c r="I234" s="16" t="n"/>
      <c r="J234" s="16" t="n"/>
      <c r="K234" s="15">
        <f>IF(I234="","",MAX(0,IF(J234&lt;&gt;"",J234-I234,IF(OR(H234="Resolved",H234="Closed"),0,TODAY()-I234))))</f>
        <v/>
      </c>
      <c r="L234" s="15" t="n"/>
    </row>
    <row r="235">
      <c r="A235" s="15" t="n"/>
      <c r="B235" s="15" t="n"/>
      <c r="C235" s="15" t="n"/>
      <c r="D235" s="15" t="n"/>
      <c r="E235" s="16" t="n"/>
      <c r="F235" s="15" t="n"/>
      <c r="G235" s="15" t="n"/>
      <c r="H235" s="15" t="n"/>
      <c r="I235" s="16" t="n"/>
      <c r="J235" s="16" t="n"/>
      <c r="K235" s="15">
        <f>IF(I235="","",MAX(0,IF(J235&lt;&gt;"",J235-I235,IF(OR(H235="Resolved",H235="Closed"),0,TODAY()-I235))))</f>
        <v/>
      </c>
      <c r="L235" s="15" t="n"/>
    </row>
    <row r="236">
      <c r="A236" s="15" t="n"/>
      <c r="B236" s="15" t="n"/>
      <c r="C236" s="15" t="n"/>
      <c r="D236" s="15" t="n"/>
      <c r="E236" s="16" t="n"/>
      <c r="F236" s="15" t="n"/>
      <c r="G236" s="15" t="n"/>
      <c r="H236" s="15" t="n"/>
      <c r="I236" s="16" t="n"/>
      <c r="J236" s="16" t="n"/>
      <c r="K236" s="15">
        <f>IF(I236="","",MAX(0,IF(J236&lt;&gt;"",J236-I236,IF(OR(H236="Resolved",H236="Closed"),0,TODAY()-I236))))</f>
        <v/>
      </c>
      <c r="L236" s="15" t="n"/>
    </row>
    <row r="237">
      <c r="A237" s="15" t="n"/>
      <c r="B237" s="15" t="n"/>
      <c r="C237" s="15" t="n"/>
      <c r="D237" s="15" t="n"/>
      <c r="E237" s="16" t="n"/>
      <c r="F237" s="15" t="n"/>
      <c r="G237" s="15" t="n"/>
      <c r="H237" s="15" t="n"/>
      <c r="I237" s="16" t="n"/>
      <c r="J237" s="16" t="n"/>
      <c r="K237" s="15">
        <f>IF(I237="","",MAX(0,IF(J237&lt;&gt;"",J237-I237,IF(OR(H237="Resolved",H237="Closed"),0,TODAY()-I237))))</f>
        <v/>
      </c>
      <c r="L237" s="15" t="n"/>
    </row>
    <row r="238">
      <c r="A238" s="15" t="n"/>
      <c r="B238" s="15" t="n"/>
      <c r="C238" s="15" t="n"/>
      <c r="D238" s="15" t="n"/>
      <c r="E238" s="16" t="n"/>
      <c r="F238" s="15" t="n"/>
      <c r="G238" s="15" t="n"/>
      <c r="H238" s="15" t="n"/>
      <c r="I238" s="16" t="n"/>
      <c r="J238" s="16" t="n"/>
      <c r="K238" s="15">
        <f>IF(I238="","",MAX(0,IF(J238&lt;&gt;"",J238-I238,IF(OR(H238="Resolved",H238="Closed"),0,TODAY()-I238))))</f>
        <v/>
      </c>
      <c r="L238" s="15" t="n"/>
    </row>
    <row r="239">
      <c r="A239" s="15" t="n"/>
      <c r="B239" s="15" t="n"/>
      <c r="C239" s="15" t="n"/>
      <c r="D239" s="15" t="n"/>
      <c r="E239" s="16" t="n"/>
      <c r="F239" s="15" t="n"/>
      <c r="G239" s="15" t="n"/>
      <c r="H239" s="15" t="n"/>
      <c r="I239" s="16" t="n"/>
      <c r="J239" s="16" t="n"/>
      <c r="K239" s="15">
        <f>IF(I239="","",MAX(0,IF(J239&lt;&gt;"",J239-I239,IF(OR(H239="Resolved",H239="Closed"),0,TODAY()-I239))))</f>
        <v/>
      </c>
      <c r="L239" s="15" t="n"/>
    </row>
    <row r="240">
      <c r="A240" s="15" t="n"/>
      <c r="B240" s="15" t="n"/>
      <c r="C240" s="15" t="n"/>
      <c r="D240" s="15" t="n"/>
      <c r="E240" s="16" t="n"/>
      <c r="F240" s="15" t="n"/>
      <c r="G240" s="15" t="n"/>
      <c r="H240" s="15" t="n"/>
      <c r="I240" s="16" t="n"/>
      <c r="J240" s="16" t="n"/>
      <c r="K240" s="15">
        <f>IF(I240="","",MAX(0,IF(J240&lt;&gt;"",J240-I240,IF(OR(H240="Resolved",H240="Closed"),0,TODAY()-I240))))</f>
        <v/>
      </c>
      <c r="L240" s="15" t="n"/>
    </row>
    <row r="241">
      <c r="A241" s="15" t="n"/>
      <c r="B241" s="15" t="n"/>
      <c r="C241" s="15" t="n"/>
      <c r="D241" s="15" t="n"/>
      <c r="E241" s="16" t="n"/>
      <c r="F241" s="15" t="n"/>
      <c r="G241" s="15" t="n"/>
      <c r="H241" s="15" t="n"/>
      <c r="I241" s="16" t="n"/>
      <c r="J241" s="16" t="n"/>
      <c r="K241" s="15">
        <f>IF(I241="","",MAX(0,IF(J241&lt;&gt;"",J241-I241,IF(OR(H241="Resolved",H241="Closed"),0,TODAY()-I241))))</f>
        <v/>
      </c>
      <c r="L241" s="15" t="n"/>
    </row>
    <row r="242">
      <c r="A242" s="15" t="n"/>
      <c r="B242" s="15" t="n"/>
      <c r="C242" s="15" t="n"/>
      <c r="D242" s="15" t="n"/>
      <c r="E242" s="16" t="n"/>
      <c r="F242" s="15" t="n"/>
      <c r="G242" s="15" t="n"/>
      <c r="H242" s="15" t="n"/>
      <c r="I242" s="16" t="n"/>
      <c r="J242" s="16" t="n"/>
      <c r="K242" s="15">
        <f>IF(I242="","",MAX(0,IF(J242&lt;&gt;"",J242-I242,IF(OR(H242="Resolved",H242="Closed"),0,TODAY()-I242))))</f>
        <v/>
      </c>
      <c r="L242" s="15" t="n"/>
    </row>
    <row r="243">
      <c r="A243" s="15" t="n"/>
      <c r="B243" s="15" t="n"/>
      <c r="C243" s="15" t="n"/>
      <c r="D243" s="15" t="n"/>
      <c r="E243" s="16" t="n"/>
      <c r="F243" s="15" t="n"/>
      <c r="G243" s="15" t="n"/>
      <c r="H243" s="15" t="n"/>
      <c r="I243" s="16" t="n"/>
      <c r="J243" s="16" t="n"/>
      <c r="K243" s="15">
        <f>IF(I243="","",MAX(0,IF(J243&lt;&gt;"",J243-I243,IF(OR(H243="Resolved",H243="Closed"),0,TODAY()-I243))))</f>
        <v/>
      </c>
      <c r="L243" s="15" t="n"/>
    </row>
    <row r="244">
      <c r="A244" s="15" t="n"/>
      <c r="B244" s="15" t="n"/>
      <c r="C244" s="15" t="n"/>
      <c r="D244" s="15" t="n"/>
      <c r="E244" s="16" t="n"/>
      <c r="F244" s="15" t="n"/>
      <c r="G244" s="15" t="n"/>
      <c r="H244" s="15" t="n"/>
      <c r="I244" s="16" t="n"/>
      <c r="J244" s="16" t="n"/>
      <c r="K244" s="15">
        <f>IF(I244="","",MAX(0,IF(J244&lt;&gt;"",J244-I244,IF(OR(H244="Resolved",H244="Closed"),0,TODAY()-I244))))</f>
        <v/>
      </c>
      <c r="L244" s="15" t="n"/>
    </row>
    <row r="245">
      <c r="A245" s="15" t="n"/>
      <c r="B245" s="15" t="n"/>
      <c r="C245" s="15" t="n"/>
      <c r="D245" s="15" t="n"/>
      <c r="E245" s="16" t="n"/>
      <c r="F245" s="15" t="n"/>
      <c r="G245" s="15" t="n"/>
      <c r="H245" s="15" t="n"/>
      <c r="I245" s="16" t="n"/>
      <c r="J245" s="16" t="n"/>
      <c r="K245" s="15">
        <f>IF(I245="","",MAX(0,IF(J245&lt;&gt;"",J245-I245,IF(OR(H245="Resolved",H245="Closed"),0,TODAY()-I245))))</f>
        <v/>
      </c>
      <c r="L245" s="15" t="n"/>
    </row>
    <row r="246">
      <c r="A246" s="15" t="n"/>
      <c r="B246" s="15" t="n"/>
      <c r="C246" s="15" t="n"/>
      <c r="D246" s="15" t="n"/>
      <c r="E246" s="16" t="n"/>
      <c r="F246" s="15" t="n"/>
      <c r="G246" s="15" t="n"/>
      <c r="H246" s="15" t="n"/>
      <c r="I246" s="16" t="n"/>
      <c r="J246" s="16" t="n"/>
      <c r="K246" s="15">
        <f>IF(I246="","",MAX(0,IF(J246&lt;&gt;"",J246-I246,IF(OR(H246="Resolved",H246="Closed"),0,TODAY()-I246))))</f>
        <v/>
      </c>
      <c r="L246" s="15" t="n"/>
    </row>
    <row r="247">
      <c r="A247" s="15" t="n"/>
      <c r="B247" s="15" t="n"/>
      <c r="C247" s="15" t="n"/>
      <c r="D247" s="15" t="n"/>
      <c r="E247" s="16" t="n"/>
      <c r="F247" s="15" t="n"/>
      <c r="G247" s="15" t="n"/>
      <c r="H247" s="15" t="n"/>
      <c r="I247" s="16" t="n"/>
      <c r="J247" s="16" t="n"/>
      <c r="K247" s="15">
        <f>IF(I247="","",MAX(0,IF(J247&lt;&gt;"",J247-I247,IF(OR(H247="Resolved",H247="Closed"),0,TODAY()-I247))))</f>
        <v/>
      </c>
      <c r="L247" s="15" t="n"/>
    </row>
    <row r="248">
      <c r="A248" s="15" t="n"/>
      <c r="B248" s="15" t="n"/>
      <c r="C248" s="15" t="n"/>
      <c r="D248" s="15" t="n"/>
      <c r="E248" s="16" t="n"/>
      <c r="F248" s="15" t="n"/>
      <c r="G248" s="15" t="n"/>
      <c r="H248" s="15" t="n"/>
      <c r="I248" s="16" t="n"/>
      <c r="J248" s="16" t="n"/>
      <c r="K248" s="15">
        <f>IF(I248="","",MAX(0,IF(J248&lt;&gt;"",J248-I248,IF(OR(H248="Resolved",H248="Closed"),0,TODAY()-I248))))</f>
        <v/>
      </c>
      <c r="L248" s="15" t="n"/>
    </row>
    <row r="249">
      <c r="A249" s="15" t="n"/>
      <c r="B249" s="15" t="n"/>
      <c r="C249" s="15" t="n"/>
      <c r="D249" s="15" t="n"/>
      <c r="E249" s="16" t="n"/>
      <c r="F249" s="15" t="n"/>
      <c r="G249" s="15" t="n"/>
      <c r="H249" s="15" t="n"/>
      <c r="I249" s="16" t="n"/>
      <c r="J249" s="16" t="n"/>
      <c r="K249" s="15">
        <f>IF(I249="","",MAX(0,IF(J249&lt;&gt;"",J249-I249,IF(OR(H249="Resolved",H249="Closed"),0,TODAY()-I249))))</f>
        <v/>
      </c>
      <c r="L249" s="15" t="n"/>
    </row>
    <row r="250">
      <c r="A250" s="15" t="n"/>
      <c r="B250" s="15" t="n"/>
      <c r="C250" s="15" t="n"/>
      <c r="D250" s="15" t="n"/>
      <c r="E250" s="16" t="n"/>
      <c r="F250" s="15" t="n"/>
      <c r="G250" s="15" t="n"/>
      <c r="H250" s="15" t="n"/>
      <c r="I250" s="16" t="n"/>
      <c r="J250" s="16" t="n"/>
      <c r="K250" s="15">
        <f>IF(I250="","",MAX(0,IF(J250&lt;&gt;"",J250-I250,IF(OR(H250="Resolved",H250="Closed"),0,TODAY()-I250))))</f>
        <v/>
      </c>
      <c r="L250" s="15" t="n"/>
    </row>
    <row r="251">
      <c r="A251" s="15" t="n"/>
      <c r="B251" s="15" t="n"/>
      <c r="C251" s="15" t="n"/>
      <c r="D251" s="15" t="n"/>
      <c r="E251" s="16" t="n"/>
      <c r="F251" s="15" t="n"/>
      <c r="G251" s="15" t="n"/>
      <c r="H251" s="15" t="n"/>
      <c r="I251" s="16" t="n"/>
      <c r="J251" s="16" t="n"/>
      <c r="K251" s="15">
        <f>IF(I251="","",MAX(0,IF(J251&lt;&gt;"",J251-I251,IF(OR(H251="Resolved",H251="Closed"),0,TODAY()-I251))))</f>
        <v/>
      </c>
      <c r="L251" s="15" t="n"/>
    </row>
    <row r="252">
      <c r="A252" s="15" t="n"/>
      <c r="B252" s="15" t="n"/>
      <c r="C252" s="15" t="n"/>
      <c r="D252" s="15" t="n"/>
      <c r="E252" s="16" t="n"/>
      <c r="F252" s="15" t="n"/>
      <c r="G252" s="15" t="n"/>
      <c r="H252" s="15" t="n"/>
      <c r="I252" s="16" t="n"/>
      <c r="J252" s="16" t="n"/>
      <c r="K252" s="15">
        <f>IF(I252="","",MAX(0,IF(J252&lt;&gt;"",J252-I252,IF(OR(H252="Resolved",H252="Closed"),0,TODAY()-I252))))</f>
        <v/>
      </c>
      <c r="L252" s="15" t="n"/>
    </row>
    <row r="253">
      <c r="A253" s="15" t="n"/>
      <c r="B253" s="15" t="n"/>
      <c r="C253" s="15" t="n"/>
      <c r="D253" s="15" t="n"/>
      <c r="E253" s="16" t="n"/>
      <c r="F253" s="15" t="n"/>
      <c r="G253" s="15" t="n"/>
      <c r="H253" s="15" t="n"/>
      <c r="I253" s="16" t="n"/>
      <c r="J253" s="16" t="n"/>
      <c r="K253" s="15">
        <f>IF(I253="","",MAX(0,IF(J253&lt;&gt;"",J253-I253,IF(OR(H253="Resolved",H253="Closed"),0,TODAY()-I253))))</f>
        <v/>
      </c>
      <c r="L253" s="15" t="n"/>
    </row>
    <row r="254">
      <c r="A254" s="15" t="n"/>
      <c r="B254" s="15" t="n"/>
      <c r="C254" s="15" t="n"/>
      <c r="D254" s="15" t="n"/>
      <c r="E254" s="16" t="n"/>
      <c r="F254" s="15" t="n"/>
      <c r="G254" s="15" t="n"/>
      <c r="H254" s="15" t="n"/>
      <c r="I254" s="16" t="n"/>
      <c r="J254" s="16" t="n"/>
      <c r="K254" s="15">
        <f>IF(I254="","",MAX(0,IF(J254&lt;&gt;"",J254-I254,IF(OR(H254="Resolved",H254="Closed"),0,TODAY()-I254))))</f>
        <v/>
      </c>
      <c r="L254" s="15" t="n"/>
    </row>
    <row r="255">
      <c r="A255" s="15" t="n"/>
      <c r="B255" s="15" t="n"/>
      <c r="C255" s="15" t="n"/>
      <c r="D255" s="15" t="n"/>
      <c r="E255" s="16" t="n"/>
      <c r="F255" s="15" t="n"/>
      <c r="G255" s="15" t="n"/>
      <c r="H255" s="15" t="n"/>
      <c r="I255" s="16" t="n"/>
      <c r="J255" s="16" t="n"/>
      <c r="K255" s="15">
        <f>IF(I255="","",MAX(0,IF(J255&lt;&gt;"",J255-I255,IF(OR(H255="Resolved",H255="Closed"),0,TODAY()-I255))))</f>
        <v/>
      </c>
      <c r="L255" s="15" t="n"/>
    </row>
    <row r="256">
      <c r="A256" s="15" t="n"/>
      <c r="B256" s="15" t="n"/>
      <c r="C256" s="15" t="n"/>
      <c r="D256" s="15" t="n"/>
      <c r="E256" s="16" t="n"/>
      <c r="F256" s="15" t="n"/>
      <c r="G256" s="15" t="n"/>
      <c r="H256" s="15" t="n"/>
      <c r="I256" s="16" t="n"/>
      <c r="J256" s="16" t="n"/>
      <c r="K256" s="15">
        <f>IF(I256="","",MAX(0,IF(J256&lt;&gt;"",J256-I256,IF(OR(H256="Resolved",H256="Closed"),0,TODAY()-I256))))</f>
        <v/>
      </c>
      <c r="L256" s="15" t="n"/>
    </row>
    <row r="257">
      <c r="A257" s="15" t="n"/>
      <c r="B257" s="15" t="n"/>
      <c r="C257" s="15" t="n"/>
      <c r="D257" s="15" t="n"/>
      <c r="E257" s="16" t="n"/>
      <c r="F257" s="15" t="n"/>
      <c r="G257" s="15" t="n"/>
      <c r="H257" s="15" t="n"/>
      <c r="I257" s="16" t="n"/>
      <c r="J257" s="16" t="n"/>
      <c r="K257" s="15">
        <f>IF(I257="","",MAX(0,IF(J257&lt;&gt;"",J257-I257,IF(OR(H257="Resolved",H257="Closed"),0,TODAY()-I257))))</f>
        <v/>
      </c>
      <c r="L257" s="15" t="n"/>
    </row>
    <row r="258">
      <c r="A258" s="15" t="n"/>
      <c r="B258" s="15" t="n"/>
      <c r="C258" s="15" t="n"/>
      <c r="D258" s="15" t="n"/>
      <c r="E258" s="16" t="n"/>
      <c r="F258" s="15" t="n"/>
      <c r="G258" s="15" t="n"/>
      <c r="H258" s="15" t="n"/>
      <c r="I258" s="16" t="n"/>
      <c r="J258" s="16" t="n"/>
      <c r="K258" s="15">
        <f>IF(I258="","",MAX(0,IF(J258&lt;&gt;"",J258-I258,IF(OR(H258="Resolved",H258="Closed"),0,TODAY()-I258))))</f>
        <v/>
      </c>
      <c r="L258" s="15" t="n"/>
    </row>
    <row r="259">
      <c r="A259" s="15" t="n"/>
      <c r="B259" s="15" t="n"/>
      <c r="C259" s="15" t="n"/>
      <c r="D259" s="15" t="n"/>
      <c r="E259" s="16" t="n"/>
      <c r="F259" s="15" t="n"/>
      <c r="G259" s="15" t="n"/>
      <c r="H259" s="15" t="n"/>
      <c r="I259" s="16" t="n"/>
      <c r="J259" s="16" t="n"/>
      <c r="K259" s="15">
        <f>IF(I259="","",MAX(0,IF(J259&lt;&gt;"",J259-I259,IF(OR(H259="Resolved",H259="Closed"),0,TODAY()-I259))))</f>
        <v/>
      </c>
      <c r="L259" s="15" t="n"/>
    </row>
    <row r="260">
      <c r="A260" s="15" t="n"/>
      <c r="B260" s="15" t="n"/>
      <c r="C260" s="15" t="n"/>
      <c r="D260" s="15" t="n"/>
      <c r="E260" s="16" t="n"/>
      <c r="F260" s="15" t="n"/>
      <c r="G260" s="15" t="n"/>
      <c r="H260" s="15" t="n"/>
      <c r="I260" s="16" t="n"/>
      <c r="J260" s="16" t="n"/>
      <c r="K260" s="15">
        <f>IF(I260="","",MAX(0,IF(J260&lt;&gt;"",J260-I260,IF(OR(H260="Resolved",H260="Closed"),0,TODAY()-I260))))</f>
        <v/>
      </c>
      <c r="L260" s="15" t="n"/>
    </row>
    <row r="261">
      <c r="A261" s="15" t="n"/>
      <c r="B261" s="15" t="n"/>
      <c r="C261" s="15" t="n"/>
      <c r="D261" s="15" t="n"/>
      <c r="E261" s="16" t="n"/>
      <c r="F261" s="15" t="n"/>
      <c r="G261" s="15" t="n"/>
      <c r="H261" s="15" t="n"/>
      <c r="I261" s="16" t="n"/>
      <c r="J261" s="16" t="n"/>
      <c r="K261" s="15">
        <f>IF(I261="","",MAX(0,IF(J261&lt;&gt;"",J261-I261,IF(OR(H261="Resolved",H261="Closed"),0,TODAY()-I261))))</f>
        <v/>
      </c>
      <c r="L261" s="15" t="n"/>
    </row>
    <row r="262">
      <c r="A262" s="15" t="n"/>
      <c r="B262" s="15" t="n"/>
      <c r="C262" s="15" t="n"/>
      <c r="D262" s="15" t="n"/>
      <c r="E262" s="16" t="n"/>
      <c r="F262" s="15" t="n"/>
      <c r="G262" s="15" t="n"/>
      <c r="H262" s="15" t="n"/>
      <c r="I262" s="16" t="n"/>
      <c r="J262" s="16" t="n"/>
      <c r="K262" s="15">
        <f>IF(I262="","",MAX(0,IF(J262&lt;&gt;"",J262-I262,IF(OR(H262="Resolved",H262="Closed"),0,TODAY()-I262))))</f>
        <v/>
      </c>
      <c r="L262" s="15" t="n"/>
    </row>
    <row r="263">
      <c r="A263" s="15" t="n"/>
      <c r="B263" s="15" t="n"/>
      <c r="C263" s="15" t="n"/>
      <c r="D263" s="15" t="n"/>
      <c r="E263" s="16" t="n"/>
      <c r="F263" s="15" t="n"/>
      <c r="G263" s="15" t="n"/>
      <c r="H263" s="15" t="n"/>
      <c r="I263" s="16" t="n"/>
      <c r="J263" s="16" t="n"/>
      <c r="K263" s="15">
        <f>IF(I263="","",MAX(0,IF(J263&lt;&gt;"",J263-I263,IF(OR(H263="Resolved",H263="Closed"),0,TODAY()-I263))))</f>
        <v/>
      </c>
      <c r="L263" s="15" t="n"/>
    </row>
    <row r="264">
      <c r="A264" s="15" t="n"/>
      <c r="B264" s="15" t="n"/>
      <c r="C264" s="15" t="n"/>
      <c r="D264" s="15" t="n"/>
      <c r="E264" s="16" t="n"/>
      <c r="F264" s="15" t="n"/>
      <c r="G264" s="15" t="n"/>
      <c r="H264" s="15" t="n"/>
      <c r="I264" s="16" t="n"/>
      <c r="J264" s="16" t="n"/>
      <c r="K264" s="15">
        <f>IF(I264="","",MAX(0,IF(J264&lt;&gt;"",J264-I264,IF(OR(H264="Resolved",H264="Closed"),0,TODAY()-I264))))</f>
        <v/>
      </c>
      <c r="L264" s="15" t="n"/>
    </row>
    <row r="265">
      <c r="A265" s="15" t="n"/>
      <c r="B265" s="15" t="n"/>
      <c r="C265" s="15" t="n"/>
      <c r="D265" s="15" t="n"/>
      <c r="E265" s="16" t="n"/>
      <c r="F265" s="15" t="n"/>
      <c r="G265" s="15" t="n"/>
      <c r="H265" s="15" t="n"/>
      <c r="I265" s="16" t="n"/>
      <c r="J265" s="16" t="n"/>
      <c r="K265" s="15">
        <f>IF(I265="","",MAX(0,IF(J265&lt;&gt;"",J265-I265,IF(OR(H265="Resolved",H265="Closed"),0,TODAY()-I265))))</f>
        <v/>
      </c>
      <c r="L265" s="15" t="n"/>
    </row>
    <row r="266">
      <c r="A266" s="15" t="n"/>
      <c r="B266" s="15" t="n"/>
      <c r="C266" s="15" t="n"/>
      <c r="D266" s="15" t="n"/>
      <c r="E266" s="16" t="n"/>
      <c r="F266" s="15" t="n"/>
      <c r="G266" s="15" t="n"/>
      <c r="H266" s="15" t="n"/>
      <c r="I266" s="16" t="n"/>
      <c r="J266" s="16" t="n"/>
      <c r="K266" s="15">
        <f>IF(I266="","",MAX(0,IF(J266&lt;&gt;"",J266-I266,IF(OR(H266="Resolved",H266="Closed"),0,TODAY()-I266))))</f>
        <v/>
      </c>
      <c r="L266" s="15" t="n"/>
    </row>
    <row r="267">
      <c r="A267" s="15" t="n"/>
      <c r="B267" s="15" t="n"/>
      <c r="C267" s="15" t="n"/>
      <c r="D267" s="15" t="n"/>
      <c r="E267" s="16" t="n"/>
      <c r="F267" s="15" t="n"/>
      <c r="G267" s="15" t="n"/>
      <c r="H267" s="15" t="n"/>
      <c r="I267" s="16" t="n"/>
      <c r="J267" s="16" t="n"/>
      <c r="K267" s="15">
        <f>IF(I267="","",MAX(0,IF(J267&lt;&gt;"",J267-I267,IF(OR(H267="Resolved",H267="Closed"),0,TODAY()-I267))))</f>
        <v/>
      </c>
      <c r="L267" s="15" t="n"/>
    </row>
    <row r="268">
      <c r="A268" s="15" t="n"/>
      <c r="B268" s="15" t="n"/>
      <c r="C268" s="15" t="n"/>
      <c r="D268" s="15" t="n"/>
      <c r="E268" s="16" t="n"/>
      <c r="F268" s="15" t="n"/>
      <c r="G268" s="15" t="n"/>
      <c r="H268" s="15" t="n"/>
      <c r="I268" s="16" t="n"/>
      <c r="J268" s="16" t="n"/>
      <c r="K268" s="15">
        <f>IF(I268="","",MAX(0,IF(J268&lt;&gt;"",J268-I268,IF(OR(H268="Resolved",H268="Closed"),0,TODAY()-I268))))</f>
        <v/>
      </c>
      <c r="L268" s="15" t="n"/>
    </row>
    <row r="269">
      <c r="A269" s="15" t="n"/>
      <c r="B269" s="15" t="n"/>
      <c r="C269" s="15" t="n"/>
      <c r="D269" s="15" t="n"/>
      <c r="E269" s="16" t="n"/>
      <c r="F269" s="15" t="n"/>
      <c r="G269" s="15" t="n"/>
      <c r="H269" s="15" t="n"/>
      <c r="I269" s="16" t="n"/>
      <c r="J269" s="16" t="n"/>
      <c r="K269" s="15">
        <f>IF(I269="","",MAX(0,IF(J269&lt;&gt;"",J269-I269,IF(OR(H269="Resolved",H269="Closed"),0,TODAY()-I269))))</f>
        <v/>
      </c>
      <c r="L269" s="15" t="n"/>
    </row>
    <row r="270">
      <c r="A270" s="15" t="n"/>
      <c r="B270" s="15" t="n"/>
      <c r="C270" s="15" t="n"/>
      <c r="D270" s="15" t="n"/>
      <c r="E270" s="16" t="n"/>
      <c r="F270" s="15" t="n"/>
      <c r="G270" s="15" t="n"/>
      <c r="H270" s="15" t="n"/>
      <c r="I270" s="16" t="n"/>
      <c r="J270" s="16" t="n"/>
      <c r="K270" s="15">
        <f>IF(I270="","",MAX(0,IF(J270&lt;&gt;"",J270-I270,IF(OR(H270="Resolved",H270="Closed"),0,TODAY()-I270))))</f>
        <v/>
      </c>
      <c r="L270" s="15" t="n"/>
    </row>
    <row r="271">
      <c r="A271" s="15" t="n"/>
      <c r="B271" s="15" t="n"/>
      <c r="C271" s="15" t="n"/>
      <c r="D271" s="15" t="n"/>
      <c r="E271" s="16" t="n"/>
      <c r="F271" s="15" t="n"/>
      <c r="G271" s="15" t="n"/>
      <c r="H271" s="15" t="n"/>
      <c r="I271" s="16" t="n"/>
      <c r="J271" s="16" t="n"/>
      <c r="K271" s="15">
        <f>IF(I271="","",MAX(0,IF(J271&lt;&gt;"",J271-I271,IF(OR(H271="Resolved",H271="Closed"),0,TODAY()-I271))))</f>
        <v/>
      </c>
      <c r="L271" s="15" t="n"/>
    </row>
    <row r="272">
      <c r="A272" s="15" t="n"/>
      <c r="B272" s="15" t="n"/>
      <c r="C272" s="15" t="n"/>
      <c r="D272" s="15" t="n"/>
      <c r="E272" s="16" t="n"/>
      <c r="F272" s="15" t="n"/>
      <c r="G272" s="15" t="n"/>
      <c r="H272" s="15" t="n"/>
      <c r="I272" s="16" t="n"/>
      <c r="J272" s="16" t="n"/>
      <c r="K272" s="15">
        <f>IF(I272="","",MAX(0,IF(J272&lt;&gt;"",J272-I272,IF(OR(H272="Resolved",H272="Closed"),0,TODAY()-I272))))</f>
        <v/>
      </c>
      <c r="L272" s="15" t="n"/>
    </row>
    <row r="273">
      <c r="A273" s="15" t="n"/>
      <c r="B273" s="15" t="n"/>
      <c r="C273" s="15" t="n"/>
      <c r="D273" s="15" t="n"/>
      <c r="E273" s="16" t="n"/>
      <c r="F273" s="15" t="n"/>
      <c r="G273" s="15" t="n"/>
      <c r="H273" s="15" t="n"/>
      <c r="I273" s="16" t="n"/>
      <c r="J273" s="16" t="n"/>
      <c r="K273" s="15">
        <f>IF(I273="","",MAX(0,IF(J273&lt;&gt;"",J273-I273,IF(OR(H273="Resolved",H273="Closed"),0,TODAY()-I273))))</f>
        <v/>
      </c>
      <c r="L273" s="15" t="n"/>
    </row>
    <row r="274">
      <c r="A274" s="15" t="n"/>
      <c r="B274" s="15" t="n"/>
      <c r="C274" s="15" t="n"/>
      <c r="D274" s="15" t="n"/>
      <c r="E274" s="16" t="n"/>
      <c r="F274" s="15" t="n"/>
      <c r="G274" s="15" t="n"/>
      <c r="H274" s="15" t="n"/>
      <c r="I274" s="16" t="n"/>
      <c r="J274" s="16" t="n"/>
      <c r="K274" s="15">
        <f>IF(I274="","",MAX(0,IF(J274&lt;&gt;"",J274-I274,IF(OR(H274="Resolved",H274="Closed"),0,TODAY()-I274))))</f>
        <v/>
      </c>
      <c r="L274" s="15" t="n"/>
    </row>
    <row r="275">
      <c r="A275" s="15" t="n"/>
      <c r="B275" s="15" t="n"/>
      <c r="C275" s="15" t="n"/>
      <c r="D275" s="15" t="n"/>
      <c r="E275" s="16" t="n"/>
      <c r="F275" s="15" t="n"/>
      <c r="G275" s="15" t="n"/>
      <c r="H275" s="15" t="n"/>
      <c r="I275" s="16" t="n"/>
      <c r="J275" s="16" t="n"/>
      <c r="K275" s="15">
        <f>IF(I275="","",MAX(0,IF(J275&lt;&gt;"",J275-I275,IF(OR(H275="Resolved",H275="Closed"),0,TODAY()-I275))))</f>
        <v/>
      </c>
      <c r="L275" s="15" t="n"/>
    </row>
    <row r="276">
      <c r="A276" s="15" t="n"/>
      <c r="B276" s="15" t="n"/>
      <c r="C276" s="15" t="n"/>
      <c r="D276" s="15" t="n"/>
      <c r="E276" s="16" t="n"/>
      <c r="F276" s="15" t="n"/>
      <c r="G276" s="15" t="n"/>
      <c r="H276" s="15" t="n"/>
      <c r="I276" s="16" t="n"/>
      <c r="J276" s="16" t="n"/>
      <c r="K276" s="15">
        <f>IF(I276="","",MAX(0,IF(J276&lt;&gt;"",J276-I276,IF(OR(H276="Resolved",H276="Closed"),0,TODAY()-I276))))</f>
        <v/>
      </c>
      <c r="L276" s="15" t="n"/>
    </row>
    <row r="277">
      <c r="A277" s="15" t="n"/>
      <c r="B277" s="15" t="n"/>
      <c r="C277" s="15" t="n"/>
      <c r="D277" s="15" t="n"/>
      <c r="E277" s="16" t="n"/>
      <c r="F277" s="15" t="n"/>
      <c r="G277" s="15" t="n"/>
      <c r="H277" s="15" t="n"/>
      <c r="I277" s="16" t="n"/>
      <c r="J277" s="16" t="n"/>
      <c r="K277" s="15">
        <f>IF(I277="","",MAX(0,IF(J277&lt;&gt;"",J277-I277,IF(OR(H277="Resolved",H277="Closed"),0,TODAY()-I277))))</f>
        <v/>
      </c>
      <c r="L277" s="15" t="n"/>
    </row>
    <row r="278">
      <c r="A278" s="15" t="n"/>
      <c r="B278" s="15" t="n"/>
      <c r="C278" s="15" t="n"/>
      <c r="D278" s="15" t="n"/>
      <c r="E278" s="16" t="n"/>
      <c r="F278" s="15" t="n"/>
      <c r="G278" s="15" t="n"/>
      <c r="H278" s="15" t="n"/>
      <c r="I278" s="16" t="n"/>
      <c r="J278" s="16" t="n"/>
      <c r="K278" s="15">
        <f>IF(I278="","",MAX(0,IF(J278&lt;&gt;"",J278-I278,IF(OR(H278="Resolved",H278="Closed"),0,TODAY()-I278))))</f>
        <v/>
      </c>
      <c r="L278" s="15" t="n"/>
    </row>
    <row r="279">
      <c r="A279" s="15" t="n"/>
      <c r="B279" s="15" t="n"/>
      <c r="C279" s="15" t="n"/>
      <c r="D279" s="15" t="n"/>
      <c r="E279" s="16" t="n"/>
      <c r="F279" s="15" t="n"/>
      <c r="G279" s="15" t="n"/>
      <c r="H279" s="15" t="n"/>
      <c r="I279" s="16" t="n"/>
      <c r="J279" s="16" t="n"/>
      <c r="K279" s="15">
        <f>IF(I279="","",MAX(0,IF(J279&lt;&gt;"",J279-I279,IF(OR(H279="Resolved",H279="Closed"),0,TODAY()-I279))))</f>
        <v/>
      </c>
      <c r="L279" s="15" t="n"/>
    </row>
    <row r="280">
      <c r="A280" s="15" t="n"/>
      <c r="B280" s="15" t="n"/>
      <c r="C280" s="15" t="n"/>
      <c r="D280" s="15" t="n"/>
      <c r="E280" s="16" t="n"/>
      <c r="F280" s="15" t="n"/>
      <c r="G280" s="15" t="n"/>
      <c r="H280" s="15" t="n"/>
      <c r="I280" s="16" t="n"/>
      <c r="J280" s="16" t="n"/>
      <c r="K280" s="15">
        <f>IF(I280="","",MAX(0,IF(J280&lt;&gt;"",J280-I280,IF(OR(H280="Resolved",H280="Closed"),0,TODAY()-I280))))</f>
        <v/>
      </c>
      <c r="L280" s="15" t="n"/>
    </row>
    <row r="281">
      <c r="A281" s="15" t="n"/>
      <c r="B281" s="15" t="n"/>
      <c r="C281" s="15" t="n"/>
      <c r="D281" s="15" t="n"/>
      <c r="E281" s="16" t="n"/>
      <c r="F281" s="15" t="n"/>
      <c r="G281" s="15" t="n"/>
      <c r="H281" s="15" t="n"/>
      <c r="I281" s="16" t="n"/>
      <c r="J281" s="16" t="n"/>
      <c r="K281" s="15">
        <f>IF(I281="","",MAX(0,IF(J281&lt;&gt;"",J281-I281,IF(OR(H281="Resolved",H281="Closed"),0,TODAY()-I281))))</f>
        <v/>
      </c>
      <c r="L281" s="15" t="n"/>
    </row>
    <row r="282">
      <c r="A282" s="15" t="n"/>
      <c r="B282" s="15" t="n"/>
      <c r="C282" s="15" t="n"/>
      <c r="D282" s="15" t="n"/>
      <c r="E282" s="16" t="n"/>
      <c r="F282" s="15" t="n"/>
      <c r="G282" s="15" t="n"/>
      <c r="H282" s="15" t="n"/>
      <c r="I282" s="16" t="n"/>
      <c r="J282" s="16" t="n"/>
      <c r="K282" s="15">
        <f>IF(I282="","",MAX(0,IF(J282&lt;&gt;"",J282-I282,IF(OR(H282="Resolved",H282="Closed"),0,TODAY()-I282))))</f>
        <v/>
      </c>
      <c r="L282" s="15" t="n"/>
    </row>
    <row r="283">
      <c r="A283" s="15" t="n"/>
      <c r="B283" s="15" t="n"/>
      <c r="C283" s="15" t="n"/>
      <c r="D283" s="15" t="n"/>
      <c r="E283" s="16" t="n"/>
      <c r="F283" s="15" t="n"/>
      <c r="G283" s="15" t="n"/>
      <c r="H283" s="15" t="n"/>
      <c r="I283" s="16" t="n"/>
      <c r="J283" s="16" t="n"/>
      <c r="K283" s="15">
        <f>IF(I283="","",MAX(0,IF(J283&lt;&gt;"",J283-I283,IF(OR(H283="Resolved",H283="Closed"),0,TODAY()-I283))))</f>
        <v/>
      </c>
      <c r="L283" s="15" t="n"/>
    </row>
    <row r="284">
      <c r="A284" s="15" t="n"/>
      <c r="B284" s="15" t="n"/>
      <c r="C284" s="15" t="n"/>
      <c r="D284" s="15" t="n"/>
      <c r="E284" s="16" t="n"/>
      <c r="F284" s="15" t="n"/>
      <c r="G284" s="15" t="n"/>
      <c r="H284" s="15" t="n"/>
      <c r="I284" s="16" t="n"/>
      <c r="J284" s="16" t="n"/>
      <c r="K284" s="15">
        <f>IF(I284="","",MAX(0,IF(J284&lt;&gt;"",J284-I284,IF(OR(H284="Resolved",H284="Closed"),0,TODAY()-I284))))</f>
        <v/>
      </c>
      <c r="L284" s="15" t="n"/>
    </row>
    <row r="285">
      <c r="A285" s="15" t="n"/>
      <c r="B285" s="15" t="n"/>
      <c r="C285" s="15" t="n"/>
      <c r="D285" s="15" t="n"/>
      <c r="E285" s="16" t="n"/>
      <c r="F285" s="15" t="n"/>
      <c r="G285" s="15" t="n"/>
      <c r="H285" s="15" t="n"/>
      <c r="I285" s="16" t="n"/>
      <c r="J285" s="16" t="n"/>
      <c r="K285" s="15">
        <f>IF(I285="","",MAX(0,IF(J285&lt;&gt;"",J285-I285,IF(OR(H285="Resolved",H285="Closed"),0,TODAY()-I285))))</f>
        <v/>
      </c>
      <c r="L285" s="15" t="n"/>
    </row>
    <row r="286">
      <c r="A286" s="15" t="n"/>
      <c r="B286" s="15" t="n"/>
      <c r="C286" s="15" t="n"/>
      <c r="D286" s="15" t="n"/>
      <c r="E286" s="16" t="n"/>
      <c r="F286" s="15" t="n"/>
      <c r="G286" s="15" t="n"/>
      <c r="H286" s="15" t="n"/>
      <c r="I286" s="16" t="n"/>
      <c r="J286" s="16" t="n"/>
      <c r="K286" s="15">
        <f>IF(I286="","",MAX(0,IF(J286&lt;&gt;"",J286-I286,IF(OR(H286="Resolved",H286="Closed"),0,TODAY()-I286))))</f>
        <v/>
      </c>
      <c r="L286" s="15" t="n"/>
    </row>
    <row r="287">
      <c r="A287" s="15" t="n"/>
      <c r="B287" s="15" t="n"/>
      <c r="C287" s="15" t="n"/>
      <c r="D287" s="15" t="n"/>
      <c r="E287" s="16" t="n"/>
      <c r="F287" s="15" t="n"/>
      <c r="G287" s="15" t="n"/>
      <c r="H287" s="15" t="n"/>
      <c r="I287" s="16" t="n"/>
      <c r="J287" s="16" t="n"/>
      <c r="K287" s="15">
        <f>IF(I287="","",MAX(0,IF(J287&lt;&gt;"",J287-I287,IF(OR(H287="Resolved",H287="Closed"),0,TODAY()-I287))))</f>
        <v/>
      </c>
      <c r="L287" s="15" t="n"/>
    </row>
    <row r="288">
      <c r="A288" s="15" t="n"/>
      <c r="B288" s="15" t="n"/>
      <c r="C288" s="15" t="n"/>
      <c r="D288" s="15" t="n"/>
      <c r="E288" s="16" t="n"/>
      <c r="F288" s="15" t="n"/>
      <c r="G288" s="15" t="n"/>
      <c r="H288" s="15" t="n"/>
      <c r="I288" s="16" t="n"/>
      <c r="J288" s="16" t="n"/>
      <c r="K288" s="15">
        <f>IF(I288="","",MAX(0,IF(J288&lt;&gt;"",J288-I288,IF(OR(H288="Resolved",H288="Closed"),0,TODAY()-I288))))</f>
        <v/>
      </c>
      <c r="L288" s="15" t="n"/>
    </row>
    <row r="289">
      <c r="A289" s="15" t="n"/>
      <c r="B289" s="15" t="n"/>
      <c r="C289" s="15" t="n"/>
      <c r="D289" s="15" t="n"/>
      <c r="E289" s="16" t="n"/>
      <c r="F289" s="15" t="n"/>
      <c r="G289" s="15" t="n"/>
      <c r="H289" s="15" t="n"/>
      <c r="I289" s="16" t="n"/>
      <c r="J289" s="16" t="n"/>
      <c r="K289" s="15">
        <f>IF(I289="","",MAX(0,IF(J289&lt;&gt;"",J289-I289,IF(OR(H289="Resolved",H289="Closed"),0,TODAY()-I289))))</f>
        <v/>
      </c>
      <c r="L289" s="15" t="n"/>
    </row>
    <row r="290">
      <c r="A290" s="15" t="n"/>
      <c r="B290" s="15" t="n"/>
      <c r="C290" s="15" t="n"/>
      <c r="D290" s="15" t="n"/>
      <c r="E290" s="16" t="n"/>
      <c r="F290" s="15" t="n"/>
      <c r="G290" s="15" t="n"/>
      <c r="H290" s="15" t="n"/>
      <c r="I290" s="16" t="n"/>
      <c r="J290" s="16" t="n"/>
      <c r="K290" s="15">
        <f>IF(I290="","",MAX(0,IF(J290&lt;&gt;"",J290-I290,IF(OR(H290="Resolved",H290="Closed"),0,TODAY()-I290))))</f>
        <v/>
      </c>
      <c r="L290" s="15" t="n"/>
    </row>
    <row r="291">
      <c r="A291" s="15" t="n"/>
      <c r="B291" s="15" t="n"/>
      <c r="C291" s="15" t="n"/>
      <c r="D291" s="15" t="n"/>
      <c r="E291" s="16" t="n"/>
      <c r="F291" s="15" t="n"/>
      <c r="G291" s="15" t="n"/>
      <c r="H291" s="15" t="n"/>
      <c r="I291" s="16" t="n"/>
      <c r="J291" s="16" t="n"/>
      <c r="K291" s="15">
        <f>IF(I291="","",MAX(0,IF(J291&lt;&gt;"",J291-I291,IF(OR(H291="Resolved",H291="Closed"),0,TODAY()-I291))))</f>
        <v/>
      </c>
      <c r="L291" s="15" t="n"/>
    </row>
    <row r="292">
      <c r="A292" s="15" t="n"/>
      <c r="B292" s="15" t="n"/>
      <c r="C292" s="15" t="n"/>
      <c r="D292" s="15" t="n"/>
      <c r="E292" s="16" t="n"/>
      <c r="F292" s="15" t="n"/>
      <c r="G292" s="15" t="n"/>
      <c r="H292" s="15" t="n"/>
      <c r="I292" s="16" t="n"/>
      <c r="J292" s="16" t="n"/>
      <c r="K292" s="15">
        <f>IF(I292="","",MAX(0,IF(J292&lt;&gt;"",J292-I292,IF(OR(H292="Resolved",H292="Closed"),0,TODAY()-I292))))</f>
        <v/>
      </c>
      <c r="L292" s="15" t="n"/>
    </row>
    <row r="293">
      <c r="A293" s="15" t="n"/>
      <c r="B293" s="15" t="n"/>
      <c r="C293" s="15" t="n"/>
      <c r="D293" s="15" t="n"/>
      <c r="E293" s="16" t="n"/>
      <c r="F293" s="15" t="n"/>
      <c r="G293" s="15" t="n"/>
      <c r="H293" s="15" t="n"/>
      <c r="I293" s="16" t="n"/>
      <c r="J293" s="16" t="n"/>
      <c r="K293" s="15">
        <f>IF(I293="","",MAX(0,IF(J293&lt;&gt;"",J293-I293,IF(OR(H293="Resolved",H293="Closed"),0,TODAY()-I293))))</f>
        <v/>
      </c>
      <c r="L293" s="15" t="n"/>
    </row>
    <row r="294">
      <c r="A294" s="15" t="n"/>
      <c r="B294" s="15" t="n"/>
      <c r="C294" s="15" t="n"/>
      <c r="D294" s="15" t="n"/>
      <c r="E294" s="16" t="n"/>
      <c r="F294" s="15" t="n"/>
      <c r="G294" s="15" t="n"/>
      <c r="H294" s="15" t="n"/>
      <c r="I294" s="16" t="n"/>
      <c r="J294" s="16" t="n"/>
      <c r="K294" s="15">
        <f>IF(I294="","",MAX(0,IF(J294&lt;&gt;"",J294-I294,IF(OR(H294="Resolved",H294="Closed"),0,TODAY()-I294))))</f>
        <v/>
      </c>
      <c r="L294" s="15" t="n"/>
    </row>
    <row r="295">
      <c r="A295" s="15" t="n"/>
      <c r="B295" s="15" t="n"/>
      <c r="C295" s="15" t="n"/>
      <c r="D295" s="15" t="n"/>
      <c r="E295" s="16" t="n"/>
      <c r="F295" s="15" t="n"/>
      <c r="G295" s="15" t="n"/>
      <c r="H295" s="15" t="n"/>
      <c r="I295" s="16" t="n"/>
      <c r="J295" s="16" t="n"/>
      <c r="K295" s="15">
        <f>IF(I295="","",MAX(0,IF(J295&lt;&gt;"",J295-I295,IF(OR(H295="Resolved",H295="Closed"),0,TODAY()-I295))))</f>
        <v/>
      </c>
      <c r="L295" s="15" t="n"/>
    </row>
    <row r="296">
      <c r="A296" s="15" t="n"/>
      <c r="B296" s="15" t="n"/>
      <c r="C296" s="15" t="n"/>
      <c r="D296" s="15" t="n"/>
      <c r="E296" s="16" t="n"/>
      <c r="F296" s="15" t="n"/>
      <c r="G296" s="15" t="n"/>
      <c r="H296" s="15" t="n"/>
      <c r="I296" s="16" t="n"/>
      <c r="J296" s="16" t="n"/>
      <c r="K296" s="15">
        <f>IF(I296="","",MAX(0,IF(J296&lt;&gt;"",J296-I296,IF(OR(H296="Resolved",H296="Closed"),0,TODAY()-I296))))</f>
        <v/>
      </c>
      <c r="L296" s="15" t="n"/>
    </row>
    <row r="297">
      <c r="A297" s="15" t="n"/>
      <c r="B297" s="15" t="n"/>
      <c r="C297" s="15" t="n"/>
      <c r="D297" s="15" t="n"/>
      <c r="E297" s="16" t="n"/>
      <c r="F297" s="15" t="n"/>
      <c r="G297" s="15" t="n"/>
      <c r="H297" s="15" t="n"/>
      <c r="I297" s="16" t="n"/>
      <c r="J297" s="16" t="n"/>
      <c r="K297" s="15">
        <f>IF(I297="","",MAX(0,IF(J297&lt;&gt;"",J297-I297,IF(OR(H297="Resolved",H297="Closed"),0,TODAY()-I297))))</f>
        <v/>
      </c>
      <c r="L297" s="15" t="n"/>
    </row>
    <row r="298">
      <c r="A298" s="15" t="n"/>
      <c r="B298" s="15" t="n"/>
      <c r="C298" s="15" t="n"/>
      <c r="D298" s="15" t="n"/>
      <c r="E298" s="16" t="n"/>
      <c r="F298" s="15" t="n"/>
      <c r="G298" s="15" t="n"/>
      <c r="H298" s="15" t="n"/>
      <c r="I298" s="16" t="n"/>
      <c r="J298" s="16" t="n"/>
      <c r="K298" s="15">
        <f>IF(I298="","",MAX(0,IF(J298&lt;&gt;"",J298-I298,IF(OR(H298="Resolved",H298="Closed"),0,TODAY()-I298))))</f>
        <v/>
      </c>
      <c r="L298" s="15" t="n"/>
    </row>
    <row r="299">
      <c r="A299" s="15" t="n"/>
      <c r="B299" s="15" t="n"/>
      <c r="C299" s="15" t="n"/>
      <c r="D299" s="15" t="n"/>
      <c r="E299" s="16" t="n"/>
      <c r="F299" s="15" t="n"/>
      <c r="G299" s="15" t="n"/>
      <c r="H299" s="15" t="n"/>
      <c r="I299" s="16" t="n"/>
      <c r="J299" s="16" t="n"/>
      <c r="K299" s="15">
        <f>IF(I299="","",MAX(0,IF(J299&lt;&gt;"",J299-I299,IF(OR(H299="Resolved",H299="Closed"),0,TODAY()-I299))))</f>
        <v/>
      </c>
      <c r="L299" s="15" t="n"/>
    </row>
    <row r="300">
      <c r="A300" s="15" t="n"/>
      <c r="B300" s="15" t="n"/>
      <c r="C300" s="15" t="n"/>
      <c r="D300" s="15" t="n"/>
      <c r="E300" s="16" t="n"/>
      <c r="F300" s="15" t="n"/>
      <c r="G300" s="15" t="n"/>
      <c r="H300" s="15" t="n"/>
      <c r="I300" s="16" t="n"/>
      <c r="J300" s="16" t="n"/>
      <c r="K300" s="15">
        <f>IF(I300="","",MAX(0,IF(J300&lt;&gt;"",J300-I300,IF(OR(H300="Resolved",H300="Closed"),0,TODAY()-I300))))</f>
        <v/>
      </c>
      <c r="L300" s="15" t="n"/>
    </row>
    <row r="301">
      <c r="A301" s="15" t="n"/>
      <c r="B301" s="15" t="n"/>
      <c r="C301" s="15" t="n"/>
      <c r="D301" s="15" t="n"/>
      <c r="E301" s="16" t="n"/>
      <c r="F301" s="15" t="n"/>
      <c r="G301" s="15" t="n"/>
      <c r="H301" s="15" t="n"/>
      <c r="I301" s="16" t="n"/>
      <c r="J301" s="16" t="n"/>
      <c r="K301" s="15">
        <f>IF(I301="","",MAX(0,IF(J301&lt;&gt;"",J301-I301,IF(OR(H301="Resolved",H301="Closed"),0,TODAY()-I301))))</f>
        <v/>
      </c>
      <c r="L301" s="15" t="n"/>
    </row>
    <row r="302">
      <c r="A302" s="15" t="n"/>
      <c r="B302" s="15" t="n"/>
      <c r="C302" s="15" t="n"/>
      <c r="D302" s="15" t="n"/>
      <c r="E302" s="16" t="n"/>
      <c r="F302" s="15" t="n"/>
      <c r="G302" s="15" t="n"/>
      <c r="H302" s="15" t="n"/>
      <c r="I302" s="16" t="n"/>
      <c r="J302" s="16" t="n"/>
      <c r="K302" s="15">
        <f>IF(I302="","",MAX(0,IF(J302&lt;&gt;"",J302-I302,IF(OR(H302="Resolved",H302="Closed"),0,TODAY()-I302))))</f>
        <v/>
      </c>
      <c r="L302" s="15" t="n"/>
    </row>
    <row r="303">
      <c r="A303" s="15" t="n"/>
      <c r="B303" s="15" t="n"/>
      <c r="C303" s="15" t="n"/>
      <c r="D303" s="15" t="n"/>
      <c r="E303" s="16" t="n"/>
      <c r="F303" s="15" t="n"/>
      <c r="G303" s="15" t="n"/>
      <c r="H303" s="15" t="n"/>
      <c r="I303" s="16" t="n"/>
      <c r="J303" s="16" t="n"/>
      <c r="K303" s="15">
        <f>IF(I303="","",MAX(0,IF(J303&lt;&gt;"",J303-I303,IF(OR(H303="Resolved",H303="Closed"),0,TODAY()-I303))))</f>
        <v/>
      </c>
      <c r="L303" s="15" t="n"/>
    </row>
    <row r="304">
      <c r="A304" s="15" t="n"/>
      <c r="B304" s="15" t="n"/>
      <c r="C304" s="15" t="n"/>
      <c r="D304" s="15" t="n"/>
      <c r="E304" s="16" t="n"/>
      <c r="F304" s="15" t="n"/>
      <c r="G304" s="15" t="n"/>
      <c r="H304" s="15" t="n"/>
      <c r="I304" s="16" t="n"/>
      <c r="J304" s="16" t="n"/>
      <c r="K304" s="15">
        <f>IF(I304="","",MAX(0,IF(J304&lt;&gt;"",J304-I304,IF(OR(H304="Resolved",H304="Closed"),0,TODAY()-I304))))</f>
        <v/>
      </c>
      <c r="L304" s="15" t="n"/>
    </row>
    <row r="305">
      <c r="A305" s="15" t="n"/>
      <c r="B305" s="15" t="n"/>
      <c r="C305" s="15" t="n"/>
      <c r="D305" s="15" t="n"/>
      <c r="E305" s="16" t="n"/>
      <c r="F305" s="15" t="n"/>
      <c r="G305" s="15" t="n"/>
      <c r="H305" s="15" t="n"/>
      <c r="I305" s="16" t="n"/>
      <c r="J305" s="16" t="n"/>
      <c r="K305" s="15">
        <f>IF(I305="","",MAX(0,IF(J305&lt;&gt;"",J305-I305,IF(OR(H305="Resolved",H305="Closed"),0,TODAY()-I305))))</f>
        <v/>
      </c>
      <c r="L305" s="15" t="n"/>
    </row>
    <row r="306">
      <c r="A306" s="15" t="n"/>
      <c r="B306" s="15" t="n"/>
      <c r="C306" s="15" t="n"/>
      <c r="D306" s="15" t="n"/>
      <c r="E306" s="16" t="n"/>
      <c r="F306" s="15" t="n"/>
      <c r="G306" s="15" t="n"/>
      <c r="H306" s="15" t="n"/>
      <c r="I306" s="16" t="n"/>
      <c r="J306" s="16" t="n"/>
      <c r="K306" s="15">
        <f>IF(I306="","",MAX(0,IF(J306&lt;&gt;"",J306-I306,IF(OR(H306="Resolved",H306="Closed"),0,TODAY()-I306))))</f>
        <v/>
      </c>
      <c r="L306" s="15" t="n"/>
    </row>
    <row r="307">
      <c r="A307" s="15" t="n"/>
      <c r="B307" s="15" t="n"/>
      <c r="C307" s="15" t="n"/>
      <c r="D307" s="15" t="n"/>
      <c r="E307" s="16" t="n"/>
      <c r="F307" s="15" t="n"/>
      <c r="G307" s="15" t="n"/>
      <c r="H307" s="15" t="n"/>
      <c r="I307" s="16" t="n"/>
      <c r="J307" s="16" t="n"/>
      <c r="K307" s="15">
        <f>IF(I307="","",MAX(0,IF(J307&lt;&gt;"",J307-I307,IF(OR(H307="Resolved",H307="Closed"),0,TODAY()-I307))))</f>
        <v/>
      </c>
      <c r="L307" s="15" t="n"/>
    </row>
    <row r="308">
      <c r="A308" s="15" t="n"/>
      <c r="B308" s="15" t="n"/>
      <c r="C308" s="15" t="n"/>
      <c r="D308" s="15" t="n"/>
      <c r="E308" s="16" t="n"/>
      <c r="F308" s="15" t="n"/>
      <c r="G308" s="15" t="n"/>
      <c r="H308" s="15" t="n"/>
      <c r="I308" s="16" t="n"/>
      <c r="J308" s="16" t="n"/>
      <c r="K308" s="15">
        <f>IF(I308="","",MAX(0,IF(J308&lt;&gt;"",J308-I308,IF(OR(H308="Resolved",H308="Closed"),0,TODAY()-I308))))</f>
        <v/>
      </c>
      <c r="L308" s="15" t="n"/>
    </row>
    <row r="309">
      <c r="A309" s="15" t="n"/>
      <c r="B309" s="15" t="n"/>
      <c r="C309" s="15" t="n"/>
      <c r="D309" s="15" t="n"/>
      <c r="E309" s="16" t="n"/>
      <c r="F309" s="15" t="n"/>
      <c r="G309" s="15" t="n"/>
      <c r="H309" s="15" t="n"/>
      <c r="I309" s="16" t="n"/>
      <c r="J309" s="16" t="n"/>
      <c r="K309" s="15">
        <f>IF(I309="","",MAX(0,IF(J309&lt;&gt;"",J309-I309,IF(OR(H309="Resolved",H309="Closed"),0,TODAY()-I309))))</f>
        <v/>
      </c>
      <c r="L309" s="15" t="n"/>
    </row>
    <row r="310">
      <c r="A310" s="15" t="n"/>
      <c r="B310" s="15" t="n"/>
      <c r="C310" s="15" t="n"/>
      <c r="D310" s="15" t="n"/>
      <c r="E310" s="16" t="n"/>
      <c r="F310" s="15" t="n"/>
      <c r="G310" s="15" t="n"/>
      <c r="H310" s="15" t="n"/>
      <c r="I310" s="16" t="n"/>
      <c r="J310" s="16" t="n"/>
      <c r="K310" s="15">
        <f>IF(I310="","",MAX(0,IF(J310&lt;&gt;"",J310-I310,IF(OR(H310="Resolved",H310="Closed"),0,TODAY()-I310))))</f>
        <v/>
      </c>
      <c r="L310" s="15" t="n"/>
    </row>
    <row r="311">
      <c r="A311" s="15" t="n"/>
      <c r="B311" s="15" t="n"/>
      <c r="C311" s="15" t="n"/>
      <c r="D311" s="15" t="n"/>
      <c r="E311" s="16" t="n"/>
      <c r="F311" s="15" t="n"/>
      <c r="G311" s="15" t="n"/>
      <c r="H311" s="15" t="n"/>
      <c r="I311" s="16" t="n"/>
      <c r="J311" s="16" t="n"/>
      <c r="K311" s="15">
        <f>IF(I311="","",MAX(0,IF(J311&lt;&gt;"",J311-I311,IF(OR(H311="Resolved",H311="Closed"),0,TODAY()-I311))))</f>
        <v/>
      </c>
      <c r="L311" s="15" t="n"/>
    </row>
    <row r="312">
      <c r="A312" s="15" t="n"/>
      <c r="B312" s="15" t="n"/>
      <c r="C312" s="15" t="n"/>
      <c r="D312" s="15" t="n"/>
      <c r="E312" s="16" t="n"/>
      <c r="F312" s="15" t="n"/>
      <c r="G312" s="15" t="n"/>
      <c r="H312" s="15" t="n"/>
      <c r="I312" s="16" t="n"/>
      <c r="J312" s="16" t="n"/>
      <c r="K312" s="15">
        <f>IF(I312="","",MAX(0,IF(J312&lt;&gt;"",J312-I312,IF(OR(H312="Resolved",H312="Closed"),0,TODAY()-I312))))</f>
        <v/>
      </c>
      <c r="L312" s="15" t="n"/>
    </row>
    <row r="313">
      <c r="A313" s="15" t="n"/>
      <c r="B313" s="15" t="n"/>
      <c r="C313" s="15" t="n"/>
      <c r="D313" s="15" t="n"/>
      <c r="E313" s="16" t="n"/>
      <c r="F313" s="15" t="n"/>
      <c r="G313" s="15" t="n"/>
      <c r="H313" s="15" t="n"/>
      <c r="I313" s="16" t="n"/>
      <c r="J313" s="16" t="n"/>
      <c r="K313" s="15">
        <f>IF(I313="","",MAX(0,IF(J313&lt;&gt;"",J313-I313,IF(OR(H313="Resolved",H313="Closed"),0,TODAY()-I313))))</f>
        <v/>
      </c>
      <c r="L313" s="15" t="n"/>
    </row>
    <row r="314">
      <c r="A314" s="15" t="n"/>
      <c r="B314" s="15" t="n"/>
      <c r="C314" s="15" t="n"/>
      <c r="D314" s="15" t="n"/>
      <c r="E314" s="16" t="n"/>
      <c r="F314" s="15" t="n"/>
      <c r="G314" s="15" t="n"/>
      <c r="H314" s="15" t="n"/>
      <c r="I314" s="16" t="n"/>
      <c r="J314" s="16" t="n"/>
      <c r="K314" s="15">
        <f>IF(I314="","",MAX(0,IF(J314&lt;&gt;"",J314-I314,IF(OR(H314="Resolved",H314="Closed"),0,TODAY()-I314))))</f>
        <v/>
      </c>
      <c r="L314" s="15" t="n"/>
    </row>
    <row r="315">
      <c r="A315" s="15" t="n"/>
      <c r="B315" s="15" t="n"/>
      <c r="C315" s="15" t="n"/>
      <c r="D315" s="15" t="n"/>
      <c r="E315" s="16" t="n"/>
      <c r="F315" s="15" t="n"/>
      <c r="G315" s="15" t="n"/>
      <c r="H315" s="15" t="n"/>
      <c r="I315" s="16" t="n"/>
      <c r="J315" s="16" t="n"/>
      <c r="K315" s="15">
        <f>IF(I315="","",MAX(0,IF(J315&lt;&gt;"",J315-I315,IF(OR(H315="Resolved",H315="Closed"),0,TODAY()-I315))))</f>
        <v/>
      </c>
      <c r="L315" s="15" t="n"/>
    </row>
    <row r="316">
      <c r="A316" s="15" t="n"/>
      <c r="B316" s="15" t="n"/>
      <c r="C316" s="15" t="n"/>
      <c r="D316" s="15" t="n"/>
      <c r="E316" s="16" t="n"/>
      <c r="F316" s="15" t="n"/>
      <c r="G316" s="15" t="n"/>
      <c r="H316" s="15" t="n"/>
      <c r="I316" s="16" t="n"/>
      <c r="J316" s="16" t="n"/>
      <c r="K316" s="15">
        <f>IF(I316="","",MAX(0,IF(J316&lt;&gt;"",J316-I316,IF(OR(H316="Resolved",H316="Closed"),0,TODAY()-I316))))</f>
        <v/>
      </c>
      <c r="L316" s="15" t="n"/>
    </row>
    <row r="317">
      <c r="A317" s="15" t="n"/>
      <c r="B317" s="15" t="n"/>
      <c r="C317" s="15" t="n"/>
      <c r="D317" s="15" t="n"/>
      <c r="E317" s="16" t="n"/>
      <c r="F317" s="15" t="n"/>
      <c r="G317" s="15" t="n"/>
      <c r="H317" s="15" t="n"/>
      <c r="I317" s="16" t="n"/>
      <c r="J317" s="16" t="n"/>
      <c r="K317" s="15">
        <f>IF(I317="","",MAX(0,IF(J317&lt;&gt;"",J317-I317,IF(OR(H317="Resolved",H317="Closed"),0,TODAY()-I317))))</f>
        <v/>
      </c>
      <c r="L317" s="15" t="n"/>
    </row>
    <row r="318">
      <c r="A318" s="15" t="n"/>
      <c r="B318" s="15" t="n"/>
      <c r="C318" s="15" t="n"/>
      <c r="D318" s="15" t="n"/>
      <c r="E318" s="16" t="n"/>
      <c r="F318" s="15" t="n"/>
      <c r="G318" s="15" t="n"/>
      <c r="H318" s="15" t="n"/>
      <c r="I318" s="16" t="n"/>
      <c r="J318" s="16" t="n"/>
      <c r="K318" s="15">
        <f>IF(I318="","",MAX(0,IF(J318&lt;&gt;"",J318-I318,IF(OR(H318="Resolved",H318="Closed"),0,TODAY()-I318))))</f>
        <v/>
      </c>
      <c r="L318" s="15" t="n"/>
    </row>
    <row r="319">
      <c r="A319" s="15" t="n"/>
      <c r="B319" s="15" t="n"/>
      <c r="C319" s="15" t="n"/>
      <c r="D319" s="15" t="n"/>
      <c r="E319" s="16" t="n"/>
      <c r="F319" s="15" t="n"/>
      <c r="G319" s="15" t="n"/>
      <c r="H319" s="15" t="n"/>
      <c r="I319" s="16" t="n"/>
      <c r="J319" s="16" t="n"/>
      <c r="K319" s="15">
        <f>IF(I319="","",MAX(0,IF(J319&lt;&gt;"",J319-I319,IF(OR(H319="Resolved",H319="Closed"),0,TODAY()-I319))))</f>
        <v/>
      </c>
      <c r="L319" s="15" t="n"/>
    </row>
    <row r="320">
      <c r="A320" s="15" t="n"/>
      <c r="B320" s="15" t="n"/>
      <c r="C320" s="15" t="n"/>
      <c r="D320" s="15" t="n"/>
      <c r="E320" s="16" t="n"/>
      <c r="F320" s="15" t="n"/>
      <c r="G320" s="15" t="n"/>
      <c r="H320" s="15" t="n"/>
      <c r="I320" s="16" t="n"/>
      <c r="J320" s="16" t="n"/>
      <c r="K320" s="15">
        <f>IF(I320="","",MAX(0,IF(J320&lt;&gt;"",J320-I320,IF(OR(H320="Resolved",H320="Closed"),0,TODAY()-I320))))</f>
        <v/>
      </c>
      <c r="L320" s="15" t="n"/>
    </row>
    <row r="321">
      <c r="A321" s="15" t="n"/>
      <c r="B321" s="15" t="n"/>
      <c r="C321" s="15" t="n"/>
      <c r="D321" s="15" t="n"/>
      <c r="E321" s="16" t="n"/>
      <c r="F321" s="15" t="n"/>
      <c r="G321" s="15" t="n"/>
      <c r="H321" s="15" t="n"/>
      <c r="I321" s="16" t="n"/>
      <c r="J321" s="16" t="n"/>
      <c r="K321" s="15">
        <f>IF(I321="","",MAX(0,IF(J321&lt;&gt;"",J321-I321,IF(OR(H321="Resolved",H321="Closed"),0,TODAY()-I321))))</f>
        <v/>
      </c>
      <c r="L321" s="15" t="n"/>
    </row>
    <row r="322">
      <c r="A322" s="15" t="n"/>
      <c r="B322" s="15" t="n"/>
      <c r="C322" s="15" t="n"/>
      <c r="D322" s="15" t="n"/>
      <c r="E322" s="16" t="n"/>
      <c r="F322" s="15" t="n"/>
      <c r="G322" s="15" t="n"/>
      <c r="H322" s="15" t="n"/>
      <c r="I322" s="16" t="n"/>
      <c r="J322" s="16" t="n"/>
      <c r="K322" s="15">
        <f>IF(I322="","",MAX(0,IF(J322&lt;&gt;"",J322-I322,IF(OR(H322="Resolved",H322="Closed"),0,TODAY()-I322))))</f>
        <v/>
      </c>
      <c r="L322" s="15" t="n"/>
    </row>
    <row r="323">
      <c r="A323" s="15" t="n"/>
      <c r="B323" s="15" t="n"/>
      <c r="C323" s="15" t="n"/>
      <c r="D323" s="15" t="n"/>
      <c r="E323" s="16" t="n"/>
      <c r="F323" s="15" t="n"/>
      <c r="G323" s="15" t="n"/>
      <c r="H323" s="15" t="n"/>
      <c r="I323" s="16" t="n"/>
      <c r="J323" s="16" t="n"/>
      <c r="K323" s="15">
        <f>IF(I323="","",MAX(0,IF(J323&lt;&gt;"",J323-I323,IF(OR(H323="Resolved",H323="Closed"),0,TODAY()-I323))))</f>
        <v/>
      </c>
      <c r="L323" s="15" t="n"/>
    </row>
    <row r="324">
      <c r="A324" s="15" t="n"/>
      <c r="B324" s="15" t="n"/>
      <c r="C324" s="15" t="n"/>
      <c r="D324" s="15" t="n"/>
      <c r="E324" s="16" t="n"/>
      <c r="F324" s="15" t="n"/>
      <c r="G324" s="15" t="n"/>
      <c r="H324" s="15" t="n"/>
      <c r="I324" s="16" t="n"/>
      <c r="J324" s="16" t="n"/>
      <c r="K324" s="15">
        <f>IF(I324="","",MAX(0,IF(J324&lt;&gt;"",J324-I324,IF(OR(H324="Resolved",H324="Closed"),0,TODAY()-I324))))</f>
        <v/>
      </c>
      <c r="L324" s="15" t="n"/>
    </row>
    <row r="325">
      <c r="A325" s="15" t="n"/>
      <c r="B325" s="15" t="n"/>
      <c r="C325" s="15" t="n"/>
      <c r="D325" s="15" t="n"/>
      <c r="E325" s="16" t="n"/>
      <c r="F325" s="15" t="n"/>
      <c r="G325" s="15" t="n"/>
      <c r="H325" s="15" t="n"/>
      <c r="I325" s="16" t="n"/>
      <c r="J325" s="16" t="n"/>
      <c r="K325" s="15">
        <f>IF(I325="","",MAX(0,IF(J325&lt;&gt;"",J325-I325,IF(OR(H325="Resolved",H325="Closed"),0,TODAY()-I325))))</f>
        <v/>
      </c>
      <c r="L325" s="15" t="n"/>
    </row>
    <row r="326">
      <c r="A326" s="15" t="n"/>
      <c r="B326" s="15" t="n"/>
      <c r="C326" s="15" t="n"/>
      <c r="D326" s="15" t="n"/>
      <c r="E326" s="16" t="n"/>
      <c r="F326" s="15" t="n"/>
      <c r="G326" s="15" t="n"/>
      <c r="H326" s="15" t="n"/>
      <c r="I326" s="16" t="n"/>
      <c r="J326" s="16" t="n"/>
      <c r="K326" s="15">
        <f>IF(I326="","",MAX(0,IF(J326&lt;&gt;"",J326-I326,IF(OR(H326="Resolved",H326="Closed"),0,TODAY()-I326))))</f>
        <v/>
      </c>
      <c r="L326" s="15" t="n"/>
    </row>
    <row r="327">
      <c r="A327" s="15" t="n"/>
      <c r="B327" s="15" t="n"/>
      <c r="C327" s="15" t="n"/>
      <c r="D327" s="15" t="n"/>
      <c r="E327" s="16" t="n"/>
      <c r="F327" s="15" t="n"/>
      <c r="G327" s="15" t="n"/>
      <c r="H327" s="15" t="n"/>
      <c r="I327" s="16" t="n"/>
      <c r="J327" s="16" t="n"/>
      <c r="K327" s="15">
        <f>IF(I327="","",MAX(0,IF(J327&lt;&gt;"",J327-I327,IF(OR(H327="Resolved",H327="Closed"),0,TODAY()-I327))))</f>
        <v/>
      </c>
      <c r="L327" s="15" t="n"/>
    </row>
    <row r="328">
      <c r="A328" s="15" t="n"/>
      <c r="B328" s="15" t="n"/>
      <c r="C328" s="15" t="n"/>
      <c r="D328" s="15" t="n"/>
      <c r="E328" s="16" t="n"/>
      <c r="F328" s="15" t="n"/>
      <c r="G328" s="15" t="n"/>
      <c r="H328" s="15" t="n"/>
      <c r="I328" s="16" t="n"/>
      <c r="J328" s="16" t="n"/>
      <c r="K328" s="15">
        <f>IF(I328="","",MAX(0,IF(J328&lt;&gt;"",J328-I328,IF(OR(H328="Resolved",H328="Closed"),0,TODAY()-I328))))</f>
        <v/>
      </c>
      <c r="L328" s="15" t="n"/>
    </row>
    <row r="329">
      <c r="A329" s="15" t="n"/>
      <c r="B329" s="15" t="n"/>
      <c r="C329" s="15" t="n"/>
      <c r="D329" s="15" t="n"/>
      <c r="E329" s="16" t="n"/>
      <c r="F329" s="15" t="n"/>
      <c r="G329" s="15" t="n"/>
      <c r="H329" s="15" t="n"/>
      <c r="I329" s="16" t="n"/>
      <c r="J329" s="16" t="n"/>
      <c r="K329" s="15">
        <f>IF(I329="","",MAX(0,IF(J329&lt;&gt;"",J329-I329,IF(OR(H329="Resolved",H329="Closed"),0,TODAY()-I329))))</f>
        <v/>
      </c>
      <c r="L329" s="15" t="n"/>
    </row>
    <row r="330">
      <c r="A330" s="15" t="n"/>
      <c r="B330" s="15" t="n"/>
      <c r="C330" s="15" t="n"/>
      <c r="D330" s="15" t="n"/>
      <c r="E330" s="16" t="n"/>
      <c r="F330" s="15" t="n"/>
      <c r="G330" s="15" t="n"/>
      <c r="H330" s="15" t="n"/>
      <c r="I330" s="16" t="n"/>
      <c r="J330" s="16" t="n"/>
      <c r="K330" s="15">
        <f>IF(I330="","",MAX(0,IF(J330&lt;&gt;"",J330-I330,IF(OR(H330="Resolved",H330="Closed"),0,TODAY()-I330))))</f>
        <v/>
      </c>
      <c r="L330" s="15" t="n"/>
    </row>
    <row r="331">
      <c r="A331" s="15" t="n"/>
      <c r="B331" s="15" t="n"/>
      <c r="C331" s="15" t="n"/>
      <c r="D331" s="15" t="n"/>
      <c r="E331" s="16" t="n"/>
      <c r="F331" s="15" t="n"/>
      <c r="G331" s="15" t="n"/>
      <c r="H331" s="15" t="n"/>
      <c r="I331" s="16" t="n"/>
      <c r="J331" s="16" t="n"/>
      <c r="K331" s="15">
        <f>IF(I331="","",MAX(0,IF(J331&lt;&gt;"",J331-I331,IF(OR(H331="Resolved",H331="Closed"),0,TODAY()-I331))))</f>
        <v/>
      </c>
      <c r="L331" s="15" t="n"/>
    </row>
    <row r="332">
      <c r="A332" s="15" t="n"/>
      <c r="B332" s="15" t="n"/>
      <c r="C332" s="15" t="n"/>
      <c r="D332" s="15" t="n"/>
      <c r="E332" s="16" t="n"/>
      <c r="F332" s="15" t="n"/>
      <c r="G332" s="15" t="n"/>
      <c r="H332" s="15" t="n"/>
      <c r="I332" s="16" t="n"/>
      <c r="J332" s="16" t="n"/>
      <c r="K332" s="15">
        <f>IF(I332="","",MAX(0,IF(J332&lt;&gt;"",J332-I332,IF(OR(H332="Resolved",H332="Closed"),0,TODAY()-I332))))</f>
        <v/>
      </c>
      <c r="L332" s="15" t="n"/>
    </row>
    <row r="333">
      <c r="A333" s="15" t="n"/>
      <c r="B333" s="15" t="n"/>
      <c r="C333" s="15" t="n"/>
      <c r="D333" s="15" t="n"/>
      <c r="E333" s="16" t="n"/>
      <c r="F333" s="15" t="n"/>
      <c r="G333" s="15" t="n"/>
      <c r="H333" s="15" t="n"/>
      <c r="I333" s="16" t="n"/>
      <c r="J333" s="16" t="n"/>
      <c r="K333" s="15">
        <f>IF(I333="","",MAX(0,IF(J333&lt;&gt;"",J333-I333,IF(OR(H333="Resolved",H333="Closed"),0,TODAY()-I333))))</f>
        <v/>
      </c>
      <c r="L333" s="15" t="n"/>
    </row>
    <row r="334">
      <c r="A334" s="15" t="n"/>
      <c r="B334" s="15" t="n"/>
      <c r="C334" s="15" t="n"/>
      <c r="D334" s="15" t="n"/>
      <c r="E334" s="16" t="n"/>
      <c r="F334" s="15" t="n"/>
      <c r="G334" s="15" t="n"/>
      <c r="H334" s="15" t="n"/>
      <c r="I334" s="16" t="n"/>
      <c r="J334" s="16" t="n"/>
      <c r="K334" s="15">
        <f>IF(I334="","",MAX(0,IF(J334&lt;&gt;"",J334-I334,IF(OR(H334="Resolved",H334="Closed"),0,TODAY()-I334))))</f>
        <v/>
      </c>
      <c r="L334" s="15" t="n"/>
    </row>
    <row r="335">
      <c r="A335" s="15" t="n"/>
      <c r="B335" s="15" t="n"/>
      <c r="C335" s="15" t="n"/>
      <c r="D335" s="15" t="n"/>
      <c r="E335" s="16" t="n"/>
      <c r="F335" s="15" t="n"/>
      <c r="G335" s="15" t="n"/>
      <c r="H335" s="15" t="n"/>
      <c r="I335" s="16" t="n"/>
      <c r="J335" s="16" t="n"/>
      <c r="K335" s="15">
        <f>IF(I335="","",MAX(0,IF(J335&lt;&gt;"",J335-I335,IF(OR(H335="Resolved",H335="Closed"),0,TODAY()-I335))))</f>
        <v/>
      </c>
      <c r="L335" s="15" t="n"/>
    </row>
    <row r="336">
      <c r="A336" s="15" t="n"/>
      <c r="B336" s="15" t="n"/>
      <c r="C336" s="15" t="n"/>
      <c r="D336" s="15" t="n"/>
      <c r="E336" s="16" t="n"/>
      <c r="F336" s="15" t="n"/>
      <c r="G336" s="15" t="n"/>
      <c r="H336" s="15" t="n"/>
      <c r="I336" s="16" t="n"/>
      <c r="J336" s="16" t="n"/>
      <c r="K336" s="15">
        <f>IF(I336="","",MAX(0,IF(J336&lt;&gt;"",J336-I336,IF(OR(H336="Resolved",H336="Closed"),0,TODAY()-I336))))</f>
        <v/>
      </c>
      <c r="L336" s="15" t="n"/>
    </row>
    <row r="337">
      <c r="A337" s="15" t="n"/>
      <c r="B337" s="15" t="n"/>
      <c r="C337" s="15" t="n"/>
      <c r="D337" s="15" t="n"/>
      <c r="E337" s="16" t="n"/>
      <c r="F337" s="15" t="n"/>
      <c r="G337" s="15" t="n"/>
      <c r="H337" s="15" t="n"/>
      <c r="I337" s="16" t="n"/>
      <c r="J337" s="16" t="n"/>
      <c r="K337" s="15">
        <f>IF(I337="","",MAX(0,IF(J337&lt;&gt;"",J337-I337,IF(OR(H337="Resolved",H337="Closed"),0,TODAY()-I337))))</f>
        <v/>
      </c>
      <c r="L337" s="15" t="n"/>
    </row>
    <row r="338">
      <c r="A338" s="15" t="n"/>
      <c r="B338" s="15" t="n"/>
      <c r="C338" s="15" t="n"/>
      <c r="D338" s="15" t="n"/>
      <c r="E338" s="16" t="n"/>
      <c r="F338" s="15" t="n"/>
      <c r="G338" s="15" t="n"/>
      <c r="H338" s="15" t="n"/>
      <c r="I338" s="16" t="n"/>
      <c r="J338" s="16" t="n"/>
      <c r="K338" s="15">
        <f>IF(I338="","",MAX(0,IF(J338&lt;&gt;"",J338-I338,IF(OR(H338="Resolved",H338="Closed"),0,TODAY()-I338))))</f>
        <v/>
      </c>
      <c r="L338" s="15" t="n"/>
    </row>
    <row r="339">
      <c r="A339" s="15" t="n"/>
      <c r="B339" s="15" t="n"/>
      <c r="C339" s="15" t="n"/>
      <c r="D339" s="15" t="n"/>
      <c r="E339" s="16" t="n"/>
      <c r="F339" s="15" t="n"/>
      <c r="G339" s="15" t="n"/>
      <c r="H339" s="15" t="n"/>
      <c r="I339" s="16" t="n"/>
      <c r="J339" s="16" t="n"/>
      <c r="K339" s="15">
        <f>IF(I339="","",MAX(0,IF(J339&lt;&gt;"",J339-I339,IF(OR(H339="Resolved",H339="Closed"),0,TODAY()-I339))))</f>
        <v/>
      </c>
      <c r="L339" s="15" t="n"/>
    </row>
    <row r="340">
      <c r="A340" s="15" t="n"/>
      <c r="B340" s="15" t="n"/>
      <c r="C340" s="15" t="n"/>
      <c r="D340" s="15" t="n"/>
      <c r="E340" s="16" t="n"/>
      <c r="F340" s="15" t="n"/>
      <c r="G340" s="15" t="n"/>
      <c r="H340" s="15" t="n"/>
      <c r="I340" s="16" t="n"/>
      <c r="J340" s="16" t="n"/>
      <c r="K340" s="15">
        <f>IF(I340="","",MAX(0,IF(J340&lt;&gt;"",J340-I340,IF(OR(H340="Resolved",H340="Closed"),0,TODAY()-I340))))</f>
        <v/>
      </c>
      <c r="L340" s="15" t="n"/>
    </row>
    <row r="341">
      <c r="A341" s="15" t="n"/>
      <c r="B341" s="15" t="n"/>
      <c r="C341" s="15" t="n"/>
      <c r="D341" s="15" t="n"/>
      <c r="E341" s="16" t="n"/>
      <c r="F341" s="15" t="n"/>
      <c r="G341" s="15" t="n"/>
      <c r="H341" s="15" t="n"/>
      <c r="I341" s="16" t="n"/>
      <c r="J341" s="16" t="n"/>
      <c r="K341" s="15">
        <f>IF(I341="","",MAX(0,IF(J341&lt;&gt;"",J341-I341,IF(OR(H341="Resolved",H341="Closed"),0,TODAY()-I341))))</f>
        <v/>
      </c>
      <c r="L341" s="15" t="n"/>
    </row>
    <row r="342">
      <c r="A342" s="15" t="n"/>
      <c r="B342" s="15" t="n"/>
      <c r="C342" s="15" t="n"/>
      <c r="D342" s="15" t="n"/>
      <c r="E342" s="16" t="n"/>
      <c r="F342" s="15" t="n"/>
      <c r="G342" s="15" t="n"/>
      <c r="H342" s="15" t="n"/>
      <c r="I342" s="16" t="n"/>
      <c r="J342" s="16" t="n"/>
      <c r="K342" s="15">
        <f>IF(I342="","",MAX(0,IF(J342&lt;&gt;"",J342-I342,IF(OR(H342="Resolved",H342="Closed"),0,TODAY()-I342))))</f>
        <v/>
      </c>
      <c r="L342" s="15" t="n"/>
    </row>
    <row r="343">
      <c r="A343" s="15" t="n"/>
      <c r="B343" s="15" t="n"/>
      <c r="C343" s="15" t="n"/>
      <c r="D343" s="15" t="n"/>
      <c r="E343" s="16" t="n"/>
      <c r="F343" s="15" t="n"/>
      <c r="G343" s="15" t="n"/>
      <c r="H343" s="15" t="n"/>
      <c r="I343" s="16" t="n"/>
      <c r="J343" s="16" t="n"/>
      <c r="K343" s="15">
        <f>IF(I343="","",MAX(0,IF(J343&lt;&gt;"",J343-I343,IF(OR(H343="Resolved",H343="Closed"),0,TODAY()-I343))))</f>
        <v/>
      </c>
      <c r="L343" s="15" t="n"/>
    </row>
    <row r="344">
      <c r="A344" s="15" t="n"/>
      <c r="B344" s="15" t="n"/>
      <c r="C344" s="15" t="n"/>
      <c r="D344" s="15" t="n"/>
      <c r="E344" s="16" t="n"/>
      <c r="F344" s="15" t="n"/>
      <c r="G344" s="15" t="n"/>
      <c r="H344" s="15" t="n"/>
      <c r="I344" s="16" t="n"/>
      <c r="J344" s="16" t="n"/>
      <c r="K344" s="15">
        <f>IF(I344="","",MAX(0,IF(J344&lt;&gt;"",J344-I344,IF(OR(H344="Resolved",H344="Closed"),0,TODAY()-I344))))</f>
        <v/>
      </c>
      <c r="L344" s="15" t="n"/>
    </row>
    <row r="345">
      <c r="A345" s="15" t="n"/>
      <c r="B345" s="15" t="n"/>
      <c r="C345" s="15" t="n"/>
      <c r="D345" s="15" t="n"/>
      <c r="E345" s="16" t="n"/>
      <c r="F345" s="15" t="n"/>
      <c r="G345" s="15" t="n"/>
      <c r="H345" s="15" t="n"/>
      <c r="I345" s="16" t="n"/>
      <c r="J345" s="16" t="n"/>
      <c r="K345" s="15">
        <f>IF(I345="","",MAX(0,IF(J345&lt;&gt;"",J345-I345,IF(OR(H345="Resolved",H345="Closed"),0,TODAY()-I345))))</f>
        <v/>
      </c>
      <c r="L345" s="15" t="n"/>
    </row>
    <row r="346">
      <c r="A346" s="15" t="n"/>
      <c r="B346" s="15" t="n"/>
      <c r="C346" s="15" t="n"/>
      <c r="D346" s="15" t="n"/>
      <c r="E346" s="16" t="n"/>
      <c r="F346" s="15" t="n"/>
      <c r="G346" s="15" t="n"/>
      <c r="H346" s="15" t="n"/>
      <c r="I346" s="16" t="n"/>
      <c r="J346" s="16" t="n"/>
      <c r="K346" s="15">
        <f>IF(I346="","",MAX(0,IF(J346&lt;&gt;"",J346-I346,IF(OR(H346="Resolved",H346="Closed"),0,TODAY()-I346))))</f>
        <v/>
      </c>
      <c r="L346" s="15" t="n"/>
    </row>
    <row r="347">
      <c r="A347" s="15" t="n"/>
      <c r="B347" s="15" t="n"/>
      <c r="C347" s="15" t="n"/>
      <c r="D347" s="15" t="n"/>
      <c r="E347" s="16" t="n"/>
      <c r="F347" s="15" t="n"/>
      <c r="G347" s="15" t="n"/>
      <c r="H347" s="15" t="n"/>
      <c r="I347" s="16" t="n"/>
      <c r="J347" s="16" t="n"/>
      <c r="K347" s="15">
        <f>IF(I347="","",MAX(0,IF(J347&lt;&gt;"",J347-I347,IF(OR(H347="Resolved",H347="Closed"),0,TODAY()-I347))))</f>
        <v/>
      </c>
      <c r="L347" s="15" t="n"/>
    </row>
    <row r="348">
      <c r="A348" s="15" t="n"/>
      <c r="B348" s="15" t="n"/>
      <c r="C348" s="15" t="n"/>
      <c r="D348" s="15" t="n"/>
      <c r="E348" s="16" t="n"/>
      <c r="F348" s="15" t="n"/>
      <c r="G348" s="15" t="n"/>
      <c r="H348" s="15" t="n"/>
      <c r="I348" s="16" t="n"/>
      <c r="J348" s="16" t="n"/>
      <c r="K348" s="15">
        <f>IF(I348="","",MAX(0,IF(J348&lt;&gt;"",J348-I348,IF(OR(H348="Resolved",H348="Closed"),0,TODAY()-I348))))</f>
        <v/>
      </c>
      <c r="L348" s="15" t="n"/>
    </row>
    <row r="349">
      <c r="A349" s="15" t="n"/>
      <c r="B349" s="15" t="n"/>
      <c r="C349" s="15" t="n"/>
      <c r="D349" s="15" t="n"/>
      <c r="E349" s="16" t="n"/>
      <c r="F349" s="15" t="n"/>
      <c r="G349" s="15" t="n"/>
      <c r="H349" s="15" t="n"/>
      <c r="I349" s="16" t="n"/>
      <c r="J349" s="16" t="n"/>
      <c r="K349" s="15">
        <f>IF(I349="","",MAX(0,IF(J349&lt;&gt;"",J349-I349,IF(OR(H349="Resolved",H349="Closed"),0,TODAY()-I349))))</f>
        <v/>
      </c>
      <c r="L349" s="15" t="n"/>
    </row>
    <row r="350">
      <c r="A350" s="15" t="n"/>
      <c r="B350" s="15" t="n"/>
      <c r="C350" s="15" t="n"/>
      <c r="D350" s="15" t="n"/>
      <c r="E350" s="16" t="n"/>
      <c r="F350" s="15" t="n"/>
      <c r="G350" s="15" t="n"/>
      <c r="H350" s="15" t="n"/>
      <c r="I350" s="16" t="n"/>
      <c r="J350" s="16" t="n"/>
      <c r="K350" s="15">
        <f>IF(I350="","",MAX(0,IF(J350&lt;&gt;"",J350-I350,IF(OR(H350="Resolved",H350="Closed"),0,TODAY()-I350))))</f>
        <v/>
      </c>
      <c r="L350" s="15" t="n"/>
    </row>
    <row r="351">
      <c r="A351" s="15" t="n"/>
      <c r="B351" s="15" t="n"/>
      <c r="C351" s="15" t="n"/>
      <c r="D351" s="15" t="n"/>
      <c r="E351" s="16" t="n"/>
      <c r="F351" s="15" t="n"/>
      <c r="G351" s="15" t="n"/>
      <c r="H351" s="15" t="n"/>
      <c r="I351" s="16" t="n"/>
      <c r="J351" s="16" t="n"/>
      <c r="K351" s="15">
        <f>IF(I351="","",MAX(0,IF(J351&lt;&gt;"",J351-I351,IF(OR(H351="Resolved",H351="Closed"),0,TODAY()-I351))))</f>
        <v/>
      </c>
      <c r="L351" s="15" t="n"/>
    </row>
    <row r="352">
      <c r="A352" s="15" t="n"/>
      <c r="B352" s="15" t="n"/>
      <c r="C352" s="15" t="n"/>
      <c r="D352" s="15" t="n"/>
      <c r="E352" s="16" t="n"/>
      <c r="F352" s="15" t="n"/>
      <c r="G352" s="15" t="n"/>
      <c r="H352" s="15" t="n"/>
      <c r="I352" s="16" t="n"/>
      <c r="J352" s="16" t="n"/>
      <c r="K352" s="15">
        <f>IF(I352="","",MAX(0,IF(J352&lt;&gt;"",J352-I352,IF(OR(H352="Resolved",H352="Closed"),0,TODAY()-I352))))</f>
        <v/>
      </c>
      <c r="L352" s="15" t="n"/>
    </row>
    <row r="353">
      <c r="A353" s="15" t="n"/>
      <c r="B353" s="15" t="n"/>
      <c r="C353" s="15" t="n"/>
      <c r="D353" s="15" t="n"/>
      <c r="E353" s="16" t="n"/>
      <c r="F353" s="15" t="n"/>
      <c r="G353" s="15" t="n"/>
      <c r="H353" s="15" t="n"/>
      <c r="I353" s="16" t="n"/>
      <c r="J353" s="16" t="n"/>
      <c r="K353" s="15">
        <f>IF(I353="","",MAX(0,IF(J353&lt;&gt;"",J353-I353,IF(OR(H353="Resolved",H353="Closed"),0,TODAY()-I353))))</f>
        <v/>
      </c>
      <c r="L353" s="15" t="n"/>
    </row>
    <row r="354">
      <c r="A354" s="15" t="n"/>
      <c r="B354" s="15" t="n"/>
      <c r="C354" s="15" t="n"/>
      <c r="D354" s="15" t="n"/>
      <c r="E354" s="16" t="n"/>
      <c r="F354" s="15" t="n"/>
      <c r="G354" s="15" t="n"/>
      <c r="H354" s="15" t="n"/>
      <c r="I354" s="16" t="n"/>
      <c r="J354" s="16" t="n"/>
      <c r="K354" s="15">
        <f>IF(I354="","",MAX(0,IF(J354&lt;&gt;"",J354-I354,IF(OR(H354="Resolved",H354="Closed"),0,TODAY()-I354))))</f>
        <v/>
      </c>
      <c r="L354" s="15" t="n"/>
    </row>
    <row r="355">
      <c r="A355" s="15" t="n"/>
      <c r="B355" s="15" t="n"/>
      <c r="C355" s="15" t="n"/>
      <c r="D355" s="15" t="n"/>
      <c r="E355" s="16" t="n"/>
      <c r="F355" s="15" t="n"/>
      <c r="G355" s="15" t="n"/>
      <c r="H355" s="15" t="n"/>
      <c r="I355" s="16" t="n"/>
      <c r="J355" s="16" t="n"/>
      <c r="K355" s="15">
        <f>IF(I355="","",MAX(0,IF(J355&lt;&gt;"",J355-I355,IF(OR(H355="Resolved",H355="Closed"),0,TODAY()-I355))))</f>
        <v/>
      </c>
      <c r="L355" s="15" t="n"/>
    </row>
    <row r="356">
      <c r="A356" s="15" t="n"/>
      <c r="B356" s="15" t="n"/>
      <c r="C356" s="15" t="n"/>
      <c r="D356" s="15" t="n"/>
      <c r="E356" s="16" t="n"/>
      <c r="F356" s="15" t="n"/>
      <c r="G356" s="15" t="n"/>
      <c r="H356" s="15" t="n"/>
      <c r="I356" s="16" t="n"/>
      <c r="J356" s="16" t="n"/>
      <c r="K356" s="15">
        <f>IF(I356="","",MAX(0,IF(J356&lt;&gt;"",J356-I356,IF(OR(H356="Resolved",H356="Closed"),0,TODAY()-I356))))</f>
        <v/>
      </c>
      <c r="L356" s="15" t="n"/>
    </row>
    <row r="357">
      <c r="A357" s="15" t="n"/>
      <c r="B357" s="15" t="n"/>
      <c r="C357" s="15" t="n"/>
      <c r="D357" s="15" t="n"/>
      <c r="E357" s="16" t="n"/>
      <c r="F357" s="15" t="n"/>
      <c r="G357" s="15" t="n"/>
      <c r="H357" s="15" t="n"/>
      <c r="I357" s="16" t="n"/>
      <c r="J357" s="16" t="n"/>
      <c r="K357" s="15">
        <f>IF(I357="","",MAX(0,IF(J357&lt;&gt;"",J357-I357,IF(OR(H357="Resolved",H357="Closed"),0,TODAY()-I357))))</f>
        <v/>
      </c>
      <c r="L357" s="15" t="n"/>
    </row>
    <row r="358">
      <c r="A358" s="15" t="n"/>
      <c r="B358" s="15" t="n"/>
      <c r="C358" s="15" t="n"/>
      <c r="D358" s="15" t="n"/>
      <c r="E358" s="16" t="n"/>
      <c r="F358" s="15" t="n"/>
      <c r="G358" s="15" t="n"/>
      <c r="H358" s="15" t="n"/>
      <c r="I358" s="16" t="n"/>
      <c r="J358" s="16" t="n"/>
      <c r="K358" s="15">
        <f>IF(I358="","",MAX(0,IF(J358&lt;&gt;"",J358-I358,IF(OR(H358="Resolved",H358="Closed"),0,TODAY()-I358))))</f>
        <v/>
      </c>
      <c r="L358" s="15" t="n"/>
    </row>
    <row r="359">
      <c r="A359" s="15" t="n"/>
      <c r="B359" s="15" t="n"/>
      <c r="C359" s="15" t="n"/>
      <c r="D359" s="15" t="n"/>
      <c r="E359" s="16" t="n"/>
      <c r="F359" s="15" t="n"/>
      <c r="G359" s="15" t="n"/>
      <c r="H359" s="15" t="n"/>
      <c r="I359" s="16" t="n"/>
      <c r="J359" s="16" t="n"/>
      <c r="K359" s="15">
        <f>IF(I359="","",MAX(0,IF(J359&lt;&gt;"",J359-I359,IF(OR(H359="Resolved",H359="Closed"),0,TODAY()-I359))))</f>
        <v/>
      </c>
      <c r="L359" s="15" t="n"/>
    </row>
    <row r="360">
      <c r="A360" s="15" t="n"/>
      <c r="B360" s="15" t="n"/>
      <c r="C360" s="15" t="n"/>
      <c r="D360" s="15" t="n"/>
      <c r="E360" s="16" t="n"/>
      <c r="F360" s="15" t="n"/>
      <c r="G360" s="15" t="n"/>
      <c r="H360" s="15" t="n"/>
      <c r="I360" s="16" t="n"/>
      <c r="J360" s="16" t="n"/>
      <c r="K360" s="15">
        <f>IF(I360="","",MAX(0,IF(J360&lt;&gt;"",J360-I360,IF(OR(H360="Resolved",H360="Closed"),0,TODAY()-I360))))</f>
        <v/>
      </c>
      <c r="L360" s="15" t="n"/>
    </row>
    <row r="361">
      <c r="A361" s="15" t="n"/>
      <c r="B361" s="15" t="n"/>
      <c r="C361" s="15" t="n"/>
      <c r="D361" s="15" t="n"/>
      <c r="E361" s="16" t="n"/>
      <c r="F361" s="15" t="n"/>
      <c r="G361" s="15" t="n"/>
      <c r="H361" s="15" t="n"/>
      <c r="I361" s="16" t="n"/>
      <c r="J361" s="16" t="n"/>
      <c r="K361" s="15">
        <f>IF(I361="","",MAX(0,IF(J361&lt;&gt;"",J361-I361,IF(OR(H361="Resolved",H361="Closed"),0,TODAY()-I361))))</f>
        <v/>
      </c>
      <c r="L361" s="15" t="n"/>
    </row>
    <row r="362">
      <c r="A362" s="15" t="n"/>
      <c r="B362" s="15" t="n"/>
      <c r="C362" s="15" t="n"/>
      <c r="D362" s="15" t="n"/>
      <c r="E362" s="16" t="n"/>
      <c r="F362" s="15" t="n"/>
      <c r="G362" s="15" t="n"/>
      <c r="H362" s="15" t="n"/>
      <c r="I362" s="16" t="n"/>
      <c r="J362" s="16" t="n"/>
      <c r="K362" s="15">
        <f>IF(I362="","",MAX(0,IF(J362&lt;&gt;"",J362-I362,IF(OR(H362="Resolved",H362="Closed"),0,TODAY()-I362))))</f>
        <v/>
      </c>
      <c r="L362" s="15" t="n"/>
    </row>
    <row r="363">
      <c r="A363" s="15" t="n"/>
      <c r="B363" s="15" t="n"/>
      <c r="C363" s="15" t="n"/>
      <c r="D363" s="15" t="n"/>
      <c r="E363" s="16" t="n"/>
      <c r="F363" s="15" t="n"/>
      <c r="G363" s="15" t="n"/>
      <c r="H363" s="15" t="n"/>
      <c r="I363" s="16" t="n"/>
      <c r="J363" s="16" t="n"/>
      <c r="K363" s="15">
        <f>IF(I363="","",MAX(0,IF(J363&lt;&gt;"",J363-I363,IF(OR(H363="Resolved",H363="Closed"),0,TODAY()-I363))))</f>
        <v/>
      </c>
      <c r="L363" s="15" t="n"/>
    </row>
    <row r="364">
      <c r="A364" s="15" t="n"/>
      <c r="B364" s="15" t="n"/>
      <c r="C364" s="15" t="n"/>
      <c r="D364" s="15" t="n"/>
      <c r="E364" s="16" t="n"/>
      <c r="F364" s="15" t="n"/>
      <c r="G364" s="15" t="n"/>
      <c r="H364" s="15" t="n"/>
      <c r="I364" s="16" t="n"/>
      <c r="J364" s="16" t="n"/>
      <c r="K364" s="15">
        <f>IF(I364="","",MAX(0,IF(J364&lt;&gt;"",J364-I364,IF(OR(H364="Resolved",H364="Closed"),0,TODAY()-I364))))</f>
        <v/>
      </c>
      <c r="L364" s="15" t="n"/>
    </row>
    <row r="365">
      <c r="A365" s="15" t="n"/>
      <c r="B365" s="15" t="n"/>
      <c r="C365" s="15" t="n"/>
      <c r="D365" s="15" t="n"/>
      <c r="E365" s="16" t="n"/>
      <c r="F365" s="15" t="n"/>
      <c r="G365" s="15" t="n"/>
      <c r="H365" s="15" t="n"/>
      <c r="I365" s="16" t="n"/>
      <c r="J365" s="16" t="n"/>
      <c r="K365" s="15">
        <f>IF(I365="","",MAX(0,IF(J365&lt;&gt;"",J365-I365,IF(OR(H365="Resolved",H365="Closed"),0,TODAY()-I365))))</f>
        <v/>
      </c>
      <c r="L365" s="15" t="n"/>
    </row>
    <row r="366">
      <c r="A366" s="15" t="n"/>
      <c r="B366" s="15" t="n"/>
      <c r="C366" s="15" t="n"/>
      <c r="D366" s="15" t="n"/>
      <c r="E366" s="16" t="n"/>
      <c r="F366" s="15" t="n"/>
      <c r="G366" s="15" t="n"/>
      <c r="H366" s="15" t="n"/>
      <c r="I366" s="16" t="n"/>
      <c r="J366" s="16" t="n"/>
      <c r="K366" s="15">
        <f>IF(I366="","",MAX(0,IF(J366&lt;&gt;"",J366-I366,IF(OR(H366="Resolved",H366="Closed"),0,TODAY()-I366))))</f>
        <v/>
      </c>
      <c r="L366" s="15" t="n"/>
    </row>
    <row r="367">
      <c r="A367" s="15" t="n"/>
      <c r="B367" s="15" t="n"/>
      <c r="C367" s="15" t="n"/>
      <c r="D367" s="15" t="n"/>
      <c r="E367" s="16" t="n"/>
      <c r="F367" s="15" t="n"/>
      <c r="G367" s="15" t="n"/>
      <c r="H367" s="15" t="n"/>
      <c r="I367" s="16" t="n"/>
      <c r="J367" s="16" t="n"/>
      <c r="K367" s="15">
        <f>IF(I367="","",MAX(0,IF(J367&lt;&gt;"",J367-I367,IF(OR(H367="Resolved",H367="Closed"),0,TODAY()-I367))))</f>
        <v/>
      </c>
      <c r="L367" s="15" t="n"/>
    </row>
    <row r="368">
      <c r="A368" s="15" t="n"/>
      <c r="B368" s="15" t="n"/>
      <c r="C368" s="15" t="n"/>
      <c r="D368" s="15" t="n"/>
      <c r="E368" s="16" t="n"/>
      <c r="F368" s="15" t="n"/>
      <c r="G368" s="15" t="n"/>
      <c r="H368" s="15" t="n"/>
      <c r="I368" s="16" t="n"/>
      <c r="J368" s="16" t="n"/>
      <c r="K368" s="15">
        <f>IF(I368="","",MAX(0,IF(J368&lt;&gt;"",J368-I368,IF(OR(H368="Resolved",H368="Closed"),0,TODAY()-I368))))</f>
        <v/>
      </c>
      <c r="L368" s="15" t="n"/>
    </row>
    <row r="369">
      <c r="A369" s="15" t="n"/>
      <c r="B369" s="15" t="n"/>
      <c r="C369" s="15" t="n"/>
      <c r="D369" s="15" t="n"/>
      <c r="E369" s="16" t="n"/>
      <c r="F369" s="15" t="n"/>
      <c r="G369" s="15" t="n"/>
      <c r="H369" s="15" t="n"/>
      <c r="I369" s="16" t="n"/>
      <c r="J369" s="16" t="n"/>
      <c r="K369" s="15">
        <f>IF(I369="","",MAX(0,IF(J369&lt;&gt;"",J369-I369,IF(OR(H369="Resolved",H369="Closed"),0,TODAY()-I369))))</f>
        <v/>
      </c>
      <c r="L369" s="15" t="n"/>
    </row>
    <row r="370">
      <c r="A370" s="15" t="n"/>
      <c r="B370" s="15" t="n"/>
      <c r="C370" s="15" t="n"/>
      <c r="D370" s="15" t="n"/>
      <c r="E370" s="16" t="n"/>
      <c r="F370" s="15" t="n"/>
      <c r="G370" s="15" t="n"/>
      <c r="H370" s="15" t="n"/>
      <c r="I370" s="16" t="n"/>
      <c r="J370" s="16" t="n"/>
      <c r="K370" s="15">
        <f>IF(I370="","",MAX(0,IF(J370&lt;&gt;"",J370-I370,IF(OR(H370="Resolved",H370="Closed"),0,TODAY()-I370))))</f>
        <v/>
      </c>
      <c r="L370" s="15" t="n"/>
    </row>
    <row r="371">
      <c r="A371" s="15" t="n"/>
      <c r="B371" s="15" t="n"/>
      <c r="C371" s="15" t="n"/>
      <c r="D371" s="15" t="n"/>
      <c r="E371" s="16" t="n"/>
      <c r="F371" s="15" t="n"/>
      <c r="G371" s="15" t="n"/>
      <c r="H371" s="15" t="n"/>
      <c r="I371" s="16" t="n"/>
      <c r="J371" s="16" t="n"/>
      <c r="K371" s="15">
        <f>IF(I371="","",MAX(0,IF(J371&lt;&gt;"",J371-I371,IF(OR(H371="Resolved",H371="Closed"),0,TODAY()-I371))))</f>
        <v/>
      </c>
      <c r="L371" s="15" t="n"/>
    </row>
    <row r="372">
      <c r="A372" s="15" t="n"/>
      <c r="B372" s="15" t="n"/>
      <c r="C372" s="15" t="n"/>
      <c r="D372" s="15" t="n"/>
      <c r="E372" s="16" t="n"/>
      <c r="F372" s="15" t="n"/>
      <c r="G372" s="15" t="n"/>
      <c r="H372" s="15" t="n"/>
      <c r="I372" s="16" t="n"/>
      <c r="J372" s="16" t="n"/>
      <c r="K372" s="15">
        <f>IF(I372="","",MAX(0,IF(J372&lt;&gt;"",J372-I372,IF(OR(H372="Resolved",H372="Closed"),0,TODAY()-I372))))</f>
        <v/>
      </c>
      <c r="L372" s="15" t="n"/>
    </row>
    <row r="373">
      <c r="A373" s="15" t="n"/>
      <c r="B373" s="15" t="n"/>
      <c r="C373" s="15" t="n"/>
      <c r="D373" s="15" t="n"/>
      <c r="E373" s="16" t="n"/>
      <c r="F373" s="15" t="n"/>
      <c r="G373" s="15" t="n"/>
      <c r="H373" s="15" t="n"/>
      <c r="I373" s="16" t="n"/>
      <c r="J373" s="16" t="n"/>
      <c r="K373" s="15">
        <f>IF(I373="","",MAX(0,IF(J373&lt;&gt;"",J373-I373,IF(OR(H373="Resolved",H373="Closed"),0,TODAY()-I373))))</f>
        <v/>
      </c>
      <c r="L373" s="15" t="n"/>
    </row>
    <row r="374">
      <c r="A374" s="15" t="n"/>
      <c r="B374" s="15" t="n"/>
      <c r="C374" s="15" t="n"/>
      <c r="D374" s="15" t="n"/>
      <c r="E374" s="16" t="n"/>
      <c r="F374" s="15" t="n"/>
      <c r="G374" s="15" t="n"/>
      <c r="H374" s="15" t="n"/>
      <c r="I374" s="16" t="n"/>
      <c r="J374" s="16" t="n"/>
      <c r="K374" s="15">
        <f>IF(I374="","",MAX(0,IF(J374&lt;&gt;"",J374-I374,IF(OR(H374="Resolved",H374="Closed"),0,TODAY()-I374))))</f>
        <v/>
      </c>
      <c r="L374" s="15" t="n"/>
    </row>
    <row r="375">
      <c r="A375" s="15" t="n"/>
      <c r="B375" s="15" t="n"/>
      <c r="C375" s="15" t="n"/>
      <c r="D375" s="15" t="n"/>
      <c r="E375" s="16" t="n"/>
      <c r="F375" s="15" t="n"/>
      <c r="G375" s="15" t="n"/>
      <c r="H375" s="15" t="n"/>
      <c r="I375" s="16" t="n"/>
      <c r="J375" s="16" t="n"/>
      <c r="K375" s="15">
        <f>IF(I375="","",MAX(0,IF(J375&lt;&gt;"",J375-I375,IF(OR(H375="Resolved",H375="Closed"),0,TODAY()-I375))))</f>
        <v/>
      </c>
      <c r="L375" s="15" t="n"/>
    </row>
    <row r="376">
      <c r="A376" s="15" t="n"/>
      <c r="B376" s="15" t="n"/>
      <c r="C376" s="15" t="n"/>
      <c r="D376" s="15" t="n"/>
      <c r="E376" s="16" t="n"/>
      <c r="F376" s="15" t="n"/>
      <c r="G376" s="15" t="n"/>
      <c r="H376" s="15" t="n"/>
      <c r="I376" s="16" t="n"/>
      <c r="J376" s="16" t="n"/>
      <c r="K376" s="15">
        <f>IF(I376="","",MAX(0,IF(J376&lt;&gt;"",J376-I376,IF(OR(H376="Resolved",H376="Closed"),0,TODAY()-I376))))</f>
        <v/>
      </c>
      <c r="L376" s="15" t="n"/>
    </row>
    <row r="377">
      <c r="A377" s="15" t="n"/>
      <c r="B377" s="15" t="n"/>
      <c r="C377" s="15" t="n"/>
      <c r="D377" s="15" t="n"/>
      <c r="E377" s="16" t="n"/>
      <c r="F377" s="15" t="n"/>
      <c r="G377" s="15" t="n"/>
      <c r="H377" s="15" t="n"/>
      <c r="I377" s="16" t="n"/>
      <c r="J377" s="16" t="n"/>
      <c r="K377" s="15">
        <f>IF(I377="","",MAX(0,IF(J377&lt;&gt;"",J377-I377,IF(OR(H377="Resolved",H377="Closed"),0,TODAY()-I377))))</f>
        <v/>
      </c>
      <c r="L377" s="15" t="n"/>
    </row>
    <row r="378">
      <c r="A378" s="15" t="n"/>
      <c r="B378" s="15" t="n"/>
      <c r="C378" s="15" t="n"/>
      <c r="D378" s="15" t="n"/>
      <c r="E378" s="16" t="n"/>
      <c r="F378" s="15" t="n"/>
      <c r="G378" s="15" t="n"/>
      <c r="H378" s="15" t="n"/>
      <c r="I378" s="16" t="n"/>
      <c r="J378" s="16" t="n"/>
      <c r="K378" s="15">
        <f>IF(I378="","",MAX(0,IF(J378&lt;&gt;"",J378-I378,IF(OR(H378="Resolved",H378="Closed"),0,TODAY()-I378))))</f>
        <v/>
      </c>
      <c r="L378" s="15" t="n"/>
    </row>
    <row r="379">
      <c r="A379" s="15" t="n"/>
      <c r="B379" s="15" t="n"/>
      <c r="C379" s="15" t="n"/>
      <c r="D379" s="15" t="n"/>
      <c r="E379" s="16" t="n"/>
      <c r="F379" s="15" t="n"/>
      <c r="G379" s="15" t="n"/>
      <c r="H379" s="15" t="n"/>
      <c r="I379" s="16" t="n"/>
      <c r="J379" s="16" t="n"/>
      <c r="K379" s="15">
        <f>IF(I379="","",MAX(0,IF(J379&lt;&gt;"",J379-I379,IF(OR(H379="Resolved",H379="Closed"),0,TODAY()-I379))))</f>
        <v/>
      </c>
      <c r="L379" s="15" t="n"/>
    </row>
    <row r="380">
      <c r="A380" s="15" t="n"/>
      <c r="B380" s="15" t="n"/>
      <c r="C380" s="15" t="n"/>
      <c r="D380" s="15" t="n"/>
      <c r="E380" s="16" t="n"/>
      <c r="F380" s="15" t="n"/>
      <c r="G380" s="15" t="n"/>
      <c r="H380" s="15" t="n"/>
      <c r="I380" s="16" t="n"/>
      <c r="J380" s="16" t="n"/>
      <c r="K380" s="15">
        <f>IF(I380="","",MAX(0,IF(J380&lt;&gt;"",J380-I380,IF(OR(H380="Resolved",H380="Closed"),0,TODAY()-I380))))</f>
        <v/>
      </c>
      <c r="L380" s="15" t="n"/>
    </row>
    <row r="381">
      <c r="A381" s="15" t="n"/>
      <c r="B381" s="15" t="n"/>
      <c r="C381" s="15" t="n"/>
      <c r="D381" s="15" t="n"/>
      <c r="E381" s="16" t="n"/>
      <c r="F381" s="15" t="n"/>
      <c r="G381" s="15" t="n"/>
      <c r="H381" s="15" t="n"/>
      <c r="I381" s="16" t="n"/>
      <c r="J381" s="16" t="n"/>
      <c r="K381" s="15">
        <f>IF(I381="","",MAX(0,IF(J381&lt;&gt;"",J381-I381,IF(OR(H381="Resolved",H381="Closed"),0,TODAY()-I381))))</f>
        <v/>
      </c>
      <c r="L381" s="15" t="n"/>
    </row>
    <row r="382">
      <c r="A382" s="15" t="n"/>
      <c r="B382" s="15" t="n"/>
      <c r="C382" s="15" t="n"/>
      <c r="D382" s="15" t="n"/>
      <c r="E382" s="16" t="n"/>
      <c r="F382" s="15" t="n"/>
      <c r="G382" s="15" t="n"/>
      <c r="H382" s="15" t="n"/>
      <c r="I382" s="16" t="n"/>
      <c r="J382" s="16" t="n"/>
      <c r="K382" s="15">
        <f>IF(I382="","",MAX(0,IF(J382&lt;&gt;"",J382-I382,IF(OR(H382="Resolved",H382="Closed"),0,TODAY()-I382))))</f>
        <v/>
      </c>
      <c r="L382" s="15" t="n"/>
    </row>
    <row r="383">
      <c r="A383" s="15" t="n"/>
      <c r="B383" s="15" t="n"/>
      <c r="C383" s="15" t="n"/>
      <c r="D383" s="15" t="n"/>
      <c r="E383" s="16" t="n"/>
      <c r="F383" s="15" t="n"/>
      <c r="G383" s="15" t="n"/>
      <c r="H383" s="15" t="n"/>
      <c r="I383" s="16" t="n"/>
      <c r="J383" s="16" t="n"/>
      <c r="K383" s="15">
        <f>IF(I383="","",MAX(0,IF(J383&lt;&gt;"",J383-I383,IF(OR(H383="Resolved",H383="Closed"),0,TODAY()-I383))))</f>
        <v/>
      </c>
      <c r="L383" s="15" t="n"/>
    </row>
    <row r="384">
      <c r="A384" s="15" t="n"/>
      <c r="B384" s="15" t="n"/>
      <c r="C384" s="15" t="n"/>
      <c r="D384" s="15" t="n"/>
      <c r="E384" s="16" t="n"/>
      <c r="F384" s="15" t="n"/>
      <c r="G384" s="15" t="n"/>
      <c r="H384" s="15" t="n"/>
      <c r="I384" s="16" t="n"/>
      <c r="J384" s="16" t="n"/>
      <c r="K384" s="15">
        <f>IF(I384="","",MAX(0,IF(J384&lt;&gt;"",J384-I384,IF(OR(H384="Resolved",H384="Closed"),0,TODAY()-I384))))</f>
        <v/>
      </c>
      <c r="L384" s="15" t="n"/>
    </row>
    <row r="385">
      <c r="A385" s="15" t="n"/>
      <c r="B385" s="15" t="n"/>
      <c r="C385" s="15" t="n"/>
      <c r="D385" s="15" t="n"/>
      <c r="E385" s="16" t="n"/>
      <c r="F385" s="15" t="n"/>
      <c r="G385" s="15" t="n"/>
      <c r="H385" s="15" t="n"/>
      <c r="I385" s="16" t="n"/>
      <c r="J385" s="16" t="n"/>
      <c r="K385" s="15">
        <f>IF(I385="","",MAX(0,IF(J385&lt;&gt;"",J385-I385,IF(OR(H385="Resolved",H385="Closed"),0,TODAY()-I385))))</f>
        <v/>
      </c>
      <c r="L385" s="15" t="n"/>
    </row>
    <row r="386">
      <c r="A386" s="15" t="n"/>
      <c r="B386" s="15" t="n"/>
      <c r="C386" s="15" t="n"/>
      <c r="D386" s="15" t="n"/>
      <c r="E386" s="16" t="n"/>
      <c r="F386" s="15" t="n"/>
      <c r="G386" s="15" t="n"/>
      <c r="H386" s="15" t="n"/>
      <c r="I386" s="16" t="n"/>
      <c r="J386" s="16" t="n"/>
      <c r="K386" s="15">
        <f>IF(I386="","",MAX(0,IF(J386&lt;&gt;"",J386-I386,IF(OR(H386="Resolved",H386="Closed"),0,TODAY()-I386))))</f>
        <v/>
      </c>
      <c r="L386" s="15" t="n"/>
    </row>
    <row r="387">
      <c r="A387" s="15" t="n"/>
      <c r="B387" s="15" t="n"/>
      <c r="C387" s="15" t="n"/>
      <c r="D387" s="15" t="n"/>
      <c r="E387" s="16" t="n"/>
      <c r="F387" s="15" t="n"/>
      <c r="G387" s="15" t="n"/>
      <c r="H387" s="15" t="n"/>
      <c r="I387" s="16" t="n"/>
      <c r="J387" s="16" t="n"/>
      <c r="K387" s="15">
        <f>IF(I387="","",MAX(0,IF(J387&lt;&gt;"",J387-I387,IF(OR(H387="Resolved",H387="Closed"),0,TODAY()-I387))))</f>
        <v/>
      </c>
      <c r="L387" s="15" t="n"/>
    </row>
    <row r="388">
      <c r="A388" s="15" t="n"/>
      <c r="B388" s="15" t="n"/>
      <c r="C388" s="15" t="n"/>
      <c r="D388" s="15" t="n"/>
      <c r="E388" s="16" t="n"/>
      <c r="F388" s="15" t="n"/>
      <c r="G388" s="15" t="n"/>
      <c r="H388" s="15" t="n"/>
      <c r="I388" s="16" t="n"/>
      <c r="J388" s="16" t="n"/>
      <c r="K388" s="15">
        <f>IF(I388="","",MAX(0,IF(J388&lt;&gt;"",J388-I388,IF(OR(H388="Resolved",H388="Closed"),0,TODAY()-I388))))</f>
        <v/>
      </c>
      <c r="L388" s="15" t="n"/>
    </row>
    <row r="389">
      <c r="A389" s="15" t="n"/>
      <c r="B389" s="15" t="n"/>
      <c r="C389" s="15" t="n"/>
      <c r="D389" s="15" t="n"/>
      <c r="E389" s="16" t="n"/>
      <c r="F389" s="15" t="n"/>
      <c r="G389" s="15" t="n"/>
      <c r="H389" s="15" t="n"/>
      <c r="I389" s="16" t="n"/>
      <c r="J389" s="16" t="n"/>
      <c r="K389" s="15">
        <f>IF(I389="","",MAX(0,IF(J389&lt;&gt;"",J389-I389,IF(OR(H389="Resolved",H389="Closed"),0,TODAY()-I389))))</f>
        <v/>
      </c>
      <c r="L389" s="15" t="n"/>
    </row>
    <row r="390">
      <c r="A390" s="15" t="n"/>
      <c r="B390" s="15" t="n"/>
      <c r="C390" s="15" t="n"/>
      <c r="D390" s="15" t="n"/>
      <c r="E390" s="16" t="n"/>
      <c r="F390" s="15" t="n"/>
      <c r="G390" s="15" t="n"/>
      <c r="H390" s="15" t="n"/>
      <c r="I390" s="16" t="n"/>
      <c r="J390" s="16" t="n"/>
      <c r="K390" s="15">
        <f>IF(I390="","",MAX(0,IF(J390&lt;&gt;"",J390-I390,IF(OR(H390="Resolved",H390="Closed"),0,TODAY()-I390))))</f>
        <v/>
      </c>
      <c r="L390" s="15" t="n"/>
    </row>
    <row r="391">
      <c r="A391" s="15" t="n"/>
      <c r="B391" s="15" t="n"/>
      <c r="C391" s="15" t="n"/>
      <c r="D391" s="15" t="n"/>
      <c r="E391" s="16" t="n"/>
      <c r="F391" s="15" t="n"/>
      <c r="G391" s="15" t="n"/>
      <c r="H391" s="15" t="n"/>
      <c r="I391" s="16" t="n"/>
      <c r="J391" s="16" t="n"/>
      <c r="K391" s="15">
        <f>IF(I391="","",MAX(0,IF(J391&lt;&gt;"",J391-I391,IF(OR(H391="Resolved",H391="Closed"),0,TODAY()-I391))))</f>
        <v/>
      </c>
      <c r="L391" s="15" t="n"/>
    </row>
    <row r="392">
      <c r="A392" s="15" t="n"/>
      <c r="B392" s="15" t="n"/>
      <c r="C392" s="15" t="n"/>
      <c r="D392" s="15" t="n"/>
      <c r="E392" s="16" t="n"/>
      <c r="F392" s="15" t="n"/>
      <c r="G392" s="15" t="n"/>
      <c r="H392" s="15" t="n"/>
      <c r="I392" s="16" t="n"/>
      <c r="J392" s="16" t="n"/>
      <c r="K392" s="15">
        <f>IF(I392="","",MAX(0,IF(J392&lt;&gt;"",J392-I392,IF(OR(H392="Resolved",H392="Closed"),0,TODAY()-I392))))</f>
        <v/>
      </c>
      <c r="L392" s="15" t="n"/>
    </row>
    <row r="393">
      <c r="A393" s="15" t="n"/>
      <c r="B393" s="15" t="n"/>
      <c r="C393" s="15" t="n"/>
      <c r="D393" s="15" t="n"/>
      <c r="E393" s="16" t="n"/>
      <c r="F393" s="15" t="n"/>
      <c r="G393" s="15" t="n"/>
      <c r="H393" s="15" t="n"/>
      <c r="I393" s="16" t="n"/>
      <c r="J393" s="16" t="n"/>
      <c r="K393" s="15">
        <f>IF(I393="","",MAX(0,IF(J393&lt;&gt;"",J393-I393,IF(OR(H393="Resolved",H393="Closed"),0,TODAY()-I393))))</f>
        <v/>
      </c>
      <c r="L393" s="15" t="n"/>
    </row>
    <row r="394">
      <c r="A394" s="15" t="n"/>
      <c r="B394" s="15" t="n"/>
      <c r="C394" s="15" t="n"/>
      <c r="D394" s="15" t="n"/>
      <c r="E394" s="16" t="n"/>
      <c r="F394" s="15" t="n"/>
      <c r="G394" s="15" t="n"/>
      <c r="H394" s="15" t="n"/>
      <c r="I394" s="16" t="n"/>
      <c r="J394" s="16" t="n"/>
      <c r="K394" s="15">
        <f>IF(I394="","",MAX(0,IF(J394&lt;&gt;"",J394-I394,IF(OR(H394="Resolved",H394="Closed"),0,TODAY()-I394))))</f>
        <v/>
      </c>
      <c r="L394" s="15" t="n"/>
    </row>
    <row r="395">
      <c r="A395" s="15" t="n"/>
      <c r="B395" s="15" t="n"/>
      <c r="C395" s="15" t="n"/>
      <c r="D395" s="15" t="n"/>
      <c r="E395" s="16" t="n"/>
      <c r="F395" s="15" t="n"/>
      <c r="G395" s="15" t="n"/>
      <c r="H395" s="15" t="n"/>
      <c r="I395" s="16" t="n"/>
      <c r="J395" s="16" t="n"/>
      <c r="K395" s="15">
        <f>IF(I395="","",MAX(0,IF(J395&lt;&gt;"",J395-I395,IF(OR(H395="Resolved",H395="Closed"),0,TODAY()-I395))))</f>
        <v/>
      </c>
      <c r="L395" s="15" t="n"/>
    </row>
    <row r="396">
      <c r="A396" s="15" t="n"/>
      <c r="B396" s="15" t="n"/>
      <c r="C396" s="15" t="n"/>
      <c r="D396" s="15" t="n"/>
      <c r="E396" s="16" t="n"/>
      <c r="F396" s="15" t="n"/>
      <c r="G396" s="15" t="n"/>
      <c r="H396" s="15" t="n"/>
      <c r="I396" s="16" t="n"/>
      <c r="J396" s="16" t="n"/>
      <c r="K396" s="15">
        <f>IF(I396="","",MAX(0,IF(J396&lt;&gt;"",J396-I396,IF(OR(H396="Resolved",H396="Closed"),0,TODAY()-I396))))</f>
        <v/>
      </c>
      <c r="L396" s="15" t="n"/>
    </row>
    <row r="397">
      <c r="A397" s="15" t="n"/>
      <c r="B397" s="15" t="n"/>
      <c r="C397" s="15" t="n"/>
      <c r="D397" s="15" t="n"/>
      <c r="E397" s="16" t="n"/>
      <c r="F397" s="15" t="n"/>
      <c r="G397" s="15" t="n"/>
      <c r="H397" s="15" t="n"/>
      <c r="I397" s="16" t="n"/>
      <c r="J397" s="16" t="n"/>
      <c r="K397" s="15">
        <f>IF(I397="","",MAX(0,IF(J397&lt;&gt;"",J397-I397,IF(OR(H397="Resolved",H397="Closed"),0,TODAY()-I397))))</f>
        <v/>
      </c>
      <c r="L397" s="15" t="n"/>
    </row>
    <row r="398">
      <c r="A398" s="15" t="n"/>
      <c r="B398" s="15" t="n"/>
      <c r="C398" s="15" t="n"/>
      <c r="D398" s="15" t="n"/>
      <c r="E398" s="16" t="n"/>
      <c r="F398" s="15" t="n"/>
      <c r="G398" s="15" t="n"/>
      <c r="H398" s="15" t="n"/>
      <c r="I398" s="16" t="n"/>
      <c r="J398" s="16" t="n"/>
      <c r="K398" s="15">
        <f>IF(I398="","",MAX(0,IF(J398&lt;&gt;"",J398-I398,IF(OR(H398="Resolved",H398="Closed"),0,TODAY()-I398))))</f>
        <v/>
      </c>
      <c r="L398" s="15" t="n"/>
    </row>
    <row r="399">
      <c r="A399" s="15" t="n"/>
      <c r="B399" s="15" t="n"/>
      <c r="C399" s="15" t="n"/>
      <c r="D399" s="15" t="n"/>
      <c r="E399" s="16" t="n"/>
      <c r="F399" s="15" t="n"/>
      <c r="G399" s="15" t="n"/>
      <c r="H399" s="15" t="n"/>
      <c r="I399" s="16" t="n"/>
      <c r="J399" s="16" t="n"/>
      <c r="K399" s="15">
        <f>IF(I399="","",MAX(0,IF(J399&lt;&gt;"",J399-I399,IF(OR(H399="Resolved",H399="Closed"),0,TODAY()-I399))))</f>
        <v/>
      </c>
      <c r="L399" s="15" t="n"/>
    </row>
    <row r="400">
      <c r="A400" s="15" t="n"/>
      <c r="B400" s="15" t="n"/>
      <c r="C400" s="15" t="n"/>
      <c r="D400" s="15" t="n"/>
      <c r="E400" s="16" t="n"/>
      <c r="F400" s="15" t="n"/>
      <c r="G400" s="15" t="n"/>
      <c r="H400" s="15" t="n"/>
      <c r="I400" s="16" t="n"/>
      <c r="J400" s="16" t="n"/>
      <c r="K400" s="15">
        <f>IF(I400="","",MAX(0,IF(J400&lt;&gt;"",J400-I400,IF(OR(H400="Resolved",H400="Closed"),0,TODAY()-I400))))</f>
        <v/>
      </c>
      <c r="L400" s="15" t="n"/>
    </row>
    <row r="401">
      <c r="E401" s="27" t="n"/>
      <c r="I401" s="27" t="n"/>
      <c r="J401" s="27" t="n"/>
    </row>
    <row r="402">
      <c r="E402" s="27" t="n"/>
      <c r="I402" s="27" t="n"/>
      <c r="J402" s="27" t="n"/>
    </row>
    <row r="403">
      <c r="E403" s="27" t="n"/>
      <c r="I403" s="27" t="n"/>
      <c r="J403" s="27" t="n"/>
    </row>
    <row r="404">
      <c r="E404" s="27" t="n"/>
      <c r="I404" s="27" t="n"/>
      <c r="J404" s="27" t="n"/>
    </row>
    <row r="405">
      <c r="E405" s="27" t="n"/>
      <c r="I405" s="27" t="n"/>
      <c r="J405" s="27" t="n"/>
    </row>
    <row r="406">
      <c r="E406" s="27" t="n"/>
      <c r="I406" s="27" t="n"/>
      <c r="J406" s="27" t="n"/>
    </row>
    <row r="407">
      <c r="E407" s="27" t="n"/>
      <c r="I407" s="27" t="n"/>
      <c r="J407" s="27" t="n"/>
    </row>
    <row r="408">
      <c r="E408" s="27" t="n"/>
      <c r="I408" s="27" t="n"/>
      <c r="J408" s="27" t="n"/>
    </row>
    <row r="409">
      <c r="E409" s="27" t="n"/>
      <c r="I409" s="27" t="n"/>
      <c r="J409" s="27" t="n"/>
    </row>
    <row r="410">
      <c r="E410" s="27" t="n"/>
      <c r="I410" s="27" t="n"/>
      <c r="J410" s="27" t="n"/>
    </row>
    <row r="411">
      <c r="E411" s="27" t="n"/>
      <c r="I411" s="27" t="n"/>
      <c r="J411" s="27" t="n"/>
    </row>
    <row r="412">
      <c r="E412" s="27" t="n"/>
      <c r="I412" s="27" t="n"/>
      <c r="J412" s="27" t="n"/>
    </row>
    <row r="413">
      <c r="E413" s="27" t="n"/>
      <c r="I413" s="27" t="n"/>
      <c r="J413" s="27" t="n"/>
    </row>
    <row r="414">
      <c r="E414" s="27" t="n"/>
      <c r="I414" s="27" t="n"/>
      <c r="J414" s="27" t="n"/>
    </row>
    <row r="415">
      <c r="E415" s="27" t="n"/>
      <c r="I415" s="27" t="n"/>
      <c r="J415" s="27" t="n"/>
    </row>
    <row r="416">
      <c r="E416" s="27" t="n"/>
      <c r="I416" s="27" t="n"/>
      <c r="J416" s="27" t="n"/>
    </row>
    <row r="417">
      <c r="E417" s="27" t="n"/>
      <c r="I417" s="27" t="n"/>
      <c r="J417" s="27" t="n"/>
    </row>
    <row r="418">
      <c r="E418" s="27" t="n"/>
      <c r="I418" s="27" t="n"/>
      <c r="J418" s="27" t="n"/>
    </row>
    <row r="419">
      <c r="E419" s="27" t="n"/>
      <c r="I419" s="27" t="n"/>
      <c r="J419" s="27" t="n"/>
    </row>
    <row r="420">
      <c r="E420" s="27" t="n"/>
      <c r="I420" s="27" t="n"/>
      <c r="J420" s="27" t="n"/>
    </row>
    <row r="421">
      <c r="E421" s="27" t="n"/>
      <c r="I421" s="27" t="n"/>
      <c r="J421" s="27" t="n"/>
    </row>
    <row r="422">
      <c r="E422" s="27" t="n"/>
      <c r="I422" s="27" t="n"/>
      <c r="J422" s="27" t="n"/>
    </row>
    <row r="423">
      <c r="E423" s="27" t="n"/>
      <c r="I423" s="27" t="n"/>
      <c r="J423" s="27" t="n"/>
    </row>
    <row r="424">
      <c r="E424" s="27" t="n"/>
      <c r="I424" s="27" t="n"/>
      <c r="J424" s="27" t="n"/>
    </row>
    <row r="425">
      <c r="E425" s="27" t="n"/>
      <c r="I425" s="27" t="n"/>
      <c r="J425" s="27" t="n"/>
    </row>
    <row r="426">
      <c r="E426" s="27" t="n"/>
      <c r="I426" s="27" t="n"/>
      <c r="J426" s="27" t="n"/>
    </row>
    <row r="427">
      <c r="E427" s="27" t="n"/>
      <c r="I427" s="27" t="n"/>
      <c r="J427" s="27" t="n"/>
    </row>
    <row r="428">
      <c r="E428" s="27" t="n"/>
      <c r="I428" s="27" t="n"/>
      <c r="J428" s="27" t="n"/>
    </row>
    <row r="429">
      <c r="E429" s="27" t="n"/>
      <c r="I429" s="27" t="n"/>
      <c r="J429" s="27" t="n"/>
    </row>
    <row r="430">
      <c r="E430" s="27" t="n"/>
      <c r="I430" s="27" t="n"/>
      <c r="J430" s="27" t="n"/>
    </row>
    <row r="431">
      <c r="E431" s="27" t="n"/>
      <c r="I431" s="27" t="n"/>
      <c r="J431" s="27" t="n"/>
    </row>
    <row r="432">
      <c r="E432" s="27" t="n"/>
      <c r="I432" s="27" t="n"/>
      <c r="J432" s="27" t="n"/>
    </row>
    <row r="433">
      <c r="E433" s="27" t="n"/>
      <c r="I433" s="27" t="n"/>
      <c r="J433" s="27" t="n"/>
    </row>
    <row r="434">
      <c r="E434" s="27" t="n"/>
      <c r="I434" s="27" t="n"/>
      <c r="J434" s="27" t="n"/>
    </row>
    <row r="435">
      <c r="E435" s="27" t="n"/>
      <c r="I435" s="27" t="n"/>
      <c r="J435" s="27" t="n"/>
    </row>
    <row r="436">
      <c r="E436" s="27" t="n"/>
      <c r="I436" s="27" t="n"/>
      <c r="J436" s="27" t="n"/>
    </row>
    <row r="437">
      <c r="E437" s="27" t="n"/>
      <c r="I437" s="27" t="n"/>
      <c r="J437" s="27" t="n"/>
    </row>
    <row r="438">
      <c r="E438" s="27" t="n"/>
      <c r="I438" s="27" t="n"/>
      <c r="J438" s="27" t="n"/>
    </row>
    <row r="439">
      <c r="E439" s="27" t="n"/>
      <c r="I439" s="27" t="n"/>
      <c r="J439" s="27" t="n"/>
    </row>
    <row r="440">
      <c r="E440" s="27" t="n"/>
      <c r="I440" s="27" t="n"/>
      <c r="J440" s="27" t="n"/>
    </row>
    <row r="441">
      <c r="E441" s="27" t="n"/>
      <c r="I441" s="27" t="n"/>
      <c r="J441" s="27" t="n"/>
    </row>
    <row r="442">
      <c r="E442" s="27" t="n"/>
      <c r="I442" s="27" t="n"/>
      <c r="J442" s="27" t="n"/>
    </row>
    <row r="443">
      <c r="E443" s="27" t="n"/>
      <c r="I443" s="27" t="n"/>
      <c r="J443" s="27" t="n"/>
    </row>
    <row r="444">
      <c r="E444" s="27" t="n"/>
      <c r="I444" s="27" t="n"/>
      <c r="J444" s="27" t="n"/>
    </row>
    <row r="445">
      <c r="E445" s="27" t="n"/>
      <c r="I445" s="27" t="n"/>
      <c r="J445" s="27" t="n"/>
    </row>
    <row r="446">
      <c r="E446" s="27" t="n"/>
      <c r="I446" s="27" t="n"/>
      <c r="J446" s="27" t="n"/>
    </row>
    <row r="447">
      <c r="E447" s="27" t="n"/>
      <c r="I447" s="27" t="n"/>
      <c r="J447" s="27" t="n"/>
    </row>
    <row r="448">
      <c r="E448" s="27" t="n"/>
      <c r="I448" s="27" t="n"/>
      <c r="J448" s="27" t="n"/>
    </row>
    <row r="449">
      <c r="E449" s="27" t="n"/>
      <c r="I449" s="27" t="n"/>
      <c r="J449" s="27" t="n"/>
    </row>
    <row r="450">
      <c r="E450" s="27" t="n"/>
      <c r="I450" s="27" t="n"/>
      <c r="J450" s="27" t="n"/>
    </row>
    <row r="451">
      <c r="E451" s="27" t="n"/>
      <c r="I451" s="27" t="n"/>
      <c r="J451" s="27" t="n"/>
    </row>
    <row r="452">
      <c r="E452" s="27" t="n"/>
      <c r="I452" s="27" t="n"/>
      <c r="J452" s="27" t="n"/>
    </row>
    <row r="453">
      <c r="E453" s="27" t="n"/>
      <c r="I453" s="27" t="n"/>
      <c r="J453" s="27" t="n"/>
    </row>
    <row r="454">
      <c r="E454" s="27" t="n"/>
      <c r="I454" s="27" t="n"/>
      <c r="J454" s="27" t="n"/>
    </row>
    <row r="455">
      <c r="E455" s="27" t="n"/>
      <c r="I455" s="27" t="n"/>
      <c r="J455" s="27" t="n"/>
    </row>
    <row r="456">
      <c r="E456" s="27" t="n"/>
      <c r="I456" s="27" t="n"/>
      <c r="J456" s="27" t="n"/>
    </row>
    <row r="457">
      <c r="E457" s="27" t="n"/>
      <c r="I457" s="27" t="n"/>
      <c r="J457" s="27" t="n"/>
    </row>
    <row r="458">
      <c r="E458" s="27" t="n"/>
      <c r="I458" s="27" t="n"/>
      <c r="J458" s="27" t="n"/>
    </row>
    <row r="459">
      <c r="E459" s="27" t="n"/>
      <c r="I459" s="27" t="n"/>
      <c r="J459" s="27" t="n"/>
    </row>
    <row r="460">
      <c r="E460" s="27" t="n"/>
      <c r="I460" s="27" t="n"/>
      <c r="J460" s="27" t="n"/>
    </row>
    <row r="461">
      <c r="E461" s="27" t="n"/>
      <c r="I461" s="27" t="n"/>
      <c r="J461" s="27" t="n"/>
    </row>
    <row r="462">
      <c r="E462" s="27" t="n"/>
      <c r="I462" s="27" t="n"/>
      <c r="J462" s="27" t="n"/>
    </row>
    <row r="463">
      <c r="E463" s="27" t="n"/>
      <c r="I463" s="27" t="n"/>
      <c r="J463" s="27" t="n"/>
    </row>
    <row r="464">
      <c r="E464" s="27" t="n"/>
      <c r="I464" s="27" t="n"/>
      <c r="J464" s="27" t="n"/>
    </row>
    <row r="465">
      <c r="E465" s="27" t="n"/>
      <c r="I465" s="27" t="n"/>
      <c r="J465" s="27" t="n"/>
    </row>
    <row r="466">
      <c r="E466" s="27" t="n"/>
      <c r="I466" s="27" t="n"/>
      <c r="J466" s="27" t="n"/>
    </row>
    <row r="467">
      <c r="E467" s="27" t="n"/>
      <c r="I467" s="27" t="n"/>
      <c r="J467" s="27" t="n"/>
    </row>
    <row r="468">
      <c r="E468" s="27" t="n"/>
      <c r="I468" s="27" t="n"/>
      <c r="J468" s="27" t="n"/>
    </row>
    <row r="469">
      <c r="E469" s="27" t="n"/>
      <c r="I469" s="27" t="n"/>
      <c r="J469" s="27" t="n"/>
    </row>
    <row r="470">
      <c r="E470" s="27" t="n"/>
      <c r="I470" s="27" t="n"/>
      <c r="J470" s="27" t="n"/>
    </row>
    <row r="471">
      <c r="E471" s="27" t="n"/>
      <c r="I471" s="27" t="n"/>
      <c r="J471" s="27" t="n"/>
    </row>
    <row r="472">
      <c r="E472" s="27" t="n"/>
      <c r="I472" s="27" t="n"/>
      <c r="J472" s="27" t="n"/>
    </row>
    <row r="473">
      <c r="E473" s="27" t="n"/>
      <c r="I473" s="27" t="n"/>
      <c r="J473" s="27" t="n"/>
    </row>
    <row r="474">
      <c r="E474" s="27" t="n"/>
      <c r="I474" s="27" t="n"/>
      <c r="J474" s="27" t="n"/>
    </row>
    <row r="475">
      <c r="E475" s="27" t="n"/>
      <c r="I475" s="27" t="n"/>
      <c r="J475" s="27" t="n"/>
    </row>
    <row r="476">
      <c r="E476" s="27" t="n"/>
      <c r="I476" s="27" t="n"/>
      <c r="J476" s="27" t="n"/>
    </row>
    <row r="477">
      <c r="E477" s="27" t="n"/>
      <c r="I477" s="27" t="n"/>
      <c r="J477" s="27" t="n"/>
    </row>
    <row r="478">
      <c r="E478" s="27" t="n"/>
      <c r="I478" s="27" t="n"/>
      <c r="J478" s="27" t="n"/>
    </row>
    <row r="479">
      <c r="E479" s="27" t="n"/>
      <c r="I479" s="27" t="n"/>
      <c r="J479" s="27" t="n"/>
    </row>
    <row r="480">
      <c r="E480" s="27" t="n"/>
      <c r="I480" s="27" t="n"/>
      <c r="J480" s="27" t="n"/>
    </row>
    <row r="481">
      <c r="E481" s="27" t="n"/>
      <c r="I481" s="27" t="n"/>
      <c r="J481" s="27" t="n"/>
    </row>
    <row r="482">
      <c r="E482" s="27" t="n"/>
      <c r="I482" s="27" t="n"/>
      <c r="J482" s="27" t="n"/>
    </row>
    <row r="483">
      <c r="E483" s="27" t="n"/>
      <c r="I483" s="27" t="n"/>
      <c r="J483" s="27" t="n"/>
    </row>
    <row r="484">
      <c r="E484" s="27" t="n"/>
      <c r="I484" s="27" t="n"/>
      <c r="J484" s="27" t="n"/>
    </row>
    <row r="485">
      <c r="E485" s="27" t="n"/>
      <c r="I485" s="27" t="n"/>
      <c r="J485" s="27" t="n"/>
    </row>
    <row r="486">
      <c r="E486" s="27" t="n"/>
      <c r="I486" s="27" t="n"/>
      <c r="J486" s="27" t="n"/>
    </row>
    <row r="487">
      <c r="E487" s="27" t="n"/>
      <c r="I487" s="27" t="n"/>
      <c r="J487" s="27" t="n"/>
    </row>
    <row r="488">
      <c r="E488" s="27" t="n"/>
      <c r="I488" s="27" t="n"/>
      <c r="J488" s="27" t="n"/>
    </row>
    <row r="489">
      <c r="E489" s="27" t="n"/>
      <c r="I489" s="27" t="n"/>
      <c r="J489" s="27" t="n"/>
    </row>
    <row r="490">
      <c r="E490" s="27" t="n"/>
      <c r="I490" s="27" t="n"/>
      <c r="J490" s="27" t="n"/>
    </row>
    <row r="491">
      <c r="E491" s="27" t="n"/>
      <c r="I491" s="27" t="n"/>
      <c r="J491" s="27" t="n"/>
    </row>
    <row r="492">
      <c r="E492" s="27" t="n"/>
      <c r="I492" s="27" t="n"/>
      <c r="J492" s="27" t="n"/>
    </row>
    <row r="493">
      <c r="E493" s="27" t="n"/>
      <c r="I493" s="27" t="n"/>
      <c r="J493" s="27" t="n"/>
    </row>
    <row r="494">
      <c r="E494" s="27" t="n"/>
      <c r="I494" s="27" t="n"/>
      <c r="J494" s="27" t="n"/>
    </row>
    <row r="495">
      <c r="E495" s="27" t="n"/>
      <c r="I495" s="27" t="n"/>
      <c r="J495" s="27" t="n"/>
    </row>
    <row r="496">
      <c r="E496" s="27" t="n"/>
      <c r="I496" s="27" t="n"/>
      <c r="J496" s="27" t="n"/>
    </row>
    <row r="497">
      <c r="E497" s="27" t="n"/>
      <c r="I497" s="27" t="n"/>
      <c r="J497" s="27" t="n"/>
    </row>
    <row r="498">
      <c r="E498" s="27" t="n"/>
      <c r="I498" s="27" t="n"/>
      <c r="J498" s="27" t="n"/>
    </row>
    <row r="499">
      <c r="E499" s="27" t="n"/>
      <c r="I499" s="27" t="n"/>
      <c r="J499" s="27" t="n"/>
    </row>
    <row r="500">
      <c r="E500" s="27" t="n"/>
      <c r="I500" s="27" t="n"/>
      <c r="J500" s="27" t="n"/>
    </row>
    <row r="501">
      <c r="E501" s="27" t="n"/>
      <c r="I501" s="27" t="n"/>
      <c r="J501" s="27" t="n"/>
    </row>
    <row r="502">
      <c r="E502" s="27" t="n"/>
      <c r="I502" s="27" t="n"/>
      <c r="J502" s="27" t="n"/>
    </row>
    <row r="503">
      <c r="E503" s="27" t="n"/>
      <c r="I503" s="27" t="n"/>
      <c r="J503" s="27" t="n"/>
    </row>
    <row r="504">
      <c r="E504" s="27" t="n"/>
      <c r="I504" s="27" t="n"/>
      <c r="J504" s="27" t="n"/>
    </row>
    <row r="505">
      <c r="E505" s="27" t="n"/>
      <c r="I505" s="27" t="n"/>
      <c r="J505" s="27" t="n"/>
    </row>
    <row r="506">
      <c r="E506" s="27" t="n"/>
      <c r="I506" s="27" t="n"/>
      <c r="J506" s="27" t="n"/>
    </row>
    <row r="507">
      <c r="E507" s="27" t="n"/>
      <c r="I507" s="27" t="n"/>
      <c r="J507" s="27" t="n"/>
    </row>
    <row r="508">
      <c r="E508" s="27" t="n"/>
      <c r="I508" s="27" t="n"/>
      <c r="J508" s="27" t="n"/>
    </row>
    <row r="509">
      <c r="E509" s="27" t="n"/>
      <c r="I509" s="27" t="n"/>
      <c r="J509" s="27" t="n"/>
    </row>
    <row r="510">
      <c r="E510" s="27" t="n"/>
      <c r="I510" s="27" t="n"/>
      <c r="J510" s="27" t="n"/>
    </row>
    <row r="511">
      <c r="E511" s="27" t="n"/>
      <c r="I511" s="27" t="n"/>
      <c r="J511" s="27" t="n"/>
    </row>
    <row r="512">
      <c r="E512" s="27" t="n"/>
      <c r="I512" s="27" t="n"/>
      <c r="J512" s="27" t="n"/>
    </row>
    <row r="513">
      <c r="E513" s="27" t="n"/>
      <c r="I513" s="27" t="n"/>
      <c r="J513" s="27" t="n"/>
    </row>
    <row r="514">
      <c r="E514" s="27" t="n"/>
      <c r="I514" s="27" t="n"/>
      <c r="J514" s="27" t="n"/>
    </row>
    <row r="515">
      <c r="E515" s="27" t="n"/>
      <c r="I515" s="27" t="n"/>
      <c r="J515" s="27" t="n"/>
    </row>
    <row r="516">
      <c r="E516" s="27" t="n"/>
      <c r="I516" s="27" t="n"/>
      <c r="J516" s="27" t="n"/>
    </row>
    <row r="517">
      <c r="E517" s="27" t="n"/>
      <c r="I517" s="27" t="n"/>
      <c r="J517" s="27" t="n"/>
    </row>
    <row r="518">
      <c r="E518" s="27" t="n"/>
      <c r="I518" s="27" t="n"/>
      <c r="J518" s="27" t="n"/>
    </row>
    <row r="519">
      <c r="E519" s="27" t="n"/>
      <c r="I519" s="27" t="n"/>
      <c r="J519" s="27" t="n"/>
    </row>
    <row r="520">
      <c r="E520" s="27" t="n"/>
      <c r="I520" s="27" t="n"/>
      <c r="J520" s="27" t="n"/>
    </row>
    <row r="521">
      <c r="E521" s="27" t="n"/>
      <c r="I521" s="27" t="n"/>
      <c r="J521" s="27" t="n"/>
    </row>
    <row r="522">
      <c r="E522" s="27" t="n"/>
      <c r="I522" s="27" t="n"/>
      <c r="J522" s="27" t="n"/>
    </row>
    <row r="523">
      <c r="E523" s="27" t="n"/>
      <c r="I523" s="27" t="n"/>
      <c r="J523" s="27" t="n"/>
    </row>
    <row r="524">
      <c r="E524" s="27" t="n"/>
      <c r="I524" s="27" t="n"/>
      <c r="J524" s="27" t="n"/>
    </row>
    <row r="525">
      <c r="E525" s="27" t="n"/>
      <c r="I525" s="27" t="n"/>
      <c r="J525" s="27" t="n"/>
    </row>
    <row r="526">
      <c r="E526" s="27" t="n"/>
      <c r="I526" s="27" t="n"/>
      <c r="J526" s="27" t="n"/>
    </row>
    <row r="527">
      <c r="E527" s="27" t="n"/>
      <c r="I527" s="27" t="n"/>
      <c r="J527" s="27" t="n"/>
    </row>
    <row r="528">
      <c r="E528" s="27" t="n"/>
      <c r="I528" s="27" t="n"/>
      <c r="J528" s="27" t="n"/>
    </row>
    <row r="529">
      <c r="E529" s="27" t="n"/>
      <c r="I529" s="27" t="n"/>
      <c r="J529" s="27" t="n"/>
    </row>
    <row r="530">
      <c r="E530" s="27" t="n"/>
      <c r="I530" s="27" t="n"/>
      <c r="J530" s="27" t="n"/>
    </row>
    <row r="531">
      <c r="E531" s="27" t="n"/>
      <c r="I531" s="27" t="n"/>
      <c r="J531" s="27" t="n"/>
    </row>
    <row r="532">
      <c r="E532" s="27" t="n"/>
      <c r="I532" s="27" t="n"/>
      <c r="J532" s="27" t="n"/>
    </row>
    <row r="533">
      <c r="E533" s="27" t="n"/>
      <c r="I533" s="27" t="n"/>
      <c r="J533" s="27" t="n"/>
    </row>
    <row r="534">
      <c r="E534" s="27" t="n"/>
      <c r="I534" s="27" t="n"/>
      <c r="J534" s="27" t="n"/>
    </row>
    <row r="535">
      <c r="E535" s="27" t="n"/>
      <c r="I535" s="27" t="n"/>
      <c r="J535" s="27" t="n"/>
    </row>
    <row r="536">
      <c r="E536" s="27" t="n"/>
      <c r="I536" s="27" t="n"/>
      <c r="J536" s="27" t="n"/>
    </row>
    <row r="537">
      <c r="E537" s="27" t="n"/>
      <c r="I537" s="27" t="n"/>
      <c r="J537" s="27" t="n"/>
    </row>
    <row r="538">
      <c r="E538" s="27" t="n"/>
      <c r="I538" s="27" t="n"/>
      <c r="J538" s="27" t="n"/>
    </row>
    <row r="539">
      <c r="E539" s="27" t="n"/>
      <c r="I539" s="27" t="n"/>
      <c r="J539" s="27" t="n"/>
    </row>
    <row r="540">
      <c r="E540" s="27" t="n"/>
      <c r="I540" s="27" t="n"/>
      <c r="J540" s="27" t="n"/>
    </row>
    <row r="541">
      <c r="E541" s="27" t="n"/>
      <c r="I541" s="27" t="n"/>
      <c r="J541" s="27" t="n"/>
    </row>
    <row r="542">
      <c r="E542" s="27" t="n"/>
      <c r="I542" s="27" t="n"/>
      <c r="J542" s="27" t="n"/>
    </row>
    <row r="543">
      <c r="E543" s="27" t="n"/>
      <c r="I543" s="27" t="n"/>
      <c r="J543" s="27" t="n"/>
    </row>
    <row r="544">
      <c r="E544" s="27" t="n"/>
      <c r="I544" s="27" t="n"/>
      <c r="J544" s="27" t="n"/>
    </row>
    <row r="545">
      <c r="E545" s="27" t="n"/>
      <c r="I545" s="27" t="n"/>
      <c r="J545" s="27" t="n"/>
    </row>
    <row r="546">
      <c r="E546" s="27" t="n"/>
      <c r="I546" s="27" t="n"/>
      <c r="J546" s="27" t="n"/>
    </row>
    <row r="547">
      <c r="E547" s="27" t="n"/>
      <c r="I547" s="27" t="n"/>
      <c r="J547" s="27" t="n"/>
    </row>
    <row r="548">
      <c r="E548" s="27" t="n"/>
      <c r="I548" s="27" t="n"/>
      <c r="J548" s="27" t="n"/>
    </row>
    <row r="549">
      <c r="E549" s="27" t="n"/>
      <c r="I549" s="27" t="n"/>
      <c r="J549" s="27" t="n"/>
    </row>
    <row r="550">
      <c r="E550" s="27" t="n"/>
      <c r="I550" s="27" t="n"/>
      <c r="J550" s="27" t="n"/>
    </row>
    <row r="551">
      <c r="E551" s="27" t="n"/>
      <c r="I551" s="27" t="n"/>
      <c r="J551" s="27" t="n"/>
    </row>
    <row r="552">
      <c r="E552" s="27" t="n"/>
      <c r="I552" s="27" t="n"/>
      <c r="J552" s="27" t="n"/>
    </row>
    <row r="553">
      <c r="E553" s="27" t="n"/>
      <c r="I553" s="27" t="n"/>
      <c r="J553" s="27" t="n"/>
    </row>
    <row r="554">
      <c r="E554" s="27" t="n"/>
      <c r="I554" s="27" t="n"/>
      <c r="J554" s="27" t="n"/>
    </row>
    <row r="555">
      <c r="E555" s="27" t="n"/>
      <c r="I555" s="27" t="n"/>
      <c r="J555" s="27" t="n"/>
    </row>
    <row r="556">
      <c r="E556" s="27" t="n"/>
      <c r="I556" s="27" t="n"/>
      <c r="J556" s="27" t="n"/>
    </row>
    <row r="557">
      <c r="E557" s="27" t="n"/>
      <c r="I557" s="27" t="n"/>
      <c r="J557" s="27" t="n"/>
    </row>
    <row r="558">
      <c r="E558" s="27" t="n"/>
      <c r="I558" s="27" t="n"/>
      <c r="J558" s="27" t="n"/>
    </row>
    <row r="559">
      <c r="E559" s="27" t="n"/>
      <c r="I559" s="27" t="n"/>
      <c r="J559" s="27" t="n"/>
    </row>
    <row r="560">
      <c r="E560" s="27" t="n"/>
      <c r="I560" s="27" t="n"/>
      <c r="J560" s="27" t="n"/>
    </row>
    <row r="561">
      <c r="E561" s="27" t="n"/>
      <c r="I561" s="27" t="n"/>
      <c r="J561" s="27" t="n"/>
    </row>
    <row r="562">
      <c r="E562" s="27" t="n"/>
      <c r="I562" s="27" t="n"/>
      <c r="J562" s="27" t="n"/>
    </row>
    <row r="563">
      <c r="E563" s="27" t="n"/>
      <c r="I563" s="27" t="n"/>
      <c r="J563" s="27" t="n"/>
    </row>
    <row r="564">
      <c r="E564" s="27" t="n"/>
      <c r="I564" s="27" t="n"/>
      <c r="J564" s="27" t="n"/>
    </row>
    <row r="565">
      <c r="E565" s="27" t="n"/>
      <c r="I565" s="27" t="n"/>
      <c r="J565" s="27" t="n"/>
    </row>
    <row r="566">
      <c r="E566" s="27" t="n"/>
      <c r="I566" s="27" t="n"/>
      <c r="J566" s="27" t="n"/>
    </row>
    <row r="567">
      <c r="E567" s="27" t="n"/>
      <c r="I567" s="27" t="n"/>
      <c r="J567" s="27" t="n"/>
    </row>
    <row r="568">
      <c r="E568" s="27" t="n"/>
      <c r="I568" s="27" t="n"/>
      <c r="J568" s="27" t="n"/>
    </row>
    <row r="569">
      <c r="E569" s="27" t="n"/>
      <c r="I569" s="27" t="n"/>
      <c r="J569" s="27" t="n"/>
    </row>
    <row r="570">
      <c r="E570" s="27" t="n"/>
      <c r="I570" s="27" t="n"/>
      <c r="J570" s="27" t="n"/>
    </row>
    <row r="571">
      <c r="E571" s="27" t="n"/>
      <c r="I571" s="27" t="n"/>
      <c r="J571" s="27" t="n"/>
    </row>
    <row r="572">
      <c r="E572" s="27" t="n"/>
      <c r="I572" s="27" t="n"/>
      <c r="J572" s="27" t="n"/>
    </row>
    <row r="573">
      <c r="E573" s="27" t="n"/>
      <c r="I573" s="27" t="n"/>
      <c r="J573" s="27" t="n"/>
    </row>
    <row r="574">
      <c r="E574" s="27" t="n"/>
      <c r="I574" s="27" t="n"/>
      <c r="J574" s="27" t="n"/>
    </row>
    <row r="575">
      <c r="E575" s="27" t="n"/>
      <c r="I575" s="27" t="n"/>
      <c r="J575" s="27" t="n"/>
    </row>
    <row r="576">
      <c r="E576" s="27" t="n"/>
      <c r="I576" s="27" t="n"/>
      <c r="J576" s="27" t="n"/>
    </row>
    <row r="577">
      <c r="E577" s="27" t="n"/>
      <c r="I577" s="27" t="n"/>
      <c r="J577" s="27" t="n"/>
    </row>
    <row r="578">
      <c r="E578" s="27" t="n"/>
      <c r="I578" s="27" t="n"/>
      <c r="J578" s="27" t="n"/>
    </row>
    <row r="579">
      <c r="E579" s="27" t="n"/>
      <c r="I579" s="27" t="n"/>
      <c r="J579" s="27" t="n"/>
    </row>
    <row r="580">
      <c r="E580" s="27" t="n"/>
      <c r="I580" s="27" t="n"/>
      <c r="J580" s="27" t="n"/>
    </row>
    <row r="581">
      <c r="E581" s="27" t="n"/>
      <c r="I581" s="27" t="n"/>
      <c r="J581" s="27" t="n"/>
    </row>
    <row r="582">
      <c r="E582" s="27" t="n"/>
      <c r="I582" s="27" t="n"/>
      <c r="J582" s="27" t="n"/>
    </row>
    <row r="583">
      <c r="E583" s="27" t="n"/>
      <c r="I583" s="27" t="n"/>
      <c r="J583" s="27" t="n"/>
    </row>
    <row r="584">
      <c r="E584" s="27" t="n"/>
      <c r="I584" s="27" t="n"/>
      <c r="J584" s="27" t="n"/>
    </row>
    <row r="585">
      <c r="E585" s="27" t="n"/>
      <c r="I585" s="27" t="n"/>
      <c r="J585" s="27" t="n"/>
    </row>
    <row r="586">
      <c r="E586" s="27" t="n"/>
      <c r="I586" s="27" t="n"/>
      <c r="J586" s="27" t="n"/>
    </row>
    <row r="587">
      <c r="E587" s="27" t="n"/>
      <c r="I587" s="27" t="n"/>
      <c r="J587" s="27" t="n"/>
    </row>
    <row r="588">
      <c r="E588" s="27" t="n"/>
      <c r="I588" s="27" t="n"/>
      <c r="J588" s="27" t="n"/>
    </row>
    <row r="589">
      <c r="E589" s="27" t="n"/>
      <c r="I589" s="27" t="n"/>
      <c r="J589" s="27" t="n"/>
    </row>
    <row r="590">
      <c r="E590" s="27" t="n"/>
      <c r="I590" s="27" t="n"/>
      <c r="J590" s="27" t="n"/>
    </row>
    <row r="591">
      <c r="E591" s="27" t="n"/>
      <c r="I591" s="27" t="n"/>
      <c r="J591" s="27" t="n"/>
    </row>
    <row r="592">
      <c r="E592" s="27" t="n"/>
      <c r="I592" s="27" t="n"/>
      <c r="J592" s="27" t="n"/>
    </row>
    <row r="593">
      <c r="E593" s="27" t="n"/>
      <c r="I593" s="27" t="n"/>
      <c r="J593" s="27" t="n"/>
    </row>
    <row r="594">
      <c r="E594" s="27" t="n"/>
      <c r="I594" s="27" t="n"/>
      <c r="J594" s="27" t="n"/>
    </row>
    <row r="595">
      <c r="E595" s="27" t="n"/>
      <c r="I595" s="27" t="n"/>
      <c r="J595" s="27" t="n"/>
    </row>
    <row r="596">
      <c r="E596" s="27" t="n"/>
      <c r="I596" s="27" t="n"/>
      <c r="J596" s="27" t="n"/>
    </row>
    <row r="597">
      <c r="E597" s="27" t="n"/>
      <c r="I597" s="27" t="n"/>
      <c r="J597" s="27" t="n"/>
    </row>
    <row r="598">
      <c r="E598" s="27" t="n"/>
      <c r="I598" s="27" t="n"/>
      <c r="J598" s="27" t="n"/>
    </row>
    <row r="599">
      <c r="E599" s="27" t="n"/>
      <c r="I599" s="27" t="n"/>
      <c r="J599" s="27" t="n"/>
    </row>
    <row r="600">
      <c r="E600" s="27" t="n"/>
      <c r="I600" s="27" t="n"/>
      <c r="J600" s="27" t="n"/>
    </row>
    <row r="601">
      <c r="E601" s="27" t="n"/>
      <c r="I601" s="27" t="n"/>
      <c r="J601" s="27" t="n"/>
    </row>
    <row r="602">
      <c r="E602" s="27" t="n"/>
      <c r="I602" s="27" t="n"/>
      <c r="J602" s="27" t="n"/>
    </row>
    <row r="603">
      <c r="E603" s="27" t="n"/>
      <c r="I603" s="27" t="n"/>
      <c r="J603" s="27" t="n"/>
    </row>
    <row r="604">
      <c r="E604" s="27" t="n"/>
      <c r="I604" s="27" t="n"/>
      <c r="J604" s="27" t="n"/>
    </row>
    <row r="605">
      <c r="E605" s="27" t="n"/>
      <c r="I605" s="27" t="n"/>
      <c r="J605" s="27" t="n"/>
    </row>
    <row r="606">
      <c r="E606" s="27" t="n"/>
      <c r="I606" s="27" t="n"/>
      <c r="J606" s="27" t="n"/>
    </row>
    <row r="607">
      <c r="E607" s="27" t="n"/>
      <c r="I607" s="27" t="n"/>
      <c r="J607" s="27" t="n"/>
    </row>
    <row r="608">
      <c r="E608" s="27" t="n"/>
      <c r="I608" s="27" t="n"/>
      <c r="J608" s="27" t="n"/>
    </row>
    <row r="609">
      <c r="E609" s="27" t="n"/>
      <c r="I609" s="27" t="n"/>
      <c r="J609" s="27" t="n"/>
    </row>
    <row r="610">
      <c r="E610" s="27" t="n"/>
      <c r="I610" s="27" t="n"/>
      <c r="J610" s="27" t="n"/>
    </row>
    <row r="611">
      <c r="E611" s="27" t="n"/>
      <c r="I611" s="27" t="n"/>
      <c r="J611" s="27" t="n"/>
    </row>
    <row r="612">
      <c r="E612" s="27" t="n"/>
      <c r="I612" s="27" t="n"/>
      <c r="J612" s="27" t="n"/>
    </row>
    <row r="613">
      <c r="E613" s="27" t="n"/>
      <c r="I613" s="27" t="n"/>
      <c r="J613" s="27" t="n"/>
    </row>
    <row r="614">
      <c r="E614" s="27" t="n"/>
      <c r="I614" s="27" t="n"/>
      <c r="J614" s="27" t="n"/>
    </row>
    <row r="615">
      <c r="E615" s="27" t="n"/>
      <c r="I615" s="27" t="n"/>
      <c r="J615" s="27" t="n"/>
    </row>
    <row r="616">
      <c r="E616" s="27" t="n"/>
      <c r="I616" s="27" t="n"/>
      <c r="J616" s="27" t="n"/>
    </row>
    <row r="617">
      <c r="E617" s="27" t="n"/>
      <c r="I617" s="27" t="n"/>
      <c r="J617" s="27" t="n"/>
    </row>
    <row r="618">
      <c r="E618" s="27" t="n"/>
      <c r="I618" s="27" t="n"/>
      <c r="J618" s="27" t="n"/>
    </row>
    <row r="619">
      <c r="E619" s="27" t="n"/>
      <c r="I619" s="27" t="n"/>
      <c r="J619" s="27" t="n"/>
    </row>
    <row r="620">
      <c r="E620" s="27" t="n"/>
      <c r="I620" s="27" t="n"/>
      <c r="J620" s="27" t="n"/>
    </row>
    <row r="621">
      <c r="E621" s="27" t="n"/>
      <c r="I621" s="27" t="n"/>
      <c r="J621" s="27" t="n"/>
    </row>
    <row r="622">
      <c r="E622" s="27" t="n"/>
      <c r="I622" s="27" t="n"/>
      <c r="J622" s="27" t="n"/>
    </row>
    <row r="623">
      <c r="E623" s="27" t="n"/>
      <c r="I623" s="27" t="n"/>
      <c r="J623" s="27" t="n"/>
    </row>
    <row r="624">
      <c r="E624" s="27" t="n"/>
      <c r="I624" s="27" t="n"/>
      <c r="J624" s="27" t="n"/>
    </row>
    <row r="625">
      <c r="E625" s="27" t="n"/>
      <c r="I625" s="27" t="n"/>
      <c r="J625" s="27" t="n"/>
    </row>
    <row r="626">
      <c r="E626" s="27" t="n"/>
      <c r="I626" s="27" t="n"/>
      <c r="J626" s="27" t="n"/>
    </row>
    <row r="627">
      <c r="E627" s="27" t="n"/>
      <c r="I627" s="27" t="n"/>
      <c r="J627" s="27" t="n"/>
    </row>
    <row r="628">
      <c r="E628" s="27" t="n"/>
      <c r="I628" s="27" t="n"/>
      <c r="J628" s="27" t="n"/>
    </row>
    <row r="629">
      <c r="E629" s="27" t="n"/>
      <c r="I629" s="27" t="n"/>
      <c r="J629" s="27" t="n"/>
    </row>
    <row r="630">
      <c r="E630" s="27" t="n"/>
      <c r="I630" s="27" t="n"/>
      <c r="J630" s="27" t="n"/>
    </row>
    <row r="631">
      <c r="E631" s="27" t="n"/>
      <c r="I631" s="27" t="n"/>
      <c r="J631" s="27" t="n"/>
    </row>
    <row r="632">
      <c r="E632" s="27" t="n"/>
      <c r="I632" s="27" t="n"/>
      <c r="J632" s="27" t="n"/>
    </row>
    <row r="633">
      <c r="E633" s="27" t="n"/>
      <c r="I633" s="27" t="n"/>
      <c r="J633" s="27" t="n"/>
    </row>
    <row r="634">
      <c r="E634" s="27" t="n"/>
      <c r="I634" s="27" t="n"/>
      <c r="J634" s="27" t="n"/>
    </row>
    <row r="635">
      <c r="E635" s="27" t="n"/>
      <c r="I635" s="27" t="n"/>
      <c r="J635" s="27" t="n"/>
    </row>
    <row r="636">
      <c r="E636" s="27" t="n"/>
      <c r="I636" s="27" t="n"/>
      <c r="J636" s="27" t="n"/>
    </row>
    <row r="637">
      <c r="E637" s="27" t="n"/>
      <c r="I637" s="27" t="n"/>
      <c r="J637" s="27" t="n"/>
    </row>
    <row r="638">
      <c r="E638" s="27" t="n"/>
      <c r="I638" s="27" t="n"/>
      <c r="J638" s="27" t="n"/>
    </row>
    <row r="639">
      <c r="E639" s="27" t="n"/>
      <c r="I639" s="27" t="n"/>
      <c r="J639" s="27" t="n"/>
    </row>
    <row r="640">
      <c r="E640" s="27" t="n"/>
      <c r="I640" s="27" t="n"/>
      <c r="J640" s="27" t="n"/>
    </row>
    <row r="641">
      <c r="E641" s="27" t="n"/>
      <c r="I641" s="27" t="n"/>
      <c r="J641" s="27" t="n"/>
    </row>
    <row r="642">
      <c r="E642" s="27" t="n"/>
      <c r="I642" s="27" t="n"/>
      <c r="J642" s="27" t="n"/>
    </row>
    <row r="643">
      <c r="E643" s="27" t="n"/>
      <c r="I643" s="27" t="n"/>
      <c r="J643" s="27" t="n"/>
    </row>
    <row r="644">
      <c r="E644" s="27" t="n"/>
      <c r="I644" s="27" t="n"/>
      <c r="J644" s="27" t="n"/>
    </row>
    <row r="645">
      <c r="E645" s="27" t="n"/>
      <c r="I645" s="27" t="n"/>
      <c r="J645" s="27" t="n"/>
    </row>
    <row r="646">
      <c r="E646" s="27" t="n"/>
      <c r="I646" s="27" t="n"/>
      <c r="J646" s="27" t="n"/>
    </row>
    <row r="647">
      <c r="E647" s="27" t="n"/>
      <c r="I647" s="27" t="n"/>
      <c r="J647" s="27" t="n"/>
    </row>
    <row r="648">
      <c r="E648" s="27" t="n"/>
      <c r="I648" s="27" t="n"/>
      <c r="J648" s="27" t="n"/>
    </row>
    <row r="649">
      <c r="E649" s="27" t="n"/>
      <c r="I649" s="27" t="n"/>
      <c r="J649" s="27" t="n"/>
    </row>
    <row r="650">
      <c r="E650" s="27" t="n"/>
      <c r="I650" s="27" t="n"/>
      <c r="J650" s="27" t="n"/>
    </row>
    <row r="651">
      <c r="E651" s="27" t="n"/>
      <c r="I651" s="27" t="n"/>
      <c r="J651" s="27" t="n"/>
    </row>
    <row r="652">
      <c r="E652" s="27" t="n"/>
      <c r="I652" s="27" t="n"/>
      <c r="J652" s="27" t="n"/>
    </row>
    <row r="653">
      <c r="E653" s="27" t="n"/>
      <c r="I653" s="27" t="n"/>
      <c r="J653" s="27" t="n"/>
    </row>
    <row r="654">
      <c r="E654" s="27" t="n"/>
      <c r="I654" s="27" t="n"/>
      <c r="J654" s="27" t="n"/>
    </row>
    <row r="655">
      <c r="E655" s="27" t="n"/>
      <c r="I655" s="27" t="n"/>
      <c r="J655" s="27" t="n"/>
    </row>
    <row r="656">
      <c r="E656" s="27" t="n"/>
      <c r="I656" s="27" t="n"/>
      <c r="J656" s="27" t="n"/>
    </row>
    <row r="657">
      <c r="E657" s="27" t="n"/>
      <c r="I657" s="27" t="n"/>
      <c r="J657" s="27" t="n"/>
    </row>
    <row r="658">
      <c r="E658" s="27" t="n"/>
      <c r="I658" s="27" t="n"/>
      <c r="J658" s="27" t="n"/>
    </row>
    <row r="659">
      <c r="E659" s="27" t="n"/>
      <c r="I659" s="27" t="n"/>
      <c r="J659" s="27" t="n"/>
    </row>
    <row r="660">
      <c r="E660" s="27" t="n"/>
      <c r="I660" s="27" t="n"/>
      <c r="J660" s="27" t="n"/>
    </row>
    <row r="661">
      <c r="E661" s="27" t="n"/>
      <c r="I661" s="27" t="n"/>
      <c r="J661" s="27" t="n"/>
    </row>
    <row r="662">
      <c r="E662" s="27" t="n"/>
      <c r="I662" s="27" t="n"/>
      <c r="J662" s="27" t="n"/>
    </row>
    <row r="663">
      <c r="E663" s="27" t="n"/>
      <c r="I663" s="27" t="n"/>
      <c r="J663" s="27" t="n"/>
    </row>
    <row r="664">
      <c r="E664" s="27" t="n"/>
      <c r="I664" s="27" t="n"/>
      <c r="J664" s="27" t="n"/>
    </row>
    <row r="665">
      <c r="E665" s="27" t="n"/>
      <c r="I665" s="27" t="n"/>
      <c r="J665" s="27" t="n"/>
    </row>
    <row r="666">
      <c r="E666" s="27" t="n"/>
      <c r="I666" s="27" t="n"/>
      <c r="J666" s="27" t="n"/>
    </row>
    <row r="667">
      <c r="E667" s="27" t="n"/>
      <c r="I667" s="27" t="n"/>
      <c r="J667" s="27" t="n"/>
    </row>
    <row r="668">
      <c r="E668" s="27" t="n"/>
      <c r="I668" s="27" t="n"/>
      <c r="J668" s="27" t="n"/>
    </row>
    <row r="669">
      <c r="E669" s="27" t="n"/>
      <c r="I669" s="27" t="n"/>
      <c r="J669" s="27" t="n"/>
    </row>
    <row r="670">
      <c r="E670" s="27" t="n"/>
      <c r="I670" s="27" t="n"/>
      <c r="J670" s="27" t="n"/>
    </row>
    <row r="671">
      <c r="E671" s="27" t="n"/>
      <c r="I671" s="27" t="n"/>
      <c r="J671" s="27" t="n"/>
    </row>
    <row r="672">
      <c r="E672" s="27" t="n"/>
      <c r="I672" s="27" t="n"/>
      <c r="J672" s="27" t="n"/>
    </row>
    <row r="673">
      <c r="E673" s="27" t="n"/>
      <c r="I673" s="27" t="n"/>
      <c r="J673" s="27" t="n"/>
    </row>
    <row r="674">
      <c r="E674" s="27" t="n"/>
      <c r="I674" s="27" t="n"/>
      <c r="J674" s="27" t="n"/>
    </row>
    <row r="675">
      <c r="E675" s="27" t="n"/>
      <c r="I675" s="27" t="n"/>
      <c r="J675" s="27" t="n"/>
    </row>
    <row r="676">
      <c r="E676" s="27" t="n"/>
      <c r="I676" s="27" t="n"/>
      <c r="J676" s="27" t="n"/>
    </row>
    <row r="677">
      <c r="E677" s="27" t="n"/>
      <c r="I677" s="27" t="n"/>
      <c r="J677" s="27" t="n"/>
    </row>
    <row r="678">
      <c r="E678" s="27" t="n"/>
      <c r="I678" s="27" t="n"/>
      <c r="J678" s="27" t="n"/>
    </row>
    <row r="679">
      <c r="E679" s="27" t="n"/>
      <c r="I679" s="27" t="n"/>
      <c r="J679" s="27" t="n"/>
    </row>
    <row r="680">
      <c r="E680" s="27" t="n"/>
      <c r="I680" s="27" t="n"/>
      <c r="J680" s="27" t="n"/>
    </row>
    <row r="681">
      <c r="E681" s="27" t="n"/>
      <c r="I681" s="27" t="n"/>
      <c r="J681" s="27" t="n"/>
    </row>
    <row r="682">
      <c r="E682" s="27" t="n"/>
      <c r="I682" s="27" t="n"/>
      <c r="J682" s="27" t="n"/>
    </row>
    <row r="683">
      <c r="E683" s="27" t="n"/>
      <c r="I683" s="27" t="n"/>
      <c r="J683" s="27" t="n"/>
    </row>
    <row r="684">
      <c r="E684" s="27" t="n"/>
      <c r="I684" s="27" t="n"/>
      <c r="J684" s="27" t="n"/>
    </row>
    <row r="685">
      <c r="E685" s="27" t="n"/>
      <c r="I685" s="27" t="n"/>
      <c r="J685" s="27" t="n"/>
    </row>
    <row r="686">
      <c r="E686" s="27" t="n"/>
      <c r="I686" s="27" t="n"/>
      <c r="J686" s="27" t="n"/>
    </row>
    <row r="687">
      <c r="E687" s="27" t="n"/>
      <c r="I687" s="27" t="n"/>
      <c r="J687" s="27" t="n"/>
    </row>
    <row r="688">
      <c r="E688" s="27" t="n"/>
      <c r="I688" s="27" t="n"/>
      <c r="J688" s="27" t="n"/>
    </row>
    <row r="689">
      <c r="E689" s="27" t="n"/>
      <c r="I689" s="27" t="n"/>
      <c r="J689" s="27" t="n"/>
    </row>
    <row r="690">
      <c r="E690" s="27" t="n"/>
      <c r="I690" s="27" t="n"/>
      <c r="J690" s="27" t="n"/>
    </row>
    <row r="691">
      <c r="E691" s="27" t="n"/>
      <c r="I691" s="27" t="n"/>
      <c r="J691" s="27" t="n"/>
    </row>
    <row r="692">
      <c r="E692" s="27" t="n"/>
      <c r="I692" s="27" t="n"/>
      <c r="J692" s="27" t="n"/>
    </row>
    <row r="693">
      <c r="E693" s="27" t="n"/>
      <c r="I693" s="27" t="n"/>
      <c r="J693" s="27" t="n"/>
    </row>
    <row r="694">
      <c r="E694" s="27" t="n"/>
      <c r="I694" s="27" t="n"/>
      <c r="J694" s="27" t="n"/>
    </row>
    <row r="695">
      <c r="E695" s="27" t="n"/>
      <c r="I695" s="27" t="n"/>
      <c r="J695" s="27" t="n"/>
    </row>
    <row r="696">
      <c r="E696" s="27" t="n"/>
      <c r="I696" s="27" t="n"/>
      <c r="J696" s="27" t="n"/>
    </row>
    <row r="697">
      <c r="E697" s="27" t="n"/>
      <c r="I697" s="27" t="n"/>
      <c r="J697" s="27" t="n"/>
    </row>
    <row r="698">
      <c r="E698" s="27" t="n"/>
      <c r="I698" s="27" t="n"/>
      <c r="J698" s="27" t="n"/>
    </row>
    <row r="699">
      <c r="E699" s="27" t="n"/>
      <c r="I699" s="27" t="n"/>
      <c r="J699" s="27" t="n"/>
    </row>
    <row r="700">
      <c r="E700" s="27" t="n"/>
      <c r="I700" s="27" t="n"/>
      <c r="J700" s="27" t="n"/>
    </row>
  </sheetData>
  <autoFilter ref="A1:L400"/>
  <dataValidations count="4">
    <dataValidation sqref="B2:B4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4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400" showDropDown="0" showInputMessage="0" showErrorMessage="1" allowBlank="1" errorTitle="Invalid selection" error="Select from dropdown." type="list">
      <formula1>"Low,Medium,High,Critical"</formula1>
    </dataValidation>
    <dataValidation sqref="H2:H40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0" t="inlineStr">
        <is>
          <t>Risk ID</t>
        </is>
      </c>
      <c r="B1" s="10" t="inlineStr">
        <is>
          <t>Project ID</t>
        </is>
      </c>
      <c r="C1" s="10" t="inlineStr">
        <is>
          <t>Risk Description</t>
        </is>
      </c>
      <c r="D1" s="10" t="inlineStr">
        <is>
          <t>Impact</t>
        </is>
      </c>
      <c r="E1" s="10" t="inlineStr">
        <is>
          <t>Probability</t>
        </is>
      </c>
      <c r="F1" s="10" t="inlineStr">
        <is>
          <t>Risk Score</t>
        </is>
      </c>
      <c r="G1" s="10" t="inlineStr">
        <is>
          <t>Risk Level</t>
        </is>
      </c>
      <c r="H1" s="10" t="inlineStr">
        <is>
          <t>Mitigation Plan</t>
        </is>
      </c>
      <c r="I1" s="10" t="inlineStr">
        <is>
          <t>Owner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RSK-001</t>
        </is>
      </c>
      <c r="B2" s="15" t="inlineStr">
        <is>
          <t>PRJ-001</t>
        </is>
      </c>
      <c r="C2" s="15" t="inlineStr">
        <is>
          <t>UAT defect leakage may delay release</t>
        </is>
      </c>
      <c r="D2" s="15" t="n">
        <v>4</v>
      </c>
      <c r="E2" s="15" t="n">
        <v>4</v>
      </c>
      <c r="F2" s="15">
        <f>IF(OR(D2="",E2=""),"",D2*E2)</f>
        <v/>
      </c>
      <c r="G2" s="15">
        <f>IF(F2="","",IF(F2&gt;=20,"Critical",IF(F2&gt;=12,"High",IF(F2&gt;=6,"Medium","Low"))))</f>
        <v/>
      </c>
      <c r="H2" s="15" t="inlineStr">
        <is>
          <t>Daily defect review</t>
        </is>
      </c>
      <c r="I2" s="15" t="inlineStr">
        <is>
          <t>Ananya Rao</t>
        </is>
      </c>
      <c r="J2" s="15" t="inlineStr">
        <is>
          <t>Open</t>
        </is>
      </c>
      <c r="K2" s="15" t="inlineStr"/>
    </row>
    <row r="3">
      <c r="A3" s="15" t="inlineStr">
        <is>
          <t>RSK-002</t>
        </is>
      </c>
      <c r="B3" s="15" t="inlineStr">
        <is>
          <t>PRJ-002</t>
        </is>
      </c>
      <c r="C3" s="15" t="inlineStr">
        <is>
          <t>Vendor API readiness risk</t>
        </is>
      </c>
      <c r="D3" s="15" t="n">
        <v>5</v>
      </c>
      <c r="E3" s="15" t="n">
        <v>5</v>
      </c>
      <c r="F3" s="15">
        <f>IF(OR(D3="",E3=""),"",D3*E3)</f>
        <v/>
      </c>
      <c r="G3" s="15">
        <f>IF(F3="","",IF(F3&gt;=20,"Critical",IF(F3&gt;=12,"High",IF(F3&gt;=6,"Medium","Low"))))</f>
        <v/>
      </c>
      <c r="H3" s="15" t="inlineStr">
        <is>
          <t>Executive escalation</t>
        </is>
      </c>
      <c r="I3" s="15" t="inlineStr">
        <is>
          <t>Rohit Menon</t>
        </is>
      </c>
      <c r="J3" s="15" t="inlineStr">
        <is>
          <t>Open</t>
        </is>
      </c>
      <c r="K3" s="15" t="inlineStr"/>
    </row>
    <row r="4">
      <c r="A4" s="15" t="inlineStr">
        <is>
          <t>RSK-003</t>
        </is>
      </c>
      <c r="B4" s="15" t="inlineStr">
        <is>
          <t>PRJ-004</t>
        </is>
      </c>
      <c r="C4" s="15" t="inlineStr">
        <is>
          <t>Performance may not meet SLA</t>
        </is>
      </c>
      <c r="D4" s="15" t="n">
        <v>4</v>
      </c>
      <c r="E4" s="15" t="n">
        <v>4</v>
      </c>
      <c r="F4" s="15">
        <f>IF(OR(D4="",E4=""),"",D4*E4)</f>
        <v/>
      </c>
      <c r="G4" s="15">
        <f>IF(F4="","",IF(F4&gt;=20,"Critical",IF(F4&gt;=12,"High",IF(F4&gt;=6,"Medium","Low"))))</f>
        <v/>
      </c>
      <c r="H4" s="15" t="inlineStr">
        <is>
          <t>Load testing</t>
        </is>
      </c>
      <c r="I4" s="15" t="inlineStr">
        <is>
          <t>Vikram Shah</t>
        </is>
      </c>
      <c r="J4" s="15" t="inlineStr">
        <is>
          <t>Open</t>
        </is>
      </c>
      <c r="K4" s="15" t="inlineStr"/>
    </row>
    <row r="5">
      <c r="A5" s="15" t="n"/>
      <c r="B5" s="15" t="n"/>
      <c r="C5" s="15" t="n"/>
      <c r="D5" s="15" t="n"/>
      <c r="E5" s="15" t="n"/>
      <c r="F5" s="15">
        <f>IF(OR(D5="",E5=""),"",D5*E5)</f>
        <v/>
      </c>
      <c r="G5" s="15">
        <f>IF(F5="","",IF(F5&gt;=20,"Critical",IF(F5&gt;=12,"High",IF(F5&gt;=6,"Medium","Low"))))</f>
        <v/>
      </c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>
        <f>IF(OR(D6="",E6=""),"",D6*E6)</f>
        <v/>
      </c>
      <c r="G6" s="15">
        <f>IF(F6="","",IF(F6&gt;=20,"Critical",IF(F6&gt;=12,"High",IF(F6&gt;=6,"Medium","Low"))))</f>
        <v/>
      </c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>
        <f>IF(OR(D7="",E7=""),"",D7*E7)</f>
        <v/>
      </c>
      <c r="G7" s="15">
        <f>IF(F7="","",IF(F7&gt;=20,"Critical",IF(F7&gt;=12,"High",IF(F7&gt;=6,"Medium","Low"))))</f>
        <v/>
      </c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>
        <f>IF(OR(D8="",E8=""),"",D8*E8)</f>
        <v/>
      </c>
      <c r="G8" s="15">
        <f>IF(F8="","",IF(F8&gt;=20,"Critical",IF(F8&gt;=12,"High",IF(F8&gt;=6,"Medium","Low"))))</f>
        <v/>
      </c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>
        <f>IF(OR(D9="",E9=""),"",D9*E9)</f>
        <v/>
      </c>
      <c r="G9" s="15">
        <f>IF(F9="","",IF(F9&gt;=20,"Critical",IF(F9&gt;=12,"High",IF(F9&gt;=6,"Medium","Low"))))</f>
        <v/>
      </c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>
        <f>IF(OR(D10="",E10=""),"",D10*E10)</f>
        <v/>
      </c>
      <c r="G10" s="15">
        <f>IF(F10="","",IF(F10&gt;=20,"Critical",IF(F10&gt;=12,"High",IF(F10&gt;=6,"Medium","Low"))))</f>
        <v/>
      </c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>
        <f>IF(OR(D11="",E11=""),"",D11*E11)</f>
        <v/>
      </c>
      <c r="G11" s="15">
        <f>IF(F11="","",IF(F11&gt;=20,"Critical",IF(F11&gt;=12,"High",IF(F11&gt;=6,"Medium","Low"))))</f>
        <v/>
      </c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>
        <f>IF(OR(D12="",E12=""),"",D12*E12)</f>
        <v/>
      </c>
      <c r="G12" s="15">
        <f>IF(F12="","",IF(F12&gt;=20,"Critical",IF(F12&gt;=12,"High",IF(F12&gt;=6,"Medium","Low"))))</f>
        <v/>
      </c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>
        <f>IF(OR(D13="",E13=""),"",D13*E13)</f>
        <v/>
      </c>
      <c r="G13" s="15">
        <f>IF(F13="","",IF(F13&gt;=20,"Critical",IF(F13&gt;=12,"High",IF(F13&gt;=6,"Medium","Low"))))</f>
        <v/>
      </c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>
        <f>IF(OR(D14="",E14=""),"",D14*E14)</f>
        <v/>
      </c>
      <c r="G14" s="15">
        <f>IF(F14="","",IF(F14&gt;=20,"Critical",IF(F14&gt;=12,"High",IF(F14&gt;=6,"Medium","Low"))))</f>
        <v/>
      </c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>
        <f>IF(OR(D15="",E15=""),"",D15*E15)</f>
        <v/>
      </c>
      <c r="G15" s="15">
        <f>IF(F15="","",IF(F15&gt;=20,"Critical",IF(F15&gt;=12,"High",IF(F15&gt;=6,"Medium","Low"))))</f>
        <v/>
      </c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>
        <f>IF(OR(D16="",E16=""),"",D16*E16)</f>
        <v/>
      </c>
      <c r="G16" s="15">
        <f>IF(F16="","",IF(F16&gt;=20,"Critical",IF(F16&gt;=12,"High",IF(F16&gt;=6,"Medium","Low"))))</f>
        <v/>
      </c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>
        <f>IF(OR(D17="",E17=""),"",D17*E17)</f>
        <v/>
      </c>
      <c r="G17" s="15">
        <f>IF(F17="","",IF(F17&gt;=20,"Critical",IF(F17&gt;=12,"High",IF(F17&gt;=6,"Medium","Low"))))</f>
        <v/>
      </c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>
        <f>IF(OR(D18="",E18=""),"",D18*E18)</f>
        <v/>
      </c>
      <c r="G18" s="15">
        <f>IF(F18="","",IF(F18&gt;=20,"Critical",IF(F18&gt;=12,"High",IF(F18&gt;=6,"Medium","Low"))))</f>
        <v/>
      </c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>
        <f>IF(OR(D19="",E19=""),"",D19*E19)</f>
        <v/>
      </c>
      <c r="G19" s="15">
        <f>IF(F19="","",IF(F19&gt;=20,"Critical",IF(F19&gt;=12,"High",IF(F19&gt;=6,"Medium","Low"))))</f>
        <v/>
      </c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>
        <f>IF(OR(D20="",E20=""),"",D20*E20)</f>
        <v/>
      </c>
      <c r="G20" s="15">
        <f>IF(F20="","",IF(F20&gt;=20,"Critical",IF(F20&gt;=12,"High",IF(F20&gt;=6,"Medium","Low"))))</f>
        <v/>
      </c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>
        <f>IF(OR(D21="",E21=""),"",D21*E21)</f>
        <v/>
      </c>
      <c r="G21" s="15">
        <f>IF(F21="","",IF(F21&gt;=20,"Critical",IF(F21&gt;=12,"High",IF(F21&gt;=6,"Medium","Low"))))</f>
        <v/>
      </c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>
        <f>IF(OR(D22="",E22=""),"",D22*E22)</f>
        <v/>
      </c>
      <c r="G22" s="15">
        <f>IF(F22="","",IF(F22&gt;=20,"Critical",IF(F22&gt;=12,"High",IF(F22&gt;=6,"Medium","Low"))))</f>
        <v/>
      </c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>
        <f>IF(OR(D23="",E23=""),"",D23*E23)</f>
        <v/>
      </c>
      <c r="G23" s="15">
        <f>IF(F23="","",IF(F23&gt;=20,"Critical",IF(F23&gt;=12,"High",IF(F23&gt;=6,"Medium","Low"))))</f>
        <v/>
      </c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>
        <f>IF(OR(D24="",E24=""),"",D24*E24)</f>
        <v/>
      </c>
      <c r="G24" s="15">
        <f>IF(F24="","",IF(F24&gt;=20,"Critical",IF(F24&gt;=12,"High",IF(F24&gt;=6,"Medium","Low"))))</f>
        <v/>
      </c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>
        <f>IF(OR(D25="",E25=""),"",D25*E25)</f>
        <v/>
      </c>
      <c r="G25" s="15">
        <f>IF(F25="","",IF(F25&gt;=20,"Critical",IF(F25&gt;=12,"High",IF(F25&gt;=6,"Medium","Low"))))</f>
        <v/>
      </c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>
        <f>IF(OR(D26="",E26=""),"",D26*E26)</f>
        <v/>
      </c>
      <c r="G26" s="15">
        <f>IF(F26="","",IF(F26&gt;=20,"Critical",IF(F26&gt;=12,"High",IF(F26&gt;=6,"Medium","Low"))))</f>
        <v/>
      </c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>
        <f>IF(OR(D27="",E27=""),"",D27*E27)</f>
        <v/>
      </c>
      <c r="G27" s="15">
        <f>IF(F27="","",IF(F27&gt;=20,"Critical",IF(F27&gt;=12,"High",IF(F27&gt;=6,"Medium","Low"))))</f>
        <v/>
      </c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>
        <f>IF(OR(D28="",E28=""),"",D28*E28)</f>
        <v/>
      </c>
      <c r="G28" s="15">
        <f>IF(F28="","",IF(F28&gt;=20,"Critical",IF(F28&gt;=12,"High",IF(F28&gt;=6,"Medium","Low"))))</f>
        <v/>
      </c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>
        <f>IF(OR(D29="",E29=""),"",D29*E29)</f>
        <v/>
      </c>
      <c r="G29" s="15">
        <f>IF(F29="","",IF(F29&gt;=20,"Critical",IF(F29&gt;=12,"High",IF(F29&gt;=6,"Medium","Low"))))</f>
        <v/>
      </c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>
        <f>IF(OR(D30="",E30=""),"",D30*E30)</f>
        <v/>
      </c>
      <c r="G30" s="15">
        <f>IF(F30="","",IF(F30&gt;=20,"Critical",IF(F30&gt;=12,"High",IF(F30&gt;=6,"Medium","Low"))))</f>
        <v/>
      </c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>
        <f>IF(OR(D31="",E31=""),"",D31*E31)</f>
        <v/>
      </c>
      <c r="G31" s="15">
        <f>IF(F31="","",IF(F31&gt;=20,"Critical",IF(F31&gt;=12,"High",IF(F31&gt;=6,"Medium","Low"))))</f>
        <v/>
      </c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>
        <f>IF(OR(D32="",E32=""),"",D32*E32)</f>
        <v/>
      </c>
      <c r="G32" s="15">
        <f>IF(F32="","",IF(F32&gt;=20,"Critical",IF(F32&gt;=12,"High",IF(F32&gt;=6,"Medium","Low"))))</f>
        <v/>
      </c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>
        <f>IF(OR(D33="",E33=""),"",D33*E33)</f>
        <v/>
      </c>
      <c r="G33" s="15">
        <f>IF(F33="","",IF(F33&gt;=20,"Critical",IF(F33&gt;=12,"High",IF(F33&gt;=6,"Medium","Low"))))</f>
        <v/>
      </c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>
        <f>IF(OR(D34="",E34=""),"",D34*E34)</f>
        <v/>
      </c>
      <c r="G34" s="15">
        <f>IF(F34="","",IF(F34&gt;=20,"Critical",IF(F34&gt;=12,"High",IF(F34&gt;=6,"Medium","Low"))))</f>
        <v/>
      </c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>
        <f>IF(OR(D35="",E35=""),"",D35*E35)</f>
        <v/>
      </c>
      <c r="G35" s="15">
        <f>IF(F35="","",IF(F35&gt;=20,"Critical",IF(F35&gt;=12,"High",IF(F35&gt;=6,"Medium","Low"))))</f>
        <v/>
      </c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>
        <f>IF(OR(D36="",E36=""),"",D36*E36)</f>
        <v/>
      </c>
      <c r="G36" s="15">
        <f>IF(F36="","",IF(F36&gt;=20,"Critical",IF(F36&gt;=12,"High",IF(F36&gt;=6,"Medium","Low"))))</f>
        <v/>
      </c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>
        <f>IF(OR(D37="",E37=""),"",D37*E37)</f>
        <v/>
      </c>
      <c r="G37" s="15">
        <f>IF(F37="","",IF(F37&gt;=20,"Critical",IF(F37&gt;=12,"High",IF(F37&gt;=6,"Medium","Low"))))</f>
        <v/>
      </c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>
        <f>IF(OR(D38="",E38=""),"",D38*E38)</f>
        <v/>
      </c>
      <c r="G38" s="15">
        <f>IF(F38="","",IF(F38&gt;=20,"Critical",IF(F38&gt;=12,"High",IF(F38&gt;=6,"Medium","Low"))))</f>
        <v/>
      </c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>
        <f>IF(OR(D39="",E39=""),"",D39*E39)</f>
        <v/>
      </c>
      <c r="G39" s="15">
        <f>IF(F39="","",IF(F39&gt;=20,"Critical",IF(F39&gt;=12,"High",IF(F39&gt;=6,"Medium","Low"))))</f>
        <v/>
      </c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>
        <f>IF(OR(D40="",E40=""),"",D40*E40)</f>
        <v/>
      </c>
      <c r="G40" s="15">
        <f>IF(F40="","",IF(F40&gt;=20,"Critical",IF(F40&gt;=12,"High",IF(F40&gt;=6,"Medium","Low"))))</f>
        <v/>
      </c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>
        <f>IF(OR(D41="",E41=""),"",D41*E41)</f>
        <v/>
      </c>
      <c r="G41" s="15">
        <f>IF(F41="","",IF(F41&gt;=20,"Critical",IF(F41&gt;=12,"High",IF(F41&gt;=6,"Medium","Low"))))</f>
        <v/>
      </c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>
        <f>IF(OR(D42="",E42=""),"",D42*E42)</f>
        <v/>
      </c>
      <c r="G42" s="15">
        <f>IF(F42="","",IF(F42&gt;=20,"Critical",IF(F42&gt;=12,"High",IF(F42&gt;=6,"Medium","Low"))))</f>
        <v/>
      </c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>
        <f>IF(OR(D43="",E43=""),"",D43*E43)</f>
        <v/>
      </c>
      <c r="G43" s="15">
        <f>IF(F43="","",IF(F43&gt;=20,"Critical",IF(F43&gt;=12,"High",IF(F43&gt;=6,"Medium","Low"))))</f>
        <v/>
      </c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>
        <f>IF(OR(D44="",E44=""),"",D44*E44)</f>
        <v/>
      </c>
      <c r="G44" s="15">
        <f>IF(F44="","",IF(F44&gt;=20,"Critical",IF(F44&gt;=12,"High",IF(F44&gt;=6,"Medium","Low"))))</f>
        <v/>
      </c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>
        <f>IF(OR(D45="",E45=""),"",D45*E45)</f>
        <v/>
      </c>
      <c r="G45" s="15">
        <f>IF(F45="","",IF(F45&gt;=20,"Critical",IF(F45&gt;=12,"High",IF(F45&gt;=6,"Medium","Low"))))</f>
        <v/>
      </c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>
        <f>IF(OR(D46="",E46=""),"",D46*E46)</f>
        <v/>
      </c>
      <c r="G46" s="15">
        <f>IF(F46="","",IF(F46&gt;=20,"Critical",IF(F46&gt;=12,"High",IF(F46&gt;=6,"Medium","Low"))))</f>
        <v/>
      </c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>
        <f>IF(OR(D47="",E47=""),"",D47*E47)</f>
        <v/>
      </c>
      <c r="G47" s="15">
        <f>IF(F47="","",IF(F47&gt;=20,"Critical",IF(F47&gt;=12,"High",IF(F47&gt;=6,"Medium","Low"))))</f>
        <v/>
      </c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>
        <f>IF(OR(D48="",E48=""),"",D48*E48)</f>
        <v/>
      </c>
      <c r="G48" s="15">
        <f>IF(F48="","",IF(F48&gt;=20,"Critical",IF(F48&gt;=12,"High",IF(F48&gt;=6,"Medium","Low"))))</f>
        <v/>
      </c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>
        <f>IF(OR(D49="",E49=""),"",D49*E49)</f>
        <v/>
      </c>
      <c r="G49" s="15">
        <f>IF(F49="","",IF(F49&gt;=20,"Critical",IF(F49&gt;=12,"High",IF(F49&gt;=6,"Medium","Low"))))</f>
        <v/>
      </c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>
        <f>IF(OR(D50="",E50=""),"",D50*E50)</f>
        <v/>
      </c>
      <c r="G50" s="15">
        <f>IF(F50="","",IF(F50&gt;=20,"Critical",IF(F50&gt;=12,"High",IF(F50&gt;=6,"Medium","Low"))))</f>
        <v/>
      </c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>
        <f>IF(OR(D51="",E51=""),"",D51*E51)</f>
        <v/>
      </c>
      <c r="G51" s="15">
        <f>IF(F51="","",IF(F51&gt;=20,"Critical",IF(F51&gt;=12,"High",IF(F51&gt;=6,"Medium","Low"))))</f>
        <v/>
      </c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>
        <f>IF(OR(D52="",E52=""),"",D52*E52)</f>
        <v/>
      </c>
      <c r="G52" s="15">
        <f>IF(F52="","",IF(F52&gt;=20,"Critical",IF(F52&gt;=12,"High",IF(F52&gt;=6,"Medium","Low"))))</f>
        <v/>
      </c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>
        <f>IF(OR(D53="",E53=""),"",D53*E53)</f>
        <v/>
      </c>
      <c r="G53" s="15">
        <f>IF(F53="","",IF(F53&gt;=20,"Critical",IF(F53&gt;=12,"High",IF(F53&gt;=6,"Medium","Low"))))</f>
        <v/>
      </c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>
        <f>IF(OR(D54="",E54=""),"",D54*E54)</f>
        <v/>
      </c>
      <c r="G54" s="15">
        <f>IF(F54="","",IF(F54&gt;=20,"Critical",IF(F54&gt;=12,"High",IF(F54&gt;=6,"Medium","Low"))))</f>
        <v/>
      </c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>
        <f>IF(OR(D55="",E55=""),"",D55*E55)</f>
        <v/>
      </c>
      <c r="G55" s="15">
        <f>IF(F55="","",IF(F55&gt;=20,"Critical",IF(F55&gt;=12,"High",IF(F55&gt;=6,"Medium","Low"))))</f>
        <v/>
      </c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>
        <f>IF(OR(D56="",E56=""),"",D56*E56)</f>
        <v/>
      </c>
      <c r="G56" s="15">
        <f>IF(F56="","",IF(F56&gt;=20,"Critical",IF(F56&gt;=12,"High",IF(F56&gt;=6,"Medium","Low"))))</f>
        <v/>
      </c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>
        <f>IF(OR(D57="",E57=""),"",D57*E57)</f>
        <v/>
      </c>
      <c r="G57" s="15">
        <f>IF(F57="","",IF(F57&gt;=20,"Critical",IF(F57&gt;=12,"High",IF(F57&gt;=6,"Medium","Low"))))</f>
        <v/>
      </c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>
        <f>IF(OR(D58="",E58=""),"",D58*E58)</f>
        <v/>
      </c>
      <c r="G58" s="15">
        <f>IF(F58="","",IF(F58&gt;=20,"Critical",IF(F58&gt;=12,"High",IF(F58&gt;=6,"Medium","Low"))))</f>
        <v/>
      </c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>
        <f>IF(OR(D59="",E59=""),"",D59*E59)</f>
        <v/>
      </c>
      <c r="G59" s="15">
        <f>IF(F59="","",IF(F59&gt;=20,"Critical",IF(F59&gt;=12,"High",IF(F59&gt;=6,"Medium","Low"))))</f>
        <v/>
      </c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>
        <f>IF(OR(D60="",E60=""),"",D60*E60)</f>
        <v/>
      </c>
      <c r="G60" s="15">
        <f>IF(F60="","",IF(F60&gt;=20,"Critical",IF(F60&gt;=12,"High",IF(F60&gt;=6,"Medium","Low"))))</f>
        <v/>
      </c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>
        <f>IF(OR(D61="",E61=""),"",D61*E61)</f>
        <v/>
      </c>
      <c r="G61" s="15">
        <f>IF(F61="","",IF(F61&gt;=20,"Critical",IF(F61&gt;=12,"High",IF(F61&gt;=6,"Medium","Low"))))</f>
        <v/>
      </c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>
        <f>IF(OR(D62="",E62=""),"",D62*E62)</f>
        <v/>
      </c>
      <c r="G62" s="15">
        <f>IF(F62="","",IF(F62&gt;=20,"Critical",IF(F62&gt;=12,"High",IF(F62&gt;=6,"Medium","Low"))))</f>
        <v/>
      </c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>
        <f>IF(OR(D63="",E63=""),"",D63*E63)</f>
        <v/>
      </c>
      <c r="G63" s="15">
        <f>IF(F63="","",IF(F63&gt;=20,"Critical",IF(F63&gt;=12,"High",IF(F63&gt;=6,"Medium","Low"))))</f>
        <v/>
      </c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>
        <f>IF(OR(D64="",E64=""),"",D64*E64)</f>
        <v/>
      </c>
      <c r="G64" s="15">
        <f>IF(F64="","",IF(F64&gt;=20,"Critical",IF(F64&gt;=12,"High",IF(F64&gt;=6,"Medium","Low"))))</f>
        <v/>
      </c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>
        <f>IF(OR(D65="",E65=""),"",D65*E65)</f>
        <v/>
      </c>
      <c r="G65" s="15">
        <f>IF(F65="","",IF(F65&gt;=20,"Critical",IF(F65&gt;=12,"High",IF(F65&gt;=6,"Medium","Low"))))</f>
        <v/>
      </c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>
        <f>IF(OR(D66="",E66=""),"",D66*E66)</f>
        <v/>
      </c>
      <c r="G66" s="15">
        <f>IF(F66="","",IF(F66&gt;=20,"Critical",IF(F66&gt;=12,"High",IF(F66&gt;=6,"Medium","Low"))))</f>
        <v/>
      </c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>
        <f>IF(OR(D67="",E67=""),"",D67*E67)</f>
        <v/>
      </c>
      <c r="G67" s="15">
        <f>IF(F67="","",IF(F67&gt;=20,"Critical",IF(F67&gt;=12,"High",IF(F67&gt;=6,"Medium","Low"))))</f>
        <v/>
      </c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>
        <f>IF(OR(D68="",E68=""),"",D68*E68)</f>
        <v/>
      </c>
      <c r="G68" s="15">
        <f>IF(F68="","",IF(F68&gt;=20,"Critical",IF(F68&gt;=12,"High",IF(F68&gt;=6,"Medium","Low"))))</f>
        <v/>
      </c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>
        <f>IF(OR(D69="",E69=""),"",D69*E69)</f>
        <v/>
      </c>
      <c r="G69" s="15">
        <f>IF(F69="","",IF(F69&gt;=20,"Critical",IF(F69&gt;=12,"High",IF(F69&gt;=6,"Medium","Low"))))</f>
        <v/>
      </c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>
        <f>IF(OR(D70="",E70=""),"",D70*E70)</f>
        <v/>
      </c>
      <c r="G70" s="15">
        <f>IF(F70="","",IF(F70&gt;=20,"Critical",IF(F70&gt;=12,"High",IF(F70&gt;=6,"Medium","Low"))))</f>
        <v/>
      </c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>
        <f>IF(OR(D71="",E71=""),"",D71*E71)</f>
        <v/>
      </c>
      <c r="G71" s="15">
        <f>IF(F71="","",IF(F71&gt;=20,"Critical",IF(F71&gt;=12,"High",IF(F71&gt;=6,"Medium","Low"))))</f>
        <v/>
      </c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>
        <f>IF(OR(D72="",E72=""),"",D72*E72)</f>
        <v/>
      </c>
      <c r="G72" s="15">
        <f>IF(F72="","",IF(F72&gt;=20,"Critical",IF(F72&gt;=12,"High",IF(F72&gt;=6,"Medium","Low"))))</f>
        <v/>
      </c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>
        <f>IF(OR(D73="",E73=""),"",D73*E73)</f>
        <v/>
      </c>
      <c r="G73" s="15">
        <f>IF(F73="","",IF(F73&gt;=20,"Critical",IF(F73&gt;=12,"High",IF(F73&gt;=6,"Medium","Low"))))</f>
        <v/>
      </c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>
        <f>IF(OR(D74="",E74=""),"",D74*E74)</f>
        <v/>
      </c>
      <c r="G74" s="15">
        <f>IF(F74="","",IF(F74&gt;=20,"Critical",IF(F74&gt;=12,"High",IF(F74&gt;=6,"Medium","Low"))))</f>
        <v/>
      </c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>
        <f>IF(OR(D75="",E75=""),"",D75*E75)</f>
        <v/>
      </c>
      <c r="G75" s="15">
        <f>IF(F75="","",IF(F75&gt;=20,"Critical",IF(F75&gt;=12,"High",IF(F75&gt;=6,"Medium","Low"))))</f>
        <v/>
      </c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>
        <f>IF(OR(D76="",E76=""),"",D76*E76)</f>
        <v/>
      </c>
      <c r="G76" s="15">
        <f>IF(F76="","",IF(F76&gt;=20,"Critical",IF(F76&gt;=12,"High",IF(F76&gt;=6,"Medium","Low"))))</f>
        <v/>
      </c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>
        <f>IF(OR(D77="",E77=""),"",D77*E77)</f>
        <v/>
      </c>
      <c r="G77" s="15">
        <f>IF(F77="","",IF(F77&gt;=20,"Critical",IF(F77&gt;=12,"High",IF(F77&gt;=6,"Medium","Low"))))</f>
        <v/>
      </c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>
        <f>IF(OR(D78="",E78=""),"",D78*E78)</f>
        <v/>
      </c>
      <c r="G78" s="15">
        <f>IF(F78="","",IF(F78&gt;=20,"Critical",IF(F78&gt;=12,"High",IF(F78&gt;=6,"Medium","Low"))))</f>
        <v/>
      </c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>
        <f>IF(OR(D79="",E79=""),"",D79*E79)</f>
        <v/>
      </c>
      <c r="G79" s="15">
        <f>IF(F79="","",IF(F79&gt;=20,"Critical",IF(F79&gt;=12,"High",IF(F79&gt;=6,"Medium","Low"))))</f>
        <v/>
      </c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>
        <f>IF(OR(D80="",E80=""),"",D80*E80)</f>
        <v/>
      </c>
      <c r="G80" s="15">
        <f>IF(F80="","",IF(F80&gt;=20,"Critical",IF(F80&gt;=12,"High",IF(F80&gt;=6,"Medium","Low"))))</f>
        <v/>
      </c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>
        <f>IF(OR(D81="",E81=""),"",D81*E81)</f>
        <v/>
      </c>
      <c r="G81" s="15">
        <f>IF(F81="","",IF(F81&gt;=20,"Critical",IF(F81&gt;=12,"High",IF(F81&gt;=6,"Medium","Low"))))</f>
        <v/>
      </c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>
        <f>IF(OR(D82="",E82=""),"",D82*E82)</f>
        <v/>
      </c>
      <c r="G82" s="15">
        <f>IF(F82="","",IF(F82&gt;=20,"Critical",IF(F82&gt;=12,"High",IF(F82&gt;=6,"Medium","Low"))))</f>
        <v/>
      </c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>
        <f>IF(OR(D83="",E83=""),"",D83*E83)</f>
        <v/>
      </c>
      <c r="G83" s="15">
        <f>IF(F83="","",IF(F83&gt;=20,"Critical",IF(F83&gt;=12,"High",IF(F83&gt;=6,"Medium","Low"))))</f>
        <v/>
      </c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>
        <f>IF(OR(D84="",E84=""),"",D84*E84)</f>
        <v/>
      </c>
      <c r="G84" s="15">
        <f>IF(F84="","",IF(F84&gt;=20,"Critical",IF(F84&gt;=12,"High",IF(F84&gt;=6,"Medium","Low"))))</f>
        <v/>
      </c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>
        <f>IF(OR(D85="",E85=""),"",D85*E85)</f>
        <v/>
      </c>
      <c r="G85" s="15">
        <f>IF(F85="","",IF(F85&gt;=20,"Critical",IF(F85&gt;=12,"High",IF(F85&gt;=6,"Medium","Low"))))</f>
        <v/>
      </c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>
        <f>IF(OR(D86="",E86=""),"",D86*E86)</f>
        <v/>
      </c>
      <c r="G86" s="15">
        <f>IF(F86="","",IF(F86&gt;=20,"Critical",IF(F86&gt;=12,"High",IF(F86&gt;=6,"Medium","Low"))))</f>
        <v/>
      </c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>
        <f>IF(OR(D87="",E87=""),"",D87*E87)</f>
        <v/>
      </c>
      <c r="G87" s="15">
        <f>IF(F87="","",IF(F87&gt;=20,"Critical",IF(F87&gt;=12,"High",IF(F87&gt;=6,"Medium","Low"))))</f>
        <v/>
      </c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>
        <f>IF(OR(D88="",E88=""),"",D88*E88)</f>
        <v/>
      </c>
      <c r="G88" s="15">
        <f>IF(F88="","",IF(F88&gt;=20,"Critical",IF(F88&gt;=12,"High",IF(F88&gt;=6,"Medium","Low"))))</f>
        <v/>
      </c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>
        <f>IF(OR(D89="",E89=""),"",D89*E89)</f>
        <v/>
      </c>
      <c r="G89" s="15">
        <f>IF(F89="","",IF(F89&gt;=20,"Critical",IF(F89&gt;=12,"High",IF(F89&gt;=6,"Medium","Low"))))</f>
        <v/>
      </c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>
        <f>IF(OR(D90="",E90=""),"",D90*E90)</f>
        <v/>
      </c>
      <c r="G90" s="15">
        <f>IF(F90="","",IF(F90&gt;=20,"Critical",IF(F90&gt;=12,"High",IF(F90&gt;=6,"Medium","Low"))))</f>
        <v/>
      </c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>
        <f>IF(OR(D91="",E91=""),"",D91*E91)</f>
        <v/>
      </c>
      <c r="G91" s="15">
        <f>IF(F91="","",IF(F91&gt;=20,"Critical",IF(F91&gt;=12,"High",IF(F91&gt;=6,"Medium","Low"))))</f>
        <v/>
      </c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>
        <f>IF(OR(D92="",E92=""),"",D92*E92)</f>
        <v/>
      </c>
      <c r="G92" s="15">
        <f>IF(F92="","",IF(F92&gt;=20,"Critical",IF(F92&gt;=12,"High",IF(F92&gt;=6,"Medium","Low"))))</f>
        <v/>
      </c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>
        <f>IF(OR(D93="",E93=""),"",D93*E93)</f>
        <v/>
      </c>
      <c r="G93" s="15">
        <f>IF(F93="","",IF(F93&gt;=20,"Critical",IF(F93&gt;=12,"High",IF(F93&gt;=6,"Medium","Low"))))</f>
        <v/>
      </c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>
        <f>IF(OR(D94="",E94=""),"",D94*E94)</f>
        <v/>
      </c>
      <c r="G94" s="15">
        <f>IF(F94="","",IF(F94&gt;=20,"Critical",IF(F94&gt;=12,"High",IF(F94&gt;=6,"Medium","Low"))))</f>
        <v/>
      </c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>
        <f>IF(OR(D95="",E95=""),"",D95*E95)</f>
        <v/>
      </c>
      <c r="G95" s="15">
        <f>IF(F95="","",IF(F95&gt;=20,"Critical",IF(F95&gt;=12,"High",IF(F95&gt;=6,"Medium","Low"))))</f>
        <v/>
      </c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>
        <f>IF(OR(D96="",E96=""),"",D96*E96)</f>
        <v/>
      </c>
      <c r="G96" s="15">
        <f>IF(F96="","",IF(F96&gt;=20,"Critical",IF(F96&gt;=12,"High",IF(F96&gt;=6,"Medium","Low"))))</f>
        <v/>
      </c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>
        <f>IF(OR(D97="",E97=""),"",D97*E97)</f>
        <v/>
      </c>
      <c r="G97" s="15">
        <f>IF(F97="","",IF(F97&gt;=20,"Critical",IF(F97&gt;=12,"High",IF(F97&gt;=6,"Medium","Low"))))</f>
        <v/>
      </c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>
        <f>IF(OR(D98="",E98=""),"",D98*E98)</f>
        <v/>
      </c>
      <c r="G98" s="15">
        <f>IF(F98="","",IF(F98&gt;=20,"Critical",IF(F98&gt;=12,"High",IF(F98&gt;=6,"Medium","Low"))))</f>
        <v/>
      </c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>
        <f>IF(OR(D99="",E99=""),"",D99*E99)</f>
        <v/>
      </c>
      <c r="G99" s="15">
        <f>IF(F99="","",IF(F99&gt;=20,"Critical",IF(F99&gt;=12,"High",IF(F99&gt;=6,"Medium","Low"))))</f>
        <v/>
      </c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>
        <f>IF(OR(D100="",E100=""),"",D100*E100)</f>
        <v/>
      </c>
      <c r="G100" s="15">
        <f>IF(F100="","",IF(F100&gt;=20,"Critical",IF(F100&gt;=12,"High",IF(F100&gt;=6,"Medium","Low"))))</f>
        <v/>
      </c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>
        <f>IF(OR(D101="",E101=""),"",D101*E101)</f>
        <v/>
      </c>
      <c r="G101" s="15">
        <f>IF(F101="","",IF(F101&gt;=20,"Critical",IF(F101&gt;=12,"High",IF(F101&gt;=6,"Medium","Low"))))</f>
        <v/>
      </c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>
        <f>IF(OR(D102="",E102=""),"",D102*E102)</f>
        <v/>
      </c>
      <c r="G102" s="15">
        <f>IF(F102="","",IF(F102&gt;=20,"Critical",IF(F102&gt;=12,"High",IF(F102&gt;=6,"Medium","Low"))))</f>
        <v/>
      </c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>
        <f>IF(OR(D103="",E103=""),"",D103*E103)</f>
        <v/>
      </c>
      <c r="G103" s="15">
        <f>IF(F103="","",IF(F103&gt;=20,"Critical",IF(F103&gt;=12,"High",IF(F103&gt;=6,"Medium","Low"))))</f>
        <v/>
      </c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>
        <f>IF(OR(D104="",E104=""),"",D104*E104)</f>
        <v/>
      </c>
      <c r="G104" s="15">
        <f>IF(F104="","",IF(F104&gt;=20,"Critical",IF(F104&gt;=12,"High",IF(F104&gt;=6,"Medium","Low"))))</f>
        <v/>
      </c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>
        <f>IF(OR(D105="",E105=""),"",D105*E105)</f>
        <v/>
      </c>
      <c r="G105" s="15">
        <f>IF(F105="","",IF(F105&gt;=20,"Critical",IF(F105&gt;=12,"High",IF(F105&gt;=6,"Medium","Low"))))</f>
        <v/>
      </c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>
        <f>IF(OR(D106="",E106=""),"",D106*E106)</f>
        <v/>
      </c>
      <c r="G106" s="15">
        <f>IF(F106="","",IF(F106&gt;=20,"Critical",IF(F106&gt;=12,"High",IF(F106&gt;=6,"Medium","Low"))))</f>
        <v/>
      </c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>
        <f>IF(OR(D107="",E107=""),"",D107*E107)</f>
        <v/>
      </c>
      <c r="G107" s="15">
        <f>IF(F107="","",IF(F107&gt;=20,"Critical",IF(F107&gt;=12,"High",IF(F107&gt;=6,"Medium","Low"))))</f>
        <v/>
      </c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>
        <f>IF(OR(D108="",E108=""),"",D108*E108)</f>
        <v/>
      </c>
      <c r="G108" s="15">
        <f>IF(F108="","",IF(F108&gt;=20,"Critical",IF(F108&gt;=12,"High",IF(F108&gt;=6,"Medium","Low"))))</f>
        <v/>
      </c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>
        <f>IF(OR(D109="",E109=""),"",D109*E109)</f>
        <v/>
      </c>
      <c r="G109" s="15">
        <f>IF(F109="","",IF(F109&gt;=20,"Critical",IF(F109&gt;=12,"High",IF(F109&gt;=6,"Medium","Low"))))</f>
        <v/>
      </c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>
        <f>IF(OR(D110="",E110=""),"",D110*E110)</f>
        <v/>
      </c>
      <c r="G110" s="15">
        <f>IF(F110="","",IF(F110&gt;=20,"Critical",IF(F110&gt;=12,"High",IF(F110&gt;=6,"Medium","Low"))))</f>
        <v/>
      </c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>
        <f>IF(OR(D111="",E111=""),"",D111*E111)</f>
        <v/>
      </c>
      <c r="G111" s="15">
        <f>IF(F111="","",IF(F111&gt;=20,"Critical",IF(F111&gt;=12,"High",IF(F111&gt;=6,"Medium","Low"))))</f>
        <v/>
      </c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>
        <f>IF(OR(D112="",E112=""),"",D112*E112)</f>
        <v/>
      </c>
      <c r="G112" s="15">
        <f>IF(F112="","",IF(F112&gt;=20,"Critical",IF(F112&gt;=12,"High",IF(F112&gt;=6,"Medium","Low"))))</f>
        <v/>
      </c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>
        <f>IF(OR(D113="",E113=""),"",D113*E113)</f>
        <v/>
      </c>
      <c r="G113" s="15">
        <f>IF(F113="","",IF(F113&gt;=20,"Critical",IF(F113&gt;=12,"High",IF(F113&gt;=6,"Medium","Low"))))</f>
        <v/>
      </c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>
        <f>IF(OR(D114="",E114=""),"",D114*E114)</f>
        <v/>
      </c>
      <c r="G114" s="15">
        <f>IF(F114="","",IF(F114&gt;=20,"Critical",IF(F114&gt;=12,"High",IF(F114&gt;=6,"Medium","Low"))))</f>
        <v/>
      </c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>
        <f>IF(OR(D115="",E115=""),"",D115*E115)</f>
        <v/>
      </c>
      <c r="G115" s="15">
        <f>IF(F115="","",IF(F115&gt;=20,"Critical",IF(F115&gt;=12,"High",IF(F115&gt;=6,"Medium","Low"))))</f>
        <v/>
      </c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>
        <f>IF(OR(D116="",E116=""),"",D116*E116)</f>
        <v/>
      </c>
      <c r="G116" s="15">
        <f>IF(F116="","",IF(F116&gt;=20,"Critical",IF(F116&gt;=12,"High",IF(F116&gt;=6,"Medium","Low"))))</f>
        <v/>
      </c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>
        <f>IF(OR(D117="",E117=""),"",D117*E117)</f>
        <v/>
      </c>
      <c r="G117" s="15">
        <f>IF(F117="","",IF(F117&gt;=20,"Critical",IF(F117&gt;=12,"High",IF(F117&gt;=6,"Medium","Low"))))</f>
        <v/>
      </c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>
        <f>IF(OR(D118="",E118=""),"",D118*E118)</f>
        <v/>
      </c>
      <c r="G118" s="15">
        <f>IF(F118="","",IF(F118&gt;=20,"Critical",IF(F118&gt;=12,"High",IF(F118&gt;=6,"Medium","Low"))))</f>
        <v/>
      </c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>
        <f>IF(OR(D119="",E119=""),"",D119*E119)</f>
        <v/>
      </c>
      <c r="G119" s="15">
        <f>IF(F119="","",IF(F119&gt;=20,"Critical",IF(F119&gt;=12,"High",IF(F119&gt;=6,"Medium","Low"))))</f>
        <v/>
      </c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>
        <f>IF(OR(D120="",E120=""),"",D120*E120)</f>
        <v/>
      </c>
      <c r="G120" s="15">
        <f>IF(F120="","",IF(F120&gt;=20,"Critical",IF(F120&gt;=12,"High",IF(F120&gt;=6,"Medium","Low"))))</f>
        <v/>
      </c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>
        <f>IF(OR(D121="",E121=""),"",D121*E121)</f>
        <v/>
      </c>
      <c r="G121" s="15">
        <f>IF(F121="","",IF(F121&gt;=20,"Critical",IF(F121&gt;=12,"High",IF(F121&gt;=6,"Medium","Low"))))</f>
        <v/>
      </c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>
        <f>IF(OR(D122="",E122=""),"",D122*E122)</f>
        <v/>
      </c>
      <c r="G122" s="15">
        <f>IF(F122="","",IF(F122&gt;=20,"Critical",IF(F122&gt;=12,"High",IF(F122&gt;=6,"Medium","Low"))))</f>
        <v/>
      </c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>
        <f>IF(OR(D123="",E123=""),"",D123*E123)</f>
        <v/>
      </c>
      <c r="G123" s="15">
        <f>IF(F123="","",IF(F123&gt;=20,"Critical",IF(F123&gt;=12,"High",IF(F123&gt;=6,"Medium","Low"))))</f>
        <v/>
      </c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>
        <f>IF(OR(D124="",E124=""),"",D124*E124)</f>
        <v/>
      </c>
      <c r="G124" s="15">
        <f>IF(F124="","",IF(F124&gt;=20,"Critical",IF(F124&gt;=12,"High",IF(F124&gt;=6,"Medium","Low"))))</f>
        <v/>
      </c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>
        <f>IF(OR(D125="",E125=""),"",D125*E125)</f>
        <v/>
      </c>
      <c r="G125" s="15">
        <f>IF(F125="","",IF(F125&gt;=20,"Critical",IF(F125&gt;=12,"High",IF(F125&gt;=6,"Medium","Low"))))</f>
        <v/>
      </c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>
        <f>IF(OR(D126="",E126=""),"",D126*E126)</f>
        <v/>
      </c>
      <c r="G126" s="15">
        <f>IF(F126="","",IF(F126&gt;=20,"Critical",IF(F126&gt;=12,"High",IF(F126&gt;=6,"Medium","Low"))))</f>
        <v/>
      </c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>
        <f>IF(OR(D127="",E127=""),"",D127*E127)</f>
        <v/>
      </c>
      <c r="G127" s="15">
        <f>IF(F127="","",IF(F127&gt;=20,"Critical",IF(F127&gt;=12,"High",IF(F127&gt;=6,"Medium","Low"))))</f>
        <v/>
      </c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>
        <f>IF(OR(D128="",E128=""),"",D128*E128)</f>
        <v/>
      </c>
      <c r="G128" s="15">
        <f>IF(F128="","",IF(F128&gt;=20,"Critical",IF(F128&gt;=12,"High",IF(F128&gt;=6,"Medium","Low"))))</f>
        <v/>
      </c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>
        <f>IF(OR(D129="",E129=""),"",D129*E129)</f>
        <v/>
      </c>
      <c r="G129" s="15">
        <f>IF(F129="","",IF(F129&gt;=20,"Critical",IF(F129&gt;=12,"High",IF(F129&gt;=6,"Medium","Low"))))</f>
        <v/>
      </c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>
        <f>IF(OR(D130="",E130=""),"",D130*E130)</f>
        <v/>
      </c>
      <c r="G130" s="15">
        <f>IF(F130="","",IF(F130&gt;=20,"Critical",IF(F130&gt;=12,"High",IF(F130&gt;=6,"Medium","Low"))))</f>
        <v/>
      </c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>
        <f>IF(OR(D131="",E131=""),"",D131*E131)</f>
        <v/>
      </c>
      <c r="G131" s="15">
        <f>IF(F131="","",IF(F131&gt;=20,"Critical",IF(F131&gt;=12,"High",IF(F131&gt;=6,"Medium","Low"))))</f>
        <v/>
      </c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>
        <f>IF(OR(D132="",E132=""),"",D132*E132)</f>
        <v/>
      </c>
      <c r="G132" s="15">
        <f>IF(F132="","",IF(F132&gt;=20,"Critical",IF(F132&gt;=12,"High",IF(F132&gt;=6,"Medium","Low"))))</f>
        <v/>
      </c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>
        <f>IF(OR(D133="",E133=""),"",D133*E133)</f>
        <v/>
      </c>
      <c r="G133" s="15">
        <f>IF(F133="","",IF(F133&gt;=20,"Critical",IF(F133&gt;=12,"High",IF(F133&gt;=6,"Medium","Low"))))</f>
        <v/>
      </c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>
        <f>IF(OR(D134="",E134=""),"",D134*E134)</f>
        <v/>
      </c>
      <c r="G134" s="15">
        <f>IF(F134="","",IF(F134&gt;=20,"Critical",IF(F134&gt;=12,"High",IF(F134&gt;=6,"Medium","Low"))))</f>
        <v/>
      </c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>
        <f>IF(OR(D135="",E135=""),"",D135*E135)</f>
        <v/>
      </c>
      <c r="G135" s="15">
        <f>IF(F135="","",IF(F135&gt;=20,"Critical",IF(F135&gt;=12,"High",IF(F135&gt;=6,"Medium","Low"))))</f>
        <v/>
      </c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>
        <f>IF(OR(D136="",E136=""),"",D136*E136)</f>
        <v/>
      </c>
      <c r="G136" s="15">
        <f>IF(F136="","",IF(F136&gt;=20,"Critical",IF(F136&gt;=12,"High",IF(F136&gt;=6,"Medium","Low"))))</f>
        <v/>
      </c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>
        <f>IF(OR(D137="",E137=""),"",D137*E137)</f>
        <v/>
      </c>
      <c r="G137" s="15">
        <f>IF(F137="","",IF(F137&gt;=20,"Critical",IF(F137&gt;=12,"High",IF(F137&gt;=6,"Medium","Low"))))</f>
        <v/>
      </c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>
        <f>IF(OR(D138="",E138=""),"",D138*E138)</f>
        <v/>
      </c>
      <c r="G138" s="15">
        <f>IF(F138="","",IF(F138&gt;=20,"Critical",IF(F138&gt;=12,"High",IF(F138&gt;=6,"Medium","Low"))))</f>
        <v/>
      </c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>
        <f>IF(OR(D139="",E139=""),"",D139*E139)</f>
        <v/>
      </c>
      <c r="G139" s="15">
        <f>IF(F139="","",IF(F139&gt;=20,"Critical",IF(F139&gt;=12,"High",IF(F139&gt;=6,"Medium","Low"))))</f>
        <v/>
      </c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>
        <f>IF(OR(D140="",E140=""),"",D140*E140)</f>
        <v/>
      </c>
      <c r="G140" s="15">
        <f>IF(F140="","",IF(F140&gt;=20,"Critical",IF(F140&gt;=12,"High",IF(F140&gt;=6,"Medium","Low"))))</f>
        <v/>
      </c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>
        <f>IF(OR(D141="",E141=""),"",D141*E141)</f>
        <v/>
      </c>
      <c r="G141" s="15">
        <f>IF(F141="","",IF(F141&gt;=20,"Critical",IF(F141&gt;=12,"High",IF(F141&gt;=6,"Medium","Low"))))</f>
        <v/>
      </c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>
        <f>IF(OR(D142="",E142=""),"",D142*E142)</f>
        <v/>
      </c>
      <c r="G142" s="15">
        <f>IF(F142="","",IF(F142&gt;=20,"Critical",IF(F142&gt;=12,"High",IF(F142&gt;=6,"Medium","Low"))))</f>
        <v/>
      </c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>
        <f>IF(OR(D143="",E143=""),"",D143*E143)</f>
        <v/>
      </c>
      <c r="G143" s="15">
        <f>IF(F143="","",IF(F143&gt;=20,"Critical",IF(F143&gt;=12,"High",IF(F143&gt;=6,"Medium","Low"))))</f>
        <v/>
      </c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>
        <f>IF(OR(D144="",E144=""),"",D144*E144)</f>
        <v/>
      </c>
      <c r="G144" s="15">
        <f>IF(F144="","",IF(F144&gt;=20,"Critical",IF(F144&gt;=12,"High",IF(F144&gt;=6,"Medium","Low"))))</f>
        <v/>
      </c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>
        <f>IF(OR(D145="",E145=""),"",D145*E145)</f>
        <v/>
      </c>
      <c r="G145" s="15">
        <f>IF(F145="","",IF(F145&gt;=20,"Critical",IF(F145&gt;=12,"High",IF(F145&gt;=6,"Medium","Low"))))</f>
        <v/>
      </c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>
        <f>IF(OR(D146="",E146=""),"",D146*E146)</f>
        <v/>
      </c>
      <c r="G146" s="15">
        <f>IF(F146="","",IF(F146&gt;=20,"Critical",IF(F146&gt;=12,"High",IF(F146&gt;=6,"Medium","Low"))))</f>
        <v/>
      </c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>
        <f>IF(OR(D147="",E147=""),"",D147*E147)</f>
        <v/>
      </c>
      <c r="G147" s="15">
        <f>IF(F147="","",IF(F147&gt;=20,"Critical",IF(F147&gt;=12,"High",IF(F147&gt;=6,"Medium","Low"))))</f>
        <v/>
      </c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>
        <f>IF(OR(D148="",E148=""),"",D148*E148)</f>
        <v/>
      </c>
      <c r="G148" s="15">
        <f>IF(F148="","",IF(F148&gt;=20,"Critical",IF(F148&gt;=12,"High",IF(F148&gt;=6,"Medium","Low"))))</f>
        <v/>
      </c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>
        <f>IF(OR(D149="",E149=""),"",D149*E149)</f>
        <v/>
      </c>
      <c r="G149" s="15">
        <f>IF(F149="","",IF(F149&gt;=20,"Critical",IF(F149&gt;=12,"High",IF(F149&gt;=6,"Medium","Low"))))</f>
        <v/>
      </c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>
        <f>IF(OR(D150="",E150=""),"",D150*E150)</f>
        <v/>
      </c>
      <c r="G150" s="15">
        <f>IF(F150="","",IF(F150&gt;=20,"Critical",IF(F150&gt;=12,"High",IF(F150&gt;=6,"Medium","Low"))))</f>
        <v/>
      </c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>
        <f>IF(OR(D151="",E151=""),"",D151*E151)</f>
        <v/>
      </c>
      <c r="G151" s="15">
        <f>IF(F151="","",IF(F151&gt;=20,"Critical",IF(F151&gt;=12,"High",IF(F151&gt;=6,"Medium","Low"))))</f>
        <v/>
      </c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>
        <f>IF(OR(D152="",E152=""),"",D152*E152)</f>
        <v/>
      </c>
      <c r="G152" s="15">
        <f>IF(F152="","",IF(F152&gt;=20,"Critical",IF(F152&gt;=12,"High",IF(F152&gt;=6,"Medium","Low"))))</f>
        <v/>
      </c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>
        <f>IF(OR(D153="",E153=""),"",D153*E153)</f>
        <v/>
      </c>
      <c r="G153" s="15">
        <f>IF(F153="","",IF(F153&gt;=20,"Critical",IF(F153&gt;=12,"High",IF(F153&gt;=6,"Medium","Low"))))</f>
        <v/>
      </c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>
        <f>IF(OR(D154="",E154=""),"",D154*E154)</f>
        <v/>
      </c>
      <c r="G154" s="15">
        <f>IF(F154="","",IF(F154&gt;=20,"Critical",IF(F154&gt;=12,"High",IF(F154&gt;=6,"Medium","Low"))))</f>
        <v/>
      </c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>
        <f>IF(OR(D155="",E155=""),"",D155*E155)</f>
        <v/>
      </c>
      <c r="G155" s="15">
        <f>IF(F155="","",IF(F155&gt;=20,"Critical",IF(F155&gt;=12,"High",IF(F155&gt;=6,"Medium","Low"))))</f>
        <v/>
      </c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>
        <f>IF(OR(D156="",E156=""),"",D156*E156)</f>
        <v/>
      </c>
      <c r="G156" s="15">
        <f>IF(F156="","",IF(F156&gt;=20,"Critical",IF(F156&gt;=12,"High",IF(F156&gt;=6,"Medium","Low"))))</f>
        <v/>
      </c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>
        <f>IF(OR(D157="",E157=""),"",D157*E157)</f>
        <v/>
      </c>
      <c r="G157" s="15">
        <f>IF(F157="","",IF(F157&gt;=20,"Critical",IF(F157&gt;=12,"High",IF(F157&gt;=6,"Medium","Low"))))</f>
        <v/>
      </c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>
        <f>IF(OR(D158="",E158=""),"",D158*E158)</f>
        <v/>
      </c>
      <c r="G158" s="15">
        <f>IF(F158="","",IF(F158&gt;=20,"Critical",IF(F158&gt;=12,"High",IF(F158&gt;=6,"Medium","Low"))))</f>
        <v/>
      </c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>
        <f>IF(OR(D159="",E159=""),"",D159*E159)</f>
        <v/>
      </c>
      <c r="G159" s="15">
        <f>IF(F159="","",IF(F159&gt;=20,"Critical",IF(F159&gt;=12,"High",IF(F159&gt;=6,"Medium","Low"))))</f>
        <v/>
      </c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>
        <f>IF(OR(D160="",E160=""),"",D160*E160)</f>
        <v/>
      </c>
      <c r="G160" s="15">
        <f>IF(F160="","",IF(F160&gt;=20,"Critical",IF(F160&gt;=12,"High",IF(F160&gt;=6,"Medium","Low"))))</f>
        <v/>
      </c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>
        <f>IF(OR(D161="",E161=""),"",D161*E161)</f>
        <v/>
      </c>
      <c r="G161" s="15">
        <f>IF(F161="","",IF(F161&gt;=20,"Critical",IF(F161&gt;=12,"High",IF(F161&gt;=6,"Medium","Low"))))</f>
        <v/>
      </c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>
        <f>IF(OR(D162="",E162=""),"",D162*E162)</f>
        <v/>
      </c>
      <c r="G162" s="15">
        <f>IF(F162="","",IF(F162&gt;=20,"Critical",IF(F162&gt;=12,"High",IF(F162&gt;=6,"Medium","Low"))))</f>
        <v/>
      </c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>
        <f>IF(OR(D163="",E163=""),"",D163*E163)</f>
        <v/>
      </c>
      <c r="G163" s="15">
        <f>IF(F163="","",IF(F163&gt;=20,"Critical",IF(F163&gt;=12,"High",IF(F163&gt;=6,"Medium","Low"))))</f>
        <v/>
      </c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>
        <f>IF(OR(D164="",E164=""),"",D164*E164)</f>
        <v/>
      </c>
      <c r="G164" s="15">
        <f>IF(F164="","",IF(F164&gt;=20,"Critical",IF(F164&gt;=12,"High",IF(F164&gt;=6,"Medium","Low"))))</f>
        <v/>
      </c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>
        <f>IF(OR(D165="",E165=""),"",D165*E165)</f>
        <v/>
      </c>
      <c r="G165" s="15">
        <f>IF(F165="","",IF(F165&gt;=20,"Critical",IF(F165&gt;=12,"High",IF(F165&gt;=6,"Medium","Low"))))</f>
        <v/>
      </c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>
        <f>IF(OR(D166="",E166=""),"",D166*E166)</f>
        <v/>
      </c>
      <c r="G166" s="15">
        <f>IF(F166="","",IF(F166&gt;=20,"Critical",IF(F166&gt;=12,"High",IF(F166&gt;=6,"Medium","Low"))))</f>
        <v/>
      </c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>
        <f>IF(OR(D167="",E167=""),"",D167*E167)</f>
        <v/>
      </c>
      <c r="G167" s="15">
        <f>IF(F167="","",IF(F167&gt;=20,"Critical",IF(F167&gt;=12,"High",IF(F167&gt;=6,"Medium","Low"))))</f>
        <v/>
      </c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>
        <f>IF(OR(D168="",E168=""),"",D168*E168)</f>
        <v/>
      </c>
      <c r="G168" s="15">
        <f>IF(F168="","",IF(F168&gt;=20,"Critical",IF(F168&gt;=12,"High",IF(F168&gt;=6,"Medium","Low"))))</f>
        <v/>
      </c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>
        <f>IF(OR(D169="",E169=""),"",D169*E169)</f>
        <v/>
      </c>
      <c r="G169" s="15">
        <f>IF(F169="","",IF(F169&gt;=20,"Critical",IF(F169&gt;=12,"High",IF(F169&gt;=6,"Medium","Low"))))</f>
        <v/>
      </c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>
        <f>IF(OR(D170="",E170=""),"",D170*E170)</f>
        <v/>
      </c>
      <c r="G170" s="15">
        <f>IF(F170="","",IF(F170&gt;=20,"Critical",IF(F170&gt;=12,"High",IF(F170&gt;=6,"Medium","Low"))))</f>
        <v/>
      </c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>
        <f>IF(OR(D171="",E171=""),"",D171*E171)</f>
        <v/>
      </c>
      <c r="G171" s="15">
        <f>IF(F171="","",IF(F171&gt;=20,"Critical",IF(F171&gt;=12,"High",IF(F171&gt;=6,"Medium","Low"))))</f>
        <v/>
      </c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>
        <f>IF(OR(D172="",E172=""),"",D172*E172)</f>
        <v/>
      </c>
      <c r="G172" s="15">
        <f>IF(F172="","",IF(F172&gt;=20,"Critical",IF(F172&gt;=12,"High",IF(F172&gt;=6,"Medium","Low"))))</f>
        <v/>
      </c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>
        <f>IF(OR(D173="",E173=""),"",D173*E173)</f>
        <v/>
      </c>
      <c r="G173" s="15">
        <f>IF(F173="","",IF(F173&gt;=20,"Critical",IF(F173&gt;=12,"High",IF(F173&gt;=6,"Medium","Low"))))</f>
        <v/>
      </c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>
        <f>IF(OR(D174="",E174=""),"",D174*E174)</f>
        <v/>
      </c>
      <c r="G174" s="15">
        <f>IF(F174="","",IF(F174&gt;=20,"Critical",IF(F174&gt;=12,"High",IF(F174&gt;=6,"Medium","Low"))))</f>
        <v/>
      </c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>
        <f>IF(OR(D175="",E175=""),"",D175*E175)</f>
        <v/>
      </c>
      <c r="G175" s="15">
        <f>IF(F175="","",IF(F175&gt;=20,"Critical",IF(F175&gt;=12,"High",IF(F175&gt;=6,"Medium","Low"))))</f>
        <v/>
      </c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>
        <f>IF(OR(D176="",E176=""),"",D176*E176)</f>
        <v/>
      </c>
      <c r="G176" s="15">
        <f>IF(F176="","",IF(F176&gt;=20,"Critical",IF(F176&gt;=12,"High",IF(F176&gt;=6,"Medium","Low"))))</f>
        <v/>
      </c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>
        <f>IF(OR(D177="",E177=""),"",D177*E177)</f>
        <v/>
      </c>
      <c r="G177" s="15">
        <f>IF(F177="","",IF(F177&gt;=20,"Critical",IF(F177&gt;=12,"High",IF(F177&gt;=6,"Medium","Low"))))</f>
        <v/>
      </c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>
        <f>IF(OR(D178="",E178=""),"",D178*E178)</f>
        <v/>
      </c>
      <c r="G178" s="15">
        <f>IF(F178="","",IF(F178&gt;=20,"Critical",IF(F178&gt;=12,"High",IF(F178&gt;=6,"Medium","Low"))))</f>
        <v/>
      </c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>
        <f>IF(OR(D179="",E179=""),"",D179*E179)</f>
        <v/>
      </c>
      <c r="G179" s="15">
        <f>IF(F179="","",IF(F179&gt;=20,"Critical",IF(F179&gt;=12,"High",IF(F179&gt;=6,"Medium","Low"))))</f>
        <v/>
      </c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>
        <f>IF(OR(D180="",E180=""),"",D180*E180)</f>
        <v/>
      </c>
      <c r="G180" s="15">
        <f>IF(F180="","",IF(F180&gt;=20,"Critical",IF(F180&gt;=12,"High",IF(F180&gt;=6,"Medium","Low"))))</f>
        <v/>
      </c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>
        <f>IF(OR(D181="",E181=""),"",D181*E181)</f>
        <v/>
      </c>
      <c r="G181" s="15">
        <f>IF(F181="","",IF(F181&gt;=20,"Critical",IF(F181&gt;=12,"High",IF(F181&gt;=6,"Medium","Low"))))</f>
        <v/>
      </c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>
        <f>IF(OR(D182="",E182=""),"",D182*E182)</f>
        <v/>
      </c>
      <c r="G182" s="15">
        <f>IF(F182="","",IF(F182&gt;=20,"Critical",IF(F182&gt;=12,"High",IF(F182&gt;=6,"Medium","Low"))))</f>
        <v/>
      </c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>
        <f>IF(OR(D183="",E183=""),"",D183*E183)</f>
        <v/>
      </c>
      <c r="G183" s="15">
        <f>IF(F183="","",IF(F183&gt;=20,"Critical",IF(F183&gt;=12,"High",IF(F183&gt;=6,"Medium","Low"))))</f>
        <v/>
      </c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>
        <f>IF(OR(D184="",E184=""),"",D184*E184)</f>
        <v/>
      </c>
      <c r="G184" s="15">
        <f>IF(F184="","",IF(F184&gt;=20,"Critical",IF(F184&gt;=12,"High",IF(F184&gt;=6,"Medium","Low"))))</f>
        <v/>
      </c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>
        <f>IF(OR(D185="",E185=""),"",D185*E185)</f>
        <v/>
      </c>
      <c r="G185" s="15">
        <f>IF(F185="","",IF(F185&gt;=20,"Critical",IF(F185&gt;=12,"High",IF(F185&gt;=6,"Medium","Low"))))</f>
        <v/>
      </c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>
        <f>IF(OR(D186="",E186=""),"",D186*E186)</f>
        <v/>
      </c>
      <c r="G186" s="15">
        <f>IF(F186="","",IF(F186&gt;=20,"Critical",IF(F186&gt;=12,"High",IF(F186&gt;=6,"Medium","Low"))))</f>
        <v/>
      </c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>
        <f>IF(OR(D187="",E187=""),"",D187*E187)</f>
        <v/>
      </c>
      <c r="G187" s="15">
        <f>IF(F187="","",IF(F187&gt;=20,"Critical",IF(F187&gt;=12,"High",IF(F187&gt;=6,"Medium","Low"))))</f>
        <v/>
      </c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>
        <f>IF(OR(D188="",E188=""),"",D188*E188)</f>
        <v/>
      </c>
      <c r="G188" s="15">
        <f>IF(F188="","",IF(F188&gt;=20,"Critical",IF(F188&gt;=12,"High",IF(F188&gt;=6,"Medium","Low"))))</f>
        <v/>
      </c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>
        <f>IF(OR(D189="",E189=""),"",D189*E189)</f>
        <v/>
      </c>
      <c r="G189" s="15">
        <f>IF(F189="","",IF(F189&gt;=20,"Critical",IF(F189&gt;=12,"High",IF(F189&gt;=6,"Medium","Low"))))</f>
        <v/>
      </c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>
        <f>IF(OR(D190="",E190=""),"",D190*E190)</f>
        <v/>
      </c>
      <c r="G190" s="15">
        <f>IF(F190="","",IF(F190&gt;=20,"Critical",IF(F190&gt;=12,"High",IF(F190&gt;=6,"Medium","Low"))))</f>
        <v/>
      </c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>
        <f>IF(OR(D191="",E191=""),"",D191*E191)</f>
        <v/>
      </c>
      <c r="G191" s="15">
        <f>IF(F191="","",IF(F191&gt;=20,"Critical",IF(F191&gt;=12,"High",IF(F191&gt;=6,"Medium","Low"))))</f>
        <v/>
      </c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>
        <f>IF(OR(D192="",E192=""),"",D192*E192)</f>
        <v/>
      </c>
      <c r="G192" s="15">
        <f>IF(F192="","",IF(F192&gt;=20,"Critical",IF(F192&gt;=12,"High",IF(F192&gt;=6,"Medium","Low"))))</f>
        <v/>
      </c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>
        <f>IF(OR(D193="",E193=""),"",D193*E193)</f>
        <v/>
      </c>
      <c r="G193" s="15">
        <f>IF(F193="","",IF(F193&gt;=20,"Critical",IF(F193&gt;=12,"High",IF(F193&gt;=6,"Medium","Low"))))</f>
        <v/>
      </c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>
        <f>IF(OR(D194="",E194=""),"",D194*E194)</f>
        <v/>
      </c>
      <c r="G194" s="15">
        <f>IF(F194="","",IF(F194&gt;=20,"Critical",IF(F194&gt;=12,"High",IF(F194&gt;=6,"Medium","Low"))))</f>
        <v/>
      </c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>
        <f>IF(OR(D195="",E195=""),"",D195*E195)</f>
        <v/>
      </c>
      <c r="G195" s="15">
        <f>IF(F195="","",IF(F195&gt;=20,"Critical",IF(F195&gt;=12,"High",IF(F195&gt;=6,"Medium","Low"))))</f>
        <v/>
      </c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>
        <f>IF(OR(D196="",E196=""),"",D196*E196)</f>
        <v/>
      </c>
      <c r="G196" s="15">
        <f>IF(F196="","",IF(F196&gt;=20,"Critical",IF(F196&gt;=12,"High",IF(F196&gt;=6,"Medium","Low"))))</f>
        <v/>
      </c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>
        <f>IF(OR(D197="",E197=""),"",D197*E197)</f>
        <v/>
      </c>
      <c r="G197" s="15">
        <f>IF(F197="","",IF(F197&gt;=20,"Critical",IF(F197&gt;=12,"High",IF(F197&gt;=6,"Medium","Low"))))</f>
        <v/>
      </c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>
        <f>IF(OR(D198="",E198=""),"",D198*E198)</f>
        <v/>
      </c>
      <c r="G198" s="15">
        <f>IF(F198="","",IF(F198&gt;=20,"Critical",IF(F198&gt;=12,"High",IF(F198&gt;=6,"Medium","Low"))))</f>
        <v/>
      </c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>
        <f>IF(OR(D199="",E199=""),"",D199*E199)</f>
        <v/>
      </c>
      <c r="G199" s="15">
        <f>IF(F199="","",IF(F199&gt;=20,"Critical",IF(F199&gt;=12,"High",IF(F199&gt;=6,"Medium","Low"))))</f>
        <v/>
      </c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>
        <f>IF(OR(D200="",E200=""),"",D200*E200)</f>
        <v/>
      </c>
      <c r="G200" s="15">
        <f>IF(F200="","",IF(F200&gt;=20,"Critical",IF(F200&gt;=12,"High",IF(F200&gt;=6,"Medium","Low"))))</f>
        <v/>
      </c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>
        <f>IF(OR(D201="",E201=""),"",D201*E201)</f>
        <v/>
      </c>
      <c r="G201" s="15">
        <f>IF(F201="","",IF(F201&gt;=20,"Critical",IF(F201&gt;=12,"High",IF(F201&gt;=6,"Medium","Low"))))</f>
        <v/>
      </c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>
        <f>IF(OR(D202="",E202=""),"",D202*E202)</f>
        <v/>
      </c>
      <c r="G202" s="15">
        <f>IF(F202="","",IF(F202&gt;=20,"Critical",IF(F202&gt;=12,"High",IF(F202&gt;=6,"Medium","Low"))))</f>
        <v/>
      </c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>
        <f>IF(OR(D203="",E203=""),"",D203*E203)</f>
        <v/>
      </c>
      <c r="G203" s="15">
        <f>IF(F203="","",IF(F203&gt;=20,"Critical",IF(F203&gt;=12,"High",IF(F203&gt;=6,"Medium","Low"))))</f>
        <v/>
      </c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>
        <f>IF(OR(D204="",E204=""),"",D204*E204)</f>
        <v/>
      </c>
      <c r="G204" s="15">
        <f>IF(F204="","",IF(F204&gt;=20,"Critical",IF(F204&gt;=12,"High",IF(F204&gt;=6,"Medium","Low"))))</f>
        <v/>
      </c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>
        <f>IF(OR(D205="",E205=""),"",D205*E205)</f>
        <v/>
      </c>
      <c r="G205" s="15">
        <f>IF(F205="","",IF(F205&gt;=20,"Critical",IF(F205&gt;=12,"High",IF(F205&gt;=6,"Medium","Low"))))</f>
        <v/>
      </c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>
        <f>IF(OR(D206="",E206=""),"",D206*E206)</f>
        <v/>
      </c>
      <c r="G206" s="15">
        <f>IF(F206="","",IF(F206&gt;=20,"Critical",IF(F206&gt;=12,"High",IF(F206&gt;=6,"Medium","Low"))))</f>
        <v/>
      </c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>
        <f>IF(OR(D207="",E207=""),"",D207*E207)</f>
        <v/>
      </c>
      <c r="G207" s="15">
        <f>IF(F207="","",IF(F207&gt;=20,"Critical",IF(F207&gt;=12,"High",IF(F207&gt;=6,"Medium","Low"))))</f>
        <v/>
      </c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>
        <f>IF(OR(D208="",E208=""),"",D208*E208)</f>
        <v/>
      </c>
      <c r="G208" s="15">
        <f>IF(F208="","",IF(F208&gt;=20,"Critical",IF(F208&gt;=12,"High",IF(F208&gt;=6,"Medium","Low"))))</f>
        <v/>
      </c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>
        <f>IF(OR(D209="",E209=""),"",D209*E209)</f>
        <v/>
      </c>
      <c r="G209" s="15">
        <f>IF(F209="","",IF(F209&gt;=20,"Critical",IF(F209&gt;=12,"High",IF(F209&gt;=6,"Medium","Low"))))</f>
        <v/>
      </c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>
        <f>IF(OR(D210="",E210=""),"",D210*E210)</f>
        <v/>
      </c>
      <c r="G210" s="15">
        <f>IF(F210="","",IF(F210&gt;=20,"Critical",IF(F210&gt;=12,"High",IF(F210&gt;=6,"Medium","Low"))))</f>
        <v/>
      </c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>
        <f>IF(OR(D211="",E211=""),"",D211*E211)</f>
        <v/>
      </c>
      <c r="G211" s="15">
        <f>IF(F211="","",IF(F211&gt;=20,"Critical",IF(F211&gt;=12,"High",IF(F211&gt;=6,"Medium","Low"))))</f>
        <v/>
      </c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>
        <f>IF(OR(D212="",E212=""),"",D212*E212)</f>
        <v/>
      </c>
      <c r="G212" s="15">
        <f>IF(F212="","",IF(F212&gt;=20,"Critical",IF(F212&gt;=12,"High",IF(F212&gt;=6,"Medium","Low"))))</f>
        <v/>
      </c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>
        <f>IF(OR(D213="",E213=""),"",D213*E213)</f>
        <v/>
      </c>
      <c r="G213" s="15">
        <f>IF(F213="","",IF(F213&gt;=20,"Critical",IF(F213&gt;=12,"High",IF(F213&gt;=6,"Medium","Low"))))</f>
        <v/>
      </c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>
        <f>IF(OR(D214="",E214=""),"",D214*E214)</f>
        <v/>
      </c>
      <c r="G214" s="15">
        <f>IF(F214="","",IF(F214&gt;=20,"Critical",IF(F214&gt;=12,"High",IF(F214&gt;=6,"Medium","Low"))))</f>
        <v/>
      </c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>
        <f>IF(OR(D215="",E215=""),"",D215*E215)</f>
        <v/>
      </c>
      <c r="G215" s="15">
        <f>IF(F215="","",IF(F215&gt;=20,"Critical",IF(F215&gt;=12,"High",IF(F215&gt;=6,"Medium","Low"))))</f>
        <v/>
      </c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>
        <f>IF(OR(D216="",E216=""),"",D216*E216)</f>
        <v/>
      </c>
      <c r="G216" s="15">
        <f>IF(F216="","",IF(F216&gt;=20,"Critical",IF(F216&gt;=12,"High",IF(F216&gt;=6,"Medium","Low"))))</f>
        <v/>
      </c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>
        <f>IF(OR(D217="",E217=""),"",D217*E217)</f>
        <v/>
      </c>
      <c r="G217" s="15">
        <f>IF(F217="","",IF(F217&gt;=20,"Critical",IF(F217&gt;=12,"High",IF(F217&gt;=6,"Medium","Low"))))</f>
        <v/>
      </c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>
        <f>IF(OR(D218="",E218=""),"",D218*E218)</f>
        <v/>
      </c>
      <c r="G218" s="15">
        <f>IF(F218="","",IF(F218&gt;=20,"Critical",IF(F218&gt;=12,"High",IF(F218&gt;=6,"Medium","Low"))))</f>
        <v/>
      </c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>
        <f>IF(OR(D219="",E219=""),"",D219*E219)</f>
        <v/>
      </c>
      <c r="G219" s="15">
        <f>IF(F219="","",IF(F219&gt;=20,"Critical",IF(F219&gt;=12,"High",IF(F219&gt;=6,"Medium","Low"))))</f>
        <v/>
      </c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>
        <f>IF(OR(D220="",E220=""),"",D220*E220)</f>
        <v/>
      </c>
      <c r="G220" s="15">
        <f>IF(F220="","",IF(F220&gt;=20,"Critical",IF(F220&gt;=12,"High",IF(F220&gt;=6,"Medium","Low"))))</f>
        <v/>
      </c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>
        <f>IF(OR(D221="",E221=""),"",D221*E221)</f>
        <v/>
      </c>
      <c r="G221" s="15">
        <f>IF(F221="","",IF(F221&gt;=20,"Critical",IF(F221&gt;=12,"High",IF(F221&gt;=6,"Medium","Low"))))</f>
        <v/>
      </c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>
        <f>IF(OR(D222="",E222=""),"",D222*E222)</f>
        <v/>
      </c>
      <c r="G222" s="15">
        <f>IF(F222="","",IF(F222&gt;=20,"Critical",IF(F222&gt;=12,"High",IF(F222&gt;=6,"Medium","Low"))))</f>
        <v/>
      </c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>
        <f>IF(OR(D223="",E223=""),"",D223*E223)</f>
        <v/>
      </c>
      <c r="G223" s="15">
        <f>IF(F223="","",IF(F223&gt;=20,"Critical",IF(F223&gt;=12,"High",IF(F223&gt;=6,"Medium","Low"))))</f>
        <v/>
      </c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>
        <f>IF(OR(D224="",E224=""),"",D224*E224)</f>
        <v/>
      </c>
      <c r="G224" s="15">
        <f>IF(F224="","",IF(F224&gt;=20,"Critical",IF(F224&gt;=12,"High",IF(F224&gt;=6,"Medium","Low"))))</f>
        <v/>
      </c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>
        <f>IF(OR(D225="",E225=""),"",D225*E225)</f>
        <v/>
      </c>
      <c r="G225" s="15">
        <f>IF(F225="","",IF(F225&gt;=20,"Critical",IF(F225&gt;=12,"High",IF(F225&gt;=6,"Medium","Low"))))</f>
        <v/>
      </c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>
        <f>IF(OR(D226="",E226=""),"",D226*E226)</f>
        <v/>
      </c>
      <c r="G226" s="15">
        <f>IF(F226="","",IF(F226&gt;=20,"Critical",IF(F226&gt;=12,"High",IF(F226&gt;=6,"Medium","Low"))))</f>
        <v/>
      </c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>
        <f>IF(OR(D227="",E227=""),"",D227*E227)</f>
        <v/>
      </c>
      <c r="G227" s="15">
        <f>IF(F227="","",IF(F227&gt;=20,"Critical",IF(F227&gt;=12,"High",IF(F227&gt;=6,"Medium","Low"))))</f>
        <v/>
      </c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>
        <f>IF(OR(D228="",E228=""),"",D228*E228)</f>
        <v/>
      </c>
      <c r="G228" s="15">
        <f>IF(F228="","",IF(F228&gt;=20,"Critical",IF(F228&gt;=12,"High",IF(F228&gt;=6,"Medium","Low"))))</f>
        <v/>
      </c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>
        <f>IF(OR(D229="",E229=""),"",D229*E229)</f>
        <v/>
      </c>
      <c r="G229" s="15">
        <f>IF(F229="","",IF(F229&gt;=20,"Critical",IF(F229&gt;=12,"High",IF(F229&gt;=6,"Medium","Low"))))</f>
        <v/>
      </c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>
        <f>IF(OR(D230="",E230=""),"",D230*E230)</f>
        <v/>
      </c>
      <c r="G230" s="15">
        <f>IF(F230="","",IF(F230&gt;=20,"Critical",IF(F230&gt;=12,"High",IF(F230&gt;=6,"Medium","Low"))))</f>
        <v/>
      </c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>
        <f>IF(OR(D231="",E231=""),"",D231*E231)</f>
        <v/>
      </c>
      <c r="G231" s="15">
        <f>IF(F231="","",IF(F231&gt;=20,"Critical",IF(F231&gt;=12,"High",IF(F231&gt;=6,"Medium","Low"))))</f>
        <v/>
      </c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>
        <f>IF(OR(D232="",E232=""),"",D232*E232)</f>
        <v/>
      </c>
      <c r="G232" s="15">
        <f>IF(F232="","",IF(F232&gt;=20,"Critical",IF(F232&gt;=12,"High",IF(F232&gt;=6,"Medium","Low"))))</f>
        <v/>
      </c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>
        <f>IF(OR(D233="",E233=""),"",D233*E233)</f>
        <v/>
      </c>
      <c r="G233" s="15">
        <f>IF(F233="","",IF(F233&gt;=20,"Critical",IF(F233&gt;=12,"High",IF(F233&gt;=6,"Medium","Low"))))</f>
        <v/>
      </c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>
        <f>IF(OR(D234="",E234=""),"",D234*E234)</f>
        <v/>
      </c>
      <c r="G234" s="15">
        <f>IF(F234="","",IF(F234&gt;=20,"Critical",IF(F234&gt;=12,"High",IF(F234&gt;=6,"Medium","Low"))))</f>
        <v/>
      </c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>
        <f>IF(OR(D235="",E235=""),"",D235*E235)</f>
        <v/>
      </c>
      <c r="G235" s="15">
        <f>IF(F235="","",IF(F235&gt;=20,"Critical",IF(F235&gt;=12,"High",IF(F235&gt;=6,"Medium","Low"))))</f>
        <v/>
      </c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>
        <f>IF(OR(D236="",E236=""),"",D236*E236)</f>
        <v/>
      </c>
      <c r="G236" s="15">
        <f>IF(F236="","",IF(F236&gt;=20,"Critical",IF(F236&gt;=12,"High",IF(F236&gt;=6,"Medium","Low"))))</f>
        <v/>
      </c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>
        <f>IF(OR(D237="",E237=""),"",D237*E237)</f>
        <v/>
      </c>
      <c r="G237" s="15">
        <f>IF(F237="","",IF(F237&gt;=20,"Critical",IF(F237&gt;=12,"High",IF(F237&gt;=6,"Medium","Low"))))</f>
        <v/>
      </c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>
        <f>IF(OR(D238="",E238=""),"",D238*E238)</f>
        <v/>
      </c>
      <c r="G238" s="15">
        <f>IF(F238="","",IF(F238&gt;=20,"Critical",IF(F238&gt;=12,"High",IF(F238&gt;=6,"Medium","Low"))))</f>
        <v/>
      </c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>
        <f>IF(OR(D239="",E239=""),"",D239*E239)</f>
        <v/>
      </c>
      <c r="G239" s="15">
        <f>IF(F239="","",IF(F239&gt;=20,"Critical",IF(F239&gt;=12,"High",IF(F239&gt;=6,"Medium","Low"))))</f>
        <v/>
      </c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>
        <f>IF(OR(D240="",E240=""),"",D240*E240)</f>
        <v/>
      </c>
      <c r="G240" s="15">
        <f>IF(F240="","",IF(F240&gt;=20,"Critical",IF(F240&gt;=12,"High",IF(F240&gt;=6,"Medium","Low"))))</f>
        <v/>
      </c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>
        <f>IF(OR(D241="",E241=""),"",D241*E241)</f>
        <v/>
      </c>
      <c r="G241" s="15">
        <f>IF(F241="","",IF(F241&gt;=20,"Critical",IF(F241&gt;=12,"High",IF(F241&gt;=6,"Medium","Low"))))</f>
        <v/>
      </c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>
        <f>IF(OR(D242="",E242=""),"",D242*E242)</f>
        <v/>
      </c>
      <c r="G242" s="15">
        <f>IF(F242="","",IF(F242&gt;=20,"Critical",IF(F242&gt;=12,"High",IF(F242&gt;=6,"Medium","Low"))))</f>
        <v/>
      </c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>
        <f>IF(OR(D243="",E243=""),"",D243*E243)</f>
        <v/>
      </c>
      <c r="G243" s="15">
        <f>IF(F243="","",IF(F243&gt;=20,"Critical",IF(F243&gt;=12,"High",IF(F243&gt;=6,"Medium","Low"))))</f>
        <v/>
      </c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>
        <f>IF(OR(D244="",E244=""),"",D244*E244)</f>
        <v/>
      </c>
      <c r="G244" s="15">
        <f>IF(F244="","",IF(F244&gt;=20,"Critical",IF(F244&gt;=12,"High",IF(F244&gt;=6,"Medium","Low"))))</f>
        <v/>
      </c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>
        <f>IF(OR(D245="",E245=""),"",D245*E245)</f>
        <v/>
      </c>
      <c r="G245" s="15">
        <f>IF(F245="","",IF(F245&gt;=20,"Critical",IF(F245&gt;=12,"High",IF(F245&gt;=6,"Medium","Low"))))</f>
        <v/>
      </c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>
        <f>IF(OR(D246="",E246=""),"",D246*E246)</f>
        <v/>
      </c>
      <c r="G246" s="15">
        <f>IF(F246="","",IF(F246&gt;=20,"Critical",IF(F246&gt;=12,"High",IF(F246&gt;=6,"Medium","Low"))))</f>
        <v/>
      </c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>
        <f>IF(OR(D247="",E247=""),"",D247*E247)</f>
        <v/>
      </c>
      <c r="G247" s="15">
        <f>IF(F247="","",IF(F247&gt;=20,"Critical",IF(F247&gt;=12,"High",IF(F247&gt;=6,"Medium","Low"))))</f>
        <v/>
      </c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>
        <f>IF(OR(D248="",E248=""),"",D248*E248)</f>
        <v/>
      </c>
      <c r="G248" s="15">
        <f>IF(F248="","",IF(F248&gt;=20,"Critical",IF(F248&gt;=12,"High",IF(F248&gt;=6,"Medium","Low"))))</f>
        <v/>
      </c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>
        <f>IF(OR(D249="",E249=""),"",D249*E249)</f>
        <v/>
      </c>
      <c r="G249" s="15">
        <f>IF(F249="","",IF(F249&gt;=20,"Critical",IF(F249&gt;=12,"High",IF(F249&gt;=6,"Medium","Low"))))</f>
        <v/>
      </c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>
        <f>IF(OR(D250="",E250=""),"",D250*E250)</f>
        <v/>
      </c>
      <c r="G250" s="15">
        <f>IF(F250="","",IF(F250&gt;=20,"Critical",IF(F250&gt;=12,"High",IF(F250&gt;=6,"Medium","Low"))))</f>
        <v/>
      </c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>
        <f>IF(OR(D251="",E251=""),"",D251*E251)</f>
        <v/>
      </c>
      <c r="G251" s="15">
        <f>IF(F251="","",IF(F251&gt;=20,"Critical",IF(F251&gt;=12,"High",IF(F251&gt;=6,"Medium","Low"))))</f>
        <v/>
      </c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>
        <f>IF(OR(D252="",E252=""),"",D252*E252)</f>
        <v/>
      </c>
      <c r="G252" s="15">
        <f>IF(F252="","",IF(F252&gt;=20,"Critical",IF(F252&gt;=12,"High",IF(F252&gt;=6,"Medium","Low"))))</f>
        <v/>
      </c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>
        <f>IF(OR(D253="",E253=""),"",D253*E253)</f>
        <v/>
      </c>
      <c r="G253" s="15">
        <f>IF(F253="","",IF(F253&gt;=20,"Critical",IF(F253&gt;=12,"High",IF(F253&gt;=6,"Medium","Low"))))</f>
        <v/>
      </c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>
        <f>IF(OR(D254="",E254=""),"",D254*E254)</f>
        <v/>
      </c>
      <c r="G254" s="15">
        <f>IF(F254="","",IF(F254&gt;=20,"Critical",IF(F254&gt;=12,"High",IF(F254&gt;=6,"Medium","Low"))))</f>
        <v/>
      </c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>
        <f>IF(OR(D255="",E255=""),"",D255*E255)</f>
        <v/>
      </c>
      <c r="G255" s="15">
        <f>IF(F255="","",IF(F255&gt;=20,"Critical",IF(F255&gt;=12,"High",IF(F255&gt;=6,"Medium","Low"))))</f>
        <v/>
      </c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>
        <f>IF(OR(D256="",E256=""),"",D256*E256)</f>
        <v/>
      </c>
      <c r="G256" s="15">
        <f>IF(F256="","",IF(F256&gt;=20,"Critical",IF(F256&gt;=12,"High",IF(F256&gt;=6,"Medium","Low"))))</f>
        <v/>
      </c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>
        <f>IF(OR(D257="",E257=""),"",D257*E257)</f>
        <v/>
      </c>
      <c r="G257" s="15">
        <f>IF(F257="","",IF(F257&gt;=20,"Critical",IF(F257&gt;=12,"High",IF(F257&gt;=6,"Medium","Low"))))</f>
        <v/>
      </c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>
        <f>IF(OR(D258="",E258=""),"",D258*E258)</f>
        <v/>
      </c>
      <c r="G258" s="15">
        <f>IF(F258="","",IF(F258&gt;=20,"Critical",IF(F258&gt;=12,"High",IF(F258&gt;=6,"Medium","Low"))))</f>
        <v/>
      </c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>
        <f>IF(OR(D259="",E259=""),"",D259*E259)</f>
        <v/>
      </c>
      <c r="G259" s="15">
        <f>IF(F259="","",IF(F259&gt;=20,"Critical",IF(F259&gt;=12,"High",IF(F259&gt;=6,"Medium","Low"))))</f>
        <v/>
      </c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>
        <f>IF(OR(D260="",E260=""),"",D260*E260)</f>
        <v/>
      </c>
      <c r="G260" s="15">
        <f>IF(F260="","",IF(F260&gt;=20,"Critical",IF(F260&gt;=12,"High",IF(F260&gt;=6,"Medium","Low"))))</f>
        <v/>
      </c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>
        <f>IF(OR(D261="",E261=""),"",D261*E261)</f>
        <v/>
      </c>
      <c r="G261" s="15">
        <f>IF(F261="","",IF(F261&gt;=20,"Critical",IF(F261&gt;=12,"High",IF(F261&gt;=6,"Medium","Low"))))</f>
        <v/>
      </c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>
        <f>IF(OR(D262="",E262=""),"",D262*E262)</f>
        <v/>
      </c>
      <c r="G262" s="15">
        <f>IF(F262="","",IF(F262&gt;=20,"Critical",IF(F262&gt;=12,"High",IF(F262&gt;=6,"Medium","Low"))))</f>
        <v/>
      </c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>
        <f>IF(OR(D263="",E263=""),"",D263*E263)</f>
        <v/>
      </c>
      <c r="G263" s="15">
        <f>IF(F263="","",IF(F263&gt;=20,"Critical",IF(F263&gt;=12,"High",IF(F263&gt;=6,"Medium","Low"))))</f>
        <v/>
      </c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>
        <f>IF(OR(D264="",E264=""),"",D264*E264)</f>
        <v/>
      </c>
      <c r="G264" s="15">
        <f>IF(F264="","",IF(F264&gt;=20,"Critical",IF(F264&gt;=12,"High",IF(F264&gt;=6,"Medium","Low"))))</f>
        <v/>
      </c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>
        <f>IF(OR(D265="",E265=""),"",D265*E265)</f>
        <v/>
      </c>
      <c r="G265" s="15">
        <f>IF(F265="","",IF(F265&gt;=20,"Critical",IF(F265&gt;=12,"High",IF(F265&gt;=6,"Medium","Low"))))</f>
        <v/>
      </c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>
        <f>IF(OR(D266="",E266=""),"",D266*E266)</f>
        <v/>
      </c>
      <c r="G266" s="15">
        <f>IF(F266="","",IF(F266&gt;=20,"Critical",IF(F266&gt;=12,"High",IF(F266&gt;=6,"Medium","Low"))))</f>
        <v/>
      </c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>
        <f>IF(OR(D267="",E267=""),"",D267*E267)</f>
        <v/>
      </c>
      <c r="G267" s="15">
        <f>IF(F267="","",IF(F267&gt;=20,"Critical",IF(F267&gt;=12,"High",IF(F267&gt;=6,"Medium","Low"))))</f>
        <v/>
      </c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>
        <f>IF(OR(D268="",E268=""),"",D268*E268)</f>
        <v/>
      </c>
      <c r="G268" s="15">
        <f>IF(F268="","",IF(F268&gt;=20,"Critical",IF(F268&gt;=12,"High",IF(F268&gt;=6,"Medium","Low"))))</f>
        <v/>
      </c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>
        <f>IF(OR(D269="",E269=""),"",D269*E269)</f>
        <v/>
      </c>
      <c r="G269" s="15">
        <f>IF(F269="","",IF(F269&gt;=20,"Critical",IF(F269&gt;=12,"High",IF(F269&gt;=6,"Medium","Low"))))</f>
        <v/>
      </c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>
        <f>IF(OR(D270="",E270=""),"",D270*E270)</f>
        <v/>
      </c>
      <c r="G270" s="15">
        <f>IF(F270="","",IF(F270&gt;=20,"Critical",IF(F270&gt;=12,"High",IF(F270&gt;=6,"Medium","Low"))))</f>
        <v/>
      </c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>
        <f>IF(OR(D271="",E271=""),"",D271*E271)</f>
        <v/>
      </c>
      <c r="G271" s="15">
        <f>IF(F271="","",IF(F271&gt;=20,"Critical",IF(F271&gt;=12,"High",IF(F271&gt;=6,"Medium","Low"))))</f>
        <v/>
      </c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>
        <f>IF(OR(D272="",E272=""),"",D272*E272)</f>
        <v/>
      </c>
      <c r="G272" s="15">
        <f>IF(F272="","",IF(F272&gt;=20,"Critical",IF(F272&gt;=12,"High",IF(F272&gt;=6,"Medium","Low"))))</f>
        <v/>
      </c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>
        <f>IF(OR(D273="",E273=""),"",D273*E273)</f>
        <v/>
      </c>
      <c r="G273" s="15">
        <f>IF(F273="","",IF(F273&gt;=20,"Critical",IF(F273&gt;=12,"High",IF(F273&gt;=6,"Medium","Low"))))</f>
        <v/>
      </c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>
        <f>IF(OR(D274="",E274=""),"",D274*E274)</f>
        <v/>
      </c>
      <c r="G274" s="15">
        <f>IF(F274="","",IF(F274&gt;=20,"Critical",IF(F274&gt;=12,"High",IF(F274&gt;=6,"Medium","Low"))))</f>
        <v/>
      </c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>
        <f>IF(OR(D275="",E275=""),"",D275*E275)</f>
        <v/>
      </c>
      <c r="G275" s="15">
        <f>IF(F275="","",IF(F275&gt;=20,"Critical",IF(F275&gt;=12,"High",IF(F275&gt;=6,"Medium","Low"))))</f>
        <v/>
      </c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>
        <f>IF(OR(D276="",E276=""),"",D276*E276)</f>
        <v/>
      </c>
      <c r="G276" s="15">
        <f>IF(F276="","",IF(F276&gt;=20,"Critical",IF(F276&gt;=12,"High",IF(F276&gt;=6,"Medium","Low"))))</f>
        <v/>
      </c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>
        <f>IF(OR(D277="",E277=""),"",D277*E277)</f>
        <v/>
      </c>
      <c r="G277" s="15">
        <f>IF(F277="","",IF(F277&gt;=20,"Critical",IF(F277&gt;=12,"High",IF(F277&gt;=6,"Medium","Low"))))</f>
        <v/>
      </c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>
        <f>IF(OR(D278="",E278=""),"",D278*E278)</f>
        <v/>
      </c>
      <c r="G278" s="15">
        <f>IF(F278="","",IF(F278&gt;=20,"Critical",IF(F278&gt;=12,"High",IF(F278&gt;=6,"Medium","Low"))))</f>
        <v/>
      </c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>
        <f>IF(OR(D279="",E279=""),"",D279*E279)</f>
        <v/>
      </c>
      <c r="G279" s="15">
        <f>IF(F279="","",IF(F279&gt;=20,"Critical",IF(F279&gt;=12,"High",IF(F279&gt;=6,"Medium","Low"))))</f>
        <v/>
      </c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>
        <f>IF(OR(D280="",E280=""),"",D280*E280)</f>
        <v/>
      </c>
      <c r="G280" s="15">
        <f>IF(F280="","",IF(F280&gt;=20,"Critical",IF(F280&gt;=12,"High",IF(F280&gt;=6,"Medium","Low"))))</f>
        <v/>
      </c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>
        <f>IF(OR(D281="",E281=""),"",D281*E281)</f>
        <v/>
      </c>
      <c r="G281" s="15">
        <f>IF(F281="","",IF(F281&gt;=20,"Critical",IF(F281&gt;=12,"High",IF(F281&gt;=6,"Medium","Low"))))</f>
        <v/>
      </c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>
        <f>IF(OR(D282="",E282=""),"",D282*E282)</f>
        <v/>
      </c>
      <c r="G282" s="15">
        <f>IF(F282="","",IF(F282&gt;=20,"Critical",IF(F282&gt;=12,"High",IF(F282&gt;=6,"Medium","Low"))))</f>
        <v/>
      </c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>
        <f>IF(OR(D283="",E283=""),"",D283*E283)</f>
        <v/>
      </c>
      <c r="G283" s="15">
        <f>IF(F283="","",IF(F283&gt;=20,"Critical",IF(F283&gt;=12,"High",IF(F283&gt;=6,"Medium","Low"))))</f>
        <v/>
      </c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>
        <f>IF(OR(D284="",E284=""),"",D284*E284)</f>
        <v/>
      </c>
      <c r="G284" s="15">
        <f>IF(F284="","",IF(F284&gt;=20,"Critical",IF(F284&gt;=12,"High",IF(F284&gt;=6,"Medium","Low"))))</f>
        <v/>
      </c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>
        <f>IF(OR(D285="",E285=""),"",D285*E285)</f>
        <v/>
      </c>
      <c r="G285" s="15">
        <f>IF(F285="","",IF(F285&gt;=20,"Critical",IF(F285&gt;=12,"High",IF(F285&gt;=6,"Medium","Low"))))</f>
        <v/>
      </c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>
        <f>IF(OR(D286="",E286=""),"",D286*E286)</f>
        <v/>
      </c>
      <c r="G286" s="15">
        <f>IF(F286="","",IF(F286&gt;=20,"Critical",IF(F286&gt;=12,"High",IF(F286&gt;=6,"Medium","Low"))))</f>
        <v/>
      </c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>
        <f>IF(OR(D287="",E287=""),"",D287*E287)</f>
        <v/>
      </c>
      <c r="G287" s="15">
        <f>IF(F287="","",IF(F287&gt;=20,"Critical",IF(F287&gt;=12,"High",IF(F287&gt;=6,"Medium","Low"))))</f>
        <v/>
      </c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>
        <f>IF(OR(D288="",E288=""),"",D288*E288)</f>
        <v/>
      </c>
      <c r="G288" s="15">
        <f>IF(F288="","",IF(F288&gt;=20,"Critical",IF(F288&gt;=12,"High",IF(F288&gt;=6,"Medium","Low"))))</f>
        <v/>
      </c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>
        <f>IF(OR(D289="",E289=""),"",D289*E289)</f>
        <v/>
      </c>
      <c r="G289" s="15">
        <f>IF(F289="","",IF(F289&gt;=20,"Critical",IF(F289&gt;=12,"High",IF(F289&gt;=6,"Medium","Low"))))</f>
        <v/>
      </c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>
        <f>IF(OR(D290="",E290=""),"",D290*E290)</f>
        <v/>
      </c>
      <c r="G290" s="15">
        <f>IF(F290="","",IF(F290&gt;=20,"Critical",IF(F290&gt;=12,"High",IF(F290&gt;=6,"Medium","Low"))))</f>
        <v/>
      </c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>
        <f>IF(OR(D291="",E291=""),"",D291*E291)</f>
        <v/>
      </c>
      <c r="G291" s="15">
        <f>IF(F291="","",IF(F291&gt;=20,"Critical",IF(F291&gt;=12,"High",IF(F291&gt;=6,"Medium","Low"))))</f>
        <v/>
      </c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>
        <f>IF(OR(D292="",E292=""),"",D292*E292)</f>
        <v/>
      </c>
      <c r="G292" s="15">
        <f>IF(F292="","",IF(F292&gt;=20,"Critical",IF(F292&gt;=12,"High",IF(F292&gt;=6,"Medium","Low"))))</f>
        <v/>
      </c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>
        <f>IF(OR(D293="",E293=""),"",D293*E293)</f>
        <v/>
      </c>
      <c r="G293" s="15">
        <f>IF(F293="","",IF(F293&gt;=20,"Critical",IF(F293&gt;=12,"High",IF(F293&gt;=6,"Medium","Low"))))</f>
        <v/>
      </c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>
        <f>IF(OR(D294="",E294=""),"",D294*E294)</f>
        <v/>
      </c>
      <c r="G294" s="15">
        <f>IF(F294="","",IF(F294&gt;=20,"Critical",IF(F294&gt;=12,"High",IF(F294&gt;=6,"Medium","Low"))))</f>
        <v/>
      </c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>
        <f>IF(OR(D295="",E295=""),"",D295*E295)</f>
        <v/>
      </c>
      <c r="G295" s="15">
        <f>IF(F295="","",IF(F295&gt;=20,"Critical",IF(F295&gt;=12,"High",IF(F295&gt;=6,"Medium","Low"))))</f>
        <v/>
      </c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>
        <f>IF(OR(D296="",E296=""),"",D296*E296)</f>
        <v/>
      </c>
      <c r="G296" s="15">
        <f>IF(F296="","",IF(F296&gt;=20,"Critical",IF(F296&gt;=12,"High",IF(F296&gt;=6,"Medium","Low"))))</f>
        <v/>
      </c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>
        <f>IF(OR(D297="",E297=""),"",D297*E297)</f>
        <v/>
      </c>
      <c r="G297" s="15">
        <f>IF(F297="","",IF(F297&gt;=20,"Critical",IF(F297&gt;=12,"High",IF(F297&gt;=6,"Medium","Low"))))</f>
        <v/>
      </c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>
        <f>IF(OR(D298="",E298=""),"",D298*E298)</f>
        <v/>
      </c>
      <c r="G298" s="15">
        <f>IF(F298="","",IF(F298&gt;=20,"Critical",IF(F298&gt;=12,"High",IF(F298&gt;=6,"Medium","Low"))))</f>
        <v/>
      </c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>
        <f>IF(OR(D299="",E299=""),"",D299*E299)</f>
        <v/>
      </c>
      <c r="G299" s="15">
        <f>IF(F299="","",IF(F299&gt;=20,"Critical",IF(F299&gt;=12,"High",IF(F299&gt;=6,"Medium","Low"))))</f>
        <v/>
      </c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>
        <f>IF(OR(D300="",E300=""),"",D300*E300)</f>
        <v/>
      </c>
      <c r="G300" s="15">
        <f>IF(F300="","",IF(F300&gt;=20,"Critical",IF(F300&gt;=12,"High",IF(F300&gt;=6,"Medium","Low"))))</f>
        <v/>
      </c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>
        <f>IF(OR(D301="",E301=""),"",D301*E301)</f>
        <v/>
      </c>
      <c r="G301" s="15">
        <f>IF(F301="","",IF(F301&gt;=20,"Critical",IF(F301&gt;=12,"High",IF(F301&gt;=6,"Medium","Low"))))</f>
        <v/>
      </c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>
        <f>IF(OR(D302="",E302=""),"",D302*E302)</f>
        <v/>
      </c>
      <c r="G302" s="15">
        <f>IF(F302="","",IF(F302&gt;=20,"Critical",IF(F302&gt;=12,"High",IF(F302&gt;=6,"Medium","Low"))))</f>
        <v/>
      </c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>
        <f>IF(OR(D303="",E303=""),"",D303*E303)</f>
        <v/>
      </c>
      <c r="G303" s="15">
        <f>IF(F303="","",IF(F303&gt;=20,"Critical",IF(F303&gt;=12,"High",IF(F303&gt;=6,"Medium","Low"))))</f>
        <v/>
      </c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>
        <f>IF(OR(D304="",E304=""),"",D304*E304)</f>
        <v/>
      </c>
      <c r="G304" s="15">
        <f>IF(F304="","",IF(F304&gt;=20,"Critical",IF(F304&gt;=12,"High",IF(F304&gt;=6,"Medium","Low"))))</f>
        <v/>
      </c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>
        <f>IF(OR(D305="",E305=""),"",D305*E305)</f>
        <v/>
      </c>
      <c r="G305" s="15">
        <f>IF(F305="","",IF(F305&gt;=20,"Critical",IF(F305&gt;=12,"High",IF(F305&gt;=6,"Medium","Low"))))</f>
        <v/>
      </c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>
        <f>IF(OR(D306="",E306=""),"",D306*E306)</f>
        <v/>
      </c>
      <c r="G306" s="15">
        <f>IF(F306="","",IF(F306&gt;=20,"Critical",IF(F306&gt;=12,"High",IF(F306&gt;=6,"Medium","Low"))))</f>
        <v/>
      </c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>
        <f>IF(OR(D307="",E307=""),"",D307*E307)</f>
        <v/>
      </c>
      <c r="G307" s="15">
        <f>IF(F307="","",IF(F307&gt;=20,"Critical",IF(F307&gt;=12,"High",IF(F307&gt;=6,"Medium","Low"))))</f>
        <v/>
      </c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>
        <f>IF(OR(D308="",E308=""),"",D308*E308)</f>
        <v/>
      </c>
      <c r="G308" s="15">
        <f>IF(F308="","",IF(F308&gt;=20,"Critical",IF(F308&gt;=12,"High",IF(F308&gt;=6,"Medium","Low"))))</f>
        <v/>
      </c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>
        <f>IF(OR(D309="",E309=""),"",D309*E309)</f>
        <v/>
      </c>
      <c r="G309" s="15">
        <f>IF(F309="","",IF(F309&gt;=20,"Critical",IF(F309&gt;=12,"High",IF(F309&gt;=6,"Medium","Low"))))</f>
        <v/>
      </c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>
        <f>IF(OR(D310="",E310=""),"",D310*E310)</f>
        <v/>
      </c>
      <c r="G310" s="15">
        <f>IF(F310="","",IF(F310&gt;=20,"Critical",IF(F310&gt;=12,"High",IF(F310&gt;=6,"Medium","Low"))))</f>
        <v/>
      </c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>
        <f>IF(OR(D311="",E311=""),"",D311*E311)</f>
        <v/>
      </c>
      <c r="G311" s="15">
        <f>IF(F311="","",IF(F311&gt;=20,"Critical",IF(F311&gt;=12,"High",IF(F311&gt;=6,"Medium","Low"))))</f>
        <v/>
      </c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>
        <f>IF(OR(D312="",E312=""),"",D312*E312)</f>
        <v/>
      </c>
      <c r="G312" s="15">
        <f>IF(F312="","",IF(F312&gt;=20,"Critical",IF(F312&gt;=12,"High",IF(F312&gt;=6,"Medium","Low"))))</f>
        <v/>
      </c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>
        <f>IF(OR(D313="",E313=""),"",D313*E313)</f>
        <v/>
      </c>
      <c r="G313" s="15">
        <f>IF(F313="","",IF(F313&gt;=20,"Critical",IF(F313&gt;=12,"High",IF(F313&gt;=6,"Medium","Low"))))</f>
        <v/>
      </c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>
        <f>IF(OR(D314="",E314=""),"",D314*E314)</f>
        <v/>
      </c>
      <c r="G314" s="15">
        <f>IF(F314="","",IF(F314&gt;=20,"Critical",IF(F314&gt;=12,"High",IF(F314&gt;=6,"Medium","Low"))))</f>
        <v/>
      </c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>
        <f>IF(OR(D315="",E315=""),"",D315*E315)</f>
        <v/>
      </c>
      <c r="G315" s="15">
        <f>IF(F315="","",IF(F315&gt;=20,"Critical",IF(F315&gt;=12,"High",IF(F315&gt;=6,"Medium","Low"))))</f>
        <v/>
      </c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>
        <f>IF(OR(D316="",E316=""),"",D316*E316)</f>
        <v/>
      </c>
      <c r="G316" s="15">
        <f>IF(F316="","",IF(F316&gt;=20,"Critical",IF(F316&gt;=12,"High",IF(F316&gt;=6,"Medium","Low"))))</f>
        <v/>
      </c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>
        <f>IF(OR(D317="",E317=""),"",D317*E317)</f>
        <v/>
      </c>
      <c r="G317" s="15">
        <f>IF(F317="","",IF(F317&gt;=20,"Critical",IF(F317&gt;=12,"High",IF(F317&gt;=6,"Medium","Low"))))</f>
        <v/>
      </c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>
        <f>IF(OR(D318="",E318=""),"",D318*E318)</f>
        <v/>
      </c>
      <c r="G318" s="15">
        <f>IF(F318="","",IF(F318&gt;=20,"Critical",IF(F318&gt;=12,"High",IF(F318&gt;=6,"Medium","Low"))))</f>
        <v/>
      </c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>
        <f>IF(OR(D319="",E319=""),"",D319*E319)</f>
        <v/>
      </c>
      <c r="G319" s="15">
        <f>IF(F319="","",IF(F319&gt;=20,"Critical",IF(F319&gt;=12,"High",IF(F319&gt;=6,"Medium","Low"))))</f>
        <v/>
      </c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>
        <f>IF(OR(D320="",E320=""),"",D320*E320)</f>
        <v/>
      </c>
      <c r="G320" s="15">
        <f>IF(F320="","",IF(F320&gt;=20,"Critical",IF(F320&gt;=12,"High",IF(F320&gt;=6,"Medium","Low"))))</f>
        <v/>
      </c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>
        <f>IF(OR(D321="",E321=""),"",D321*E321)</f>
        <v/>
      </c>
      <c r="G321" s="15">
        <f>IF(F321="","",IF(F321&gt;=20,"Critical",IF(F321&gt;=12,"High",IF(F321&gt;=6,"Medium","Low"))))</f>
        <v/>
      </c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>
        <f>IF(OR(D322="",E322=""),"",D322*E322)</f>
        <v/>
      </c>
      <c r="G322" s="15">
        <f>IF(F322="","",IF(F322&gt;=20,"Critical",IF(F322&gt;=12,"High",IF(F322&gt;=6,"Medium","Low"))))</f>
        <v/>
      </c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>
        <f>IF(OR(D323="",E323=""),"",D323*E323)</f>
        <v/>
      </c>
      <c r="G323" s="15">
        <f>IF(F323="","",IF(F323&gt;=20,"Critical",IF(F323&gt;=12,"High",IF(F323&gt;=6,"Medium","Low"))))</f>
        <v/>
      </c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>
        <f>IF(OR(D324="",E324=""),"",D324*E324)</f>
        <v/>
      </c>
      <c r="G324" s="15">
        <f>IF(F324="","",IF(F324&gt;=20,"Critical",IF(F324&gt;=12,"High",IF(F324&gt;=6,"Medium","Low"))))</f>
        <v/>
      </c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>
        <f>IF(OR(D325="",E325=""),"",D325*E325)</f>
        <v/>
      </c>
      <c r="G325" s="15">
        <f>IF(F325="","",IF(F325&gt;=20,"Critical",IF(F325&gt;=12,"High",IF(F325&gt;=6,"Medium","Low"))))</f>
        <v/>
      </c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>
        <f>IF(OR(D326="",E326=""),"",D326*E326)</f>
        <v/>
      </c>
      <c r="G326" s="15">
        <f>IF(F326="","",IF(F326&gt;=20,"Critical",IF(F326&gt;=12,"High",IF(F326&gt;=6,"Medium","Low"))))</f>
        <v/>
      </c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>
        <f>IF(OR(D327="",E327=""),"",D327*E327)</f>
        <v/>
      </c>
      <c r="G327" s="15">
        <f>IF(F327="","",IF(F327&gt;=20,"Critical",IF(F327&gt;=12,"High",IF(F327&gt;=6,"Medium","Low"))))</f>
        <v/>
      </c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>
        <f>IF(OR(D328="",E328=""),"",D328*E328)</f>
        <v/>
      </c>
      <c r="G328" s="15">
        <f>IF(F328="","",IF(F328&gt;=20,"Critical",IF(F328&gt;=12,"High",IF(F328&gt;=6,"Medium","Low"))))</f>
        <v/>
      </c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>
        <f>IF(OR(D329="",E329=""),"",D329*E329)</f>
        <v/>
      </c>
      <c r="G329" s="15">
        <f>IF(F329="","",IF(F329&gt;=20,"Critical",IF(F329&gt;=12,"High",IF(F329&gt;=6,"Medium","Low"))))</f>
        <v/>
      </c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>
        <f>IF(OR(D330="",E330=""),"",D330*E330)</f>
        <v/>
      </c>
      <c r="G330" s="15">
        <f>IF(F330="","",IF(F330&gt;=20,"Critical",IF(F330&gt;=12,"High",IF(F330&gt;=6,"Medium","Low"))))</f>
        <v/>
      </c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>
        <f>IF(OR(D331="",E331=""),"",D331*E331)</f>
        <v/>
      </c>
      <c r="G331" s="15">
        <f>IF(F331="","",IF(F331&gt;=20,"Critical",IF(F331&gt;=12,"High",IF(F331&gt;=6,"Medium","Low"))))</f>
        <v/>
      </c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>
        <f>IF(OR(D332="",E332=""),"",D332*E332)</f>
        <v/>
      </c>
      <c r="G332" s="15">
        <f>IF(F332="","",IF(F332&gt;=20,"Critical",IF(F332&gt;=12,"High",IF(F332&gt;=6,"Medium","Low"))))</f>
        <v/>
      </c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>
        <f>IF(OR(D333="",E333=""),"",D333*E333)</f>
        <v/>
      </c>
      <c r="G333" s="15">
        <f>IF(F333="","",IF(F333&gt;=20,"Critical",IF(F333&gt;=12,"High",IF(F333&gt;=6,"Medium","Low"))))</f>
        <v/>
      </c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>
        <f>IF(OR(D334="",E334=""),"",D334*E334)</f>
        <v/>
      </c>
      <c r="G334" s="15">
        <f>IF(F334="","",IF(F334&gt;=20,"Critical",IF(F334&gt;=12,"High",IF(F334&gt;=6,"Medium","Low"))))</f>
        <v/>
      </c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>
        <f>IF(OR(D335="",E335=""),"",D335*E335)</f>
        <v/>
      </c>
      <c r="G335" s="15">
        <f>IF(F335="","",IF(F335&gt;=20,"Critical",IF(F335&gt;=12,"High",IF(F335&gt;=6,"Medium","Low"))))</f>
        <v/>
      </c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>
        <f>IF(OR(D336="",E336=""),"",D336*E336)</f>
        <v/>
      </c>
      <c r="G336" s="15">
        <f>IF(F336="","",IF(F336&gt;=20,"Critical",IF(F336&gt;=12,"High",IF(F336&gt;=6,"Medium","Low"))))</f>
        <v/>
      </c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>
        <f>IF(OR(D337="",E337=""),"",D337*E337)</f>
        <v/>
      </c>
      <c r="G337" s="15">
        <f>IF(F337="","",IF(F337&gt;=20,"Critical",IF(F337&gt;=12,"High",IF(F337&gt;=6,"Medium","Low"))))</f>
        <v/>
      </c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>
        <f>IF(OR(D338="",E338=""),"",D338*E338)</f>
        <v/>
      </c>
      <c r="G338" s="15">
        <f>IF(F338="","",IF(F338&gt;=20,"Critical",IF(F338&gt;=12,"High",IF(F338&gt;=6,"Medium","Low"))))</f>
        <v/>
      </c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>
        <f>IF(OR(D339="",E339=""),"",D339*E339)</f>
        <v/>
      </c>
      <c r="G339" s="15">
        <f>IF(F339="","",IF(F339&gt;=20,"Critical",IF(F339&gt;=12,"High",IF(F339&gt;=6,"Medium","Low"))))</f>
        <v/>
      </c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>
        <f>IF(OR(D340="",E340=""),"",D340*E340)</f>
        <v/>
      </c>
      <c r="G340" s="15">
        <f>IF(F340="","",IF(F340&gt;=20,"Critical",IF(F340&gt;=12,"High",IF(F340&gt;=6,"Medium","Low"))))</f>
        <v/>
      </c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>
        <f>IF(OR(D341="",E341=""),"",D341*E341)</f>
        <v/>
      </c>
      <c r="G341" s="15">
        <f>IF(F341="","",IF(F341&gt;=20,"Critical",IF(F341&gt;=12,"High",IF(F341&gt;=6,"Medium","Low"))))</f>
        <v/>
      </c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>
        <f>IF(OR(D342="",E342=""),"",D342*E342)</f>
        <v/>
      </c>
      <c r="G342" s="15">
        <f>IF(F342="","",IF(F342&gt;=20,"Critical",IF(F342&gt;=12,"High",IF(F342&gt;=6,"Medium","Low"))))</f>
        <v/>
      </c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>
        <f>IF(OR(D343="",E343=""),"",D343*E343)</f>
        <v/>
      </c>
      <c r="G343" s="15">
        <f>IF(F343="","",IF(F343&gt;=20,"Critical",IF(F343&gt;=12,"High",IF(F343&gt;=6,"Medium","Low"))))</f>
        <v/>
      </c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>
        <f>IF(OR(D344="",E344=""),"",D344*E344)</f>
        <v/>
      </c>
      <c r="G344" s="15">
        <f>IF(F344="","",IF(F344&gt;=20,"Critical",IF(F344&gt;=12,"High",IF(F344&gt;=6,"Medium","Low"))))</f>
        <v/>
      </c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>
        <f>IF(OR(D345="",E345=""),"",D345*E345)</f>
        <v/>
      </c>
      <c r="G345" s="15">
        <f>IF(F345="","",IF(F345&gt;=20,"Critical",IF(F345&gt;=12,"High",IF(F345&gt;=6,"Medium","Low"))))</f>
        <v/>
      </c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>
        <f>IF(OR(D346="",E346=""),"",D346*E346)</f>
        <v/>
      </c>
      <c r="G346" s="15">
        <f>IF(F346="","",IF(F346&gt;=20,"Critical",IF(F346&gt;=12,"High",IF(F346&gt;=6,"Medium","Low"))))</f>
        <v/>
      </c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>
        <f>IF(OR(D347="",E347=""),"",D347*E347)</f>
        <v/>
      </c>
      <c r="G347" s="15">
        <f>IF(F347="","",IF(F347&gt;=20,"Critical",IF(F347&gt;=12,"High",IF(F347&gt;=6,"Medium","Low"))))</f>
        <v/>
      </c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>
        <f>IF(OR(D348="",E348=""),"",D348*E348)</f>
        <v/>
      </c>
      <c r="G348" s="15">
        <f>IF(F348="","",IF(F348&gt;=20,"Critical",IF(F348&gt;=12,"High",IF(F348&gt;=6,"Medium","Low"))))</f>
        <v/>
      </c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>
        <f>IF(OR(D349="",E349=""),"",D349*E349)</f>
        <v/>
      </c>
      <c r="G349" s="15">
        <f>IF(F349="","",IF(F349&gt;=20,"Critical",IF(F349&gt;=12,"High",IF(F349&gt;=6,"Medium","Low"))))</f>
        <v/>
      </c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>
        <f>IF(OR(D350="",E350=""),"",D350*E350)</f>
        <v/>
      </c>
      <c r="G350" s="15">
        <f>IF(F350="","",IF(F350&gt;=20,"Critical",IF(F350&gt;=12,"High",IF(F350&gt;=6,"Medium","Low"))))</f>
        <v/>
      </c>
      <c r="H350" s="15" t="n"/>
      <c r="I350" s="15" t="n"/>
      <c r="J350" s="15" t="n"/>
      <c r="K350" s="15" t="n"/>
    </row>
  </sheetData>
  <autoFilter ref="A1:K350"/>
  <dataValidations count="6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"1,2,3,4,5"</formula1>
    </dataValidation>
    <dataValidation sqref="E2:E350" showDropDown="0" showInputMessage="0" showErrorMessage="1" allowBlank="1" errorTitle="Invalid selection" error="Select from dropdown." type="list">
      <formula1>"1,2,3,4,5"</formula1>
    </dataValidation>
    <dataValidation sqref="G2:G350" showDropDown="0" showInputMessage="0" showErrorMessage="1" allowBlank="1" errorTitle="Invalid selection" error="Select from dropdown." type="list">
      <formula1>"Low,Medium,High,Critical"</formula1>
    </dataValidation>
    <dataValidation sqref="I2:I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J2:J35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0" t="inlineStr">
        <is>
          <t>Resource Name</t>
        </is>
      </c>
      <c r="B1" s="10" t="inlineStr">
        <is>
          <t>Role</t>
        </is>
      </c>
      <c r="C1" s="10" t="inlineStr">
        <is>
          <t>Project ID</t>
        </is>
      </c>
      <c r="D1" s="10" t="inlineStr">
        <is>
          <t>Module</t>
        </is>
      </c>
      <c r="E1" s="10" t="inlineStr">
        <is>
          <t>Allocation %</t>
        </is>
      </c>
      <c r="F1" s="10" t="inlineStr">
        <is>
          <t>Start Date</t>
        </is>
      </c>
      <c r="G1" s="10" t="inlineStr">
        <is>
          <t>End Date</t>
        </is>
      </c>
      <c r="H1" s="10" t="inlineStr">
        <is>
          <t>Current Workload</t>
        </is>
      </c>
      <c r="I1" s="10" t="inlineStr">
        <is>
          <t>Remarks</t>
        </is>
      </c>
    </row>
    <row r="2">
      <c r="A2" s="15" t="inlineStr">
        <is>
          <t>Priya Nair</t>
        </is>
      </c>
      <c r="B2" s="15" t="inlineStr">
        <is>
          <t>Frontend Engineer</t>
        </is>
      </c>
      <c r="C2" s="15" t="inlineStr">
        <is>
          <t>PRJ-001</t>
        </is>
      </c>
      <c r="D2" s="15" t="inlineStr">
        <is>
          <t>Login</t>
        </is>
      </c>
      <c r="E2" s="17" t="n">
        <v>0.6</v>
      </c>
      <c r="F2" s="16" t="n">
        <v>46042</v>
      </c>
      <c r="G2" s="16" t="n">
        <v>46215</v>
      </c>
      <c r="H2" s="15">
        <f>IF(A2="","",SUMIF(A:A,A2,E:E))</f>
        <v/>
      </c>
      <c r="I2" s="15" t="inlineStr"/>
    </row>
    <row r="3">
      <c r="A3" s="15" t="inlineStr">
        <is>
          <t>Arjun Patel</t>
        </is>
      </c>
      <c r="B3" s="15" t="inlineStr">
        <is>
          <t>Backend Engineer</t>
        </is>
      </c>
      <c r="C3" s="15" t="inlineStr">
        <is>
          <t>PRJ-001</t>
        </is>
      </c>
      <c r="D3" s="15" t="inlineStr">
        <is>
          <t>Payments</t>
        </is>
      </c>
      <c r="E3" s="17" t="n">
        <v>0.8</v>
      </c>
      <c r="F3" s="16" t="n">
        <v>46096</v>
      </c>
      <c r="G3" s="16" t="n">
        <v>46215</v>
      </c>
      <c r="H3" s="15">
        <f>IF(A3="","",SUMIF(A:A,A3,E:E))</f>
        <v/>
      </c>
      <c r="I3" s="15" t="inlineStr"/>
    </row>
    <row r="4">
      <c r="A4" s="15" t="inlineStr">
        <is>
          <t>Leena Das</t>
        </is>
      </c>
      <c r="B4" s="15" t="inlineStr">
        <is>
          <t>Business Analyst</t>
        </is>
      </c>
      <c r="C4" s="15" t="inlineStr">
        <is>
          <t>PRJ-002</t>
        </is>
      </c>
      <c r="D4" s="15" t="inlineStr">
        <is>
          <t>Workflow</t>
        </is>
      </c>
      <c r="E4" s="17" t="n">
        <v>0.75</v>
      </c>
      <c r="F4" s="16" t="n">
        <v>46068</v>
      </c>
      <c r="G4" s="16" t="n">
        <v>46249</v>
      </c>
      <c r="H4" s="15">
        <f>IF(A4="","",SUMIF(A:A,A4,E:E))</f>
        <v/>
      </c>
      <c r="I4" s="15" t="inlineStr"/>
    </row>
    <row r="5">
      <c r="A5" s="15" t="n"/>
      <c r="B5" s="15" t="n"/>
      <c r="C5" s="15" t="n"/>
      <c r="D5" s="15" t="n"/>
      <c r="E5" s="15" t="n"/>
      <c r="F5" s="16" t="n"/>
      <c r="G5" s="16" t="n"/>
      <c r="H5" s="15">
        <f>IF(A5="","",SUMIF(A:A,A5,E:E))</f>
        <v/>
      </c>
      <c r="I5" s="15" t="n"/>
    </row>
    <row r="6">
      <c r="A6" s="15" t="n"/>
      <c r="B6" s="15" t="n"/>
      <c r="C6" s="15" t="n"/>
      <c r="D6" s="15" t="n"/>
      <c r="E6" s="15" t="n"/>
      <c r="F6" s="16" t="n"/>
      <c r="G6" s="16" t="n"/>
      <c r="H6" s="15">
        <f>IF(A6="","",SUMIF(A:A,A6,E:E))</f>
        <v/>
      </c>
      <c r="I6" s="15" t="n"/>
    </row>
    <row r="7">
      <c r="A7" s="15" t="n"/>
      <c r="B7" s="15" t="n"/>
      <c r="C7" s="15" t="n"/>
      <c r="D7" s="15" t="n"/>
      <c r="E7" s="15" t="n"/>
      <c r="F7" s="16" t="n"/>
      <c r="G7" s="16" t="n"/>
      <c r="H7" s="15">
        <f>IF(A7="","",SUMIF(A:A,A7,E:E))</f>
        <v/>
      </c>
      <c r="I7" s="15" t="n"/>
    </row>
    <row r="8">
      <c r="A8" s="15" t="n"/>
      <c r="B8" s="15" t="n"/>
      <c r="C8" s="15" t="n"/>
      <c r="D8" s="15" t="n"/>
      <c r="E8" s="15" t="n"/>
      <c r="F8" s="16" t="n"/>
      <c r="G8" s="16" t="n"/>
      <c r="H8" s="15">
        <f>IF(A8="","",SUMIF(A:A,A8,E:E))</f>
        <v/>
      </c>
      <c r="I8" s="15" t="n"/>
    </row>
    <row r="9">
      <c r="A9" s="15" t="n"/>
      <c r="B9" s="15" t="n"/>
      <c r="C9" s="15" t="n"/>
      <c r="D9" s="15" t="n"/>
      <c r="E9" s="15" t="n"/>
      <c r="F9" s="16" t="n"/>
      <c r="G9" s="16" t="n"/>
      <c r="H9" s="15">
        <f>IF(A9="","",SUMIF(A:A,A9,E:E))</f>
        <v/>
      </c>
      <c r="I9" s="15" t="n"/>
    </row>
    <row r="10">
      <c r="A10" s="15" t="n"/>
      <c r="B10" s="15" t="n"/>
      <c r="C10" s="15" t="n"/>
      <c r="D10" s="15" t="n"/>
      <c r="E10" s="15" t="n"/>
      <c r="F10" s="16" t="n"/>
      <c r="G10" s="16" t="n"/>
      <c r="H10" s="15">
        <f>IF(A10="","",SUMIF(A:A,A10,E:E))</f>
        <v/>
      </c>
      <c r="I10" s="15" t="n"/>
    </row>
    <row r="11">
      <c r="A11" s="15" t="n"/>
      <c r="B11" s="15" t="n"/>
      <c r="C11" s="15" t="n"/>
      <c r="D11" s="15" t="n"/>
      <c r="E11" s="15" t="n"/>
      <c r="F11" s="16" t="n"/>
      <c r="G11" s="16" t="n"/>
      <c r="H11" s="15">
        <f>IF(A11="","",SUMIF(A:A,A11,E:E))</f>
        <v/>
      </c>
      <c r="I11" s="15" t="n"/>
    </row>
    <row r="12">
      <c r="A12" s="15" t="n"/>
      <c r="B12" s="15" t="n"/>
      <c r="C12" s="15" t="n"/>
      <c r="D12" s="15" t="n"/>
      <c r="E12" s="15" t="n"/>
      <c r="F12" s="16" t="n"/>
      <c r="G12" s="16" t="n"/>
      <c r="H12" s="15">
        <f>IF(A12="","",SUMIF(A:A,A12,E:E))</f>
        <v/>
      </c>
      <c r="I12" s="15" t="n"/>
    </row>
    <row r="13">
      <c r="A13" s="15" t="n"/>
      <c r="B13" s="15" t="n"/>
      <c r="C13" s="15" t="n"/>
      <c r="D13" s="15" t="n"/>
      <c r="E13" s="15" t="n"/>
      <c r="F13" s="16" t="n"/>
      <c r="G13" s="16" t="n"/>
      <c r="H13" s="15">
        <f>IF(A13="","",SUMIF(A:A,A13,E:E))</f>
        <v/>
      </c>
      <c r="I13" s="15" t="n"/>
    </row>
    <row r="14">
      <c r="A14" s="15" t="n"/>
      <c r="B14" s="15" t="n"/>
      <c r="C14" s="15" t="n"/>
      <c r="D14" s="15" t="n"/>
      <c r="E14" s="15" t="n"/>
      <c r="F14" s="16" t="n"/>
      <c r="G14" s="16" t="n"/>
      <c r="H14" s="15">
        <f>IF(A14="","",SUMIF(A:A,A14,E:E))</f>
        <v/>
      </c>
      <c r="I14" s="15" t="n"/>
    </row>
    <row r="15">
      <c r="A15" s="15" t="n"/>
      <c r="B15" s="15" t="n"/>
      <c r="C15" s="15" t="n"/>
      <c r="D15" s="15" t="n"/>
      <c r="E15" s="15" t="n"/>
      <c r="F15" s="16" t="n"/>
      <c r="G15" s="16" t="n"/>
      <c r="H15" s="15">
        <f>IF(A15="","",SUMIF(A:A,A15,E:E))</f>
        <v/>
      </c>
      <c r="I15" s="15" t="n"/>
    </row>
    <row r="16">
      <c r="A16" s="15" t="n"/>
      <c r="B16" s="15" t="n"/>
      <c r="C16" s="15" t="n"/>
      <c r="D16" s="15" t="n"/>
      <c r="E16" s="15" t="n"/>
      <c r="F16" s="16" t="n"/>
      <c r="G16" s="16" t="n"/>
      <c r="H16" s="15">
        <f>IF(A16="","",SUMIF(A:A,A16,E:E))</f>
        <v/>
      </c>
      <c r="I16" s="15" t="n"/>
    </row>
    <row r="17">
      <c r="A17" s="15" t="n"/>
      <c r="B17" s="15" t="n"/>
      <c r="C17" s="15" t="n"/>
      <c r="D17" s="15" t="n"/>
      <c r="E17" s="15" t="n"/>
      <c r="F17" s="16" t="n"/>
      <c r="G17" s="16" t="n"/>
      <c r="H17" s="15">
        <f>IF(A17="","",SUMIF(A:A,A17,E:E))</f>
        <v/>
      </c>
      <c r="I17" s="15" t="n"/>
    </row>
    <row r="18">
      <c r="A18" s="15" t="n"/>
      <c r="B18" s="15" t="n"/>
      <c r="C18" s="15" t="n"/>
      <c r="D18" s="15" t="n"/>
      <c r="E18" s="15" t="n"/>
      <c r="F18" s="16" t="n"/>
      <c r="G18" s="16" t="n"/>
      <c r="H18" s="15">
        <f>IF(A18="","",SUMIF(A:A,A18,E:E))</f>
        <v/>
      </c>
      <c r="I18" s="15" t="n"/>
    </row>
    <row r="19">
      <c r="A19" s="15" t="n"/>
      <c r="B19" s="15" t="n"/>
      <c r="C19" s="15" t="n"/>
      <c r="D19" s="15" t="n"/>
      <c r="E19" s="15" t="n"/>
      <c r="F19" s="16" t="n"/>
      <c r="G19" s="16" t="n"/>
      <c r="H19" s="15">
        <f>IF(A19="","",SUMIF(A:A,A19,E:E))</f>
        <v/>
      </c>
      <c r="I19" s="15" t="n"/>
    </row>
    <row r="20">
      <c r="A20" s="15" t="n"/>
      <c r="B20" s="15" t="n"/>
      <c r="C20" s="15" t="n"/>
      <c r="D20" s="15" t="n"/>
      <c r="E20" s="15" t="n"/>
      <c r="F20" s="16" t="n"/>
      <c r="G20" s="16" t="n"/>
      <c r="H20" s="15">
        <f>IF(A20="","",SUMIF(A:A,A20,E:E))</f>
        <v/>
      </c>
      <c r="I20" s="15" t="n"/>
    </row>
    <row r="21">
      <c r="A21" s="15" t="n"/>
      <c r="B21" s="15" t="n"/>
      <c r="C21" s="15" t="n"/>
      <c r="D21" s="15" t="n"/>
      <c r="E21" s="15" t="n"/>
      <c r="F21" s="16" t="n"/>
      <c r="G21" s="16" t="n"/>
      <c r="H21" s="15">
        <f>IF(A21="","",SUMIF(A:A,A21,E:E))</f>
        <v/>
      </c>
      <c r="I21" s="15" t="n"/>
    </row>
    <row r="22">
      <c r="A22" s="15" t="n"/>
      <c r="B22" s="15" t="n"/>
      <c r="C22" s="15" t="n"/>
      <c r="D22" s="15" t="n"/>
      <c r="E22" s="15" t="n"/>
      <c r="F22" s="16" t="n"/>
      <c r="G22" s="16" t="n"/>
      <c r="H22" s="15">
        <f>IF(A22="","",SUMIF(A:A,A22,E:E))</f>
        <v/>
      </c>
      <c r="I22" s="15" t="n"/>
    </row>
    <row r="23">
      <c r="A23" s="15" t="n"/>
      <c r="B23" s="15" t="n"/>
      <c r="C23" s="15" t="n"/>
      <c r="D23" s="15" t="n"/>
      <c r="E23" s="15" t="n"/>
      <c r="F23" s="16" t="n"/>
      <c r="G23" s="16" t="n"/>
      <c r="H23" s="15">
        <f>IF(A23="","",SUMIF(A:A,A23,E:E))</f>
        <v/>
      </c>
      <c r="I23" s="15" t="n"/>
    </row>
    <row r="24">
      <c r="A24" s="15" t="n"/>
      <c r="B24" s="15" t="n"/>
      <c r="C24" s="15" t="n"/>
      <c r="D24" s="15" t="n"/>
      <c r="E24" s="15" t="n"/>
      <c r="F24" s="16" t="n"/>
      <c r="G24" s="16" t="n"/>
      <c r="H24" s="15">
        <f>IF(A24="","",SUMIF(A:A,A24,E:E))</f>
        <v/>
      </c>
      <c r="I24" s="15" t="n"/>
    </row>
    <row r="25">
      <c r="A25" s="15" t="n"/>
      <c r="B25" s="15" t="n"/>
      <c r="C25" s="15" t="n"/>
      <c r="D25" s="15" t="n"/>
      <c r="E25" s="15" t="n"/>
      <c r="F25" s="16" t="n"/>
      <c r="G25" s="16" t="n"/>
      <c r="H25" s="15">
        <f>IF(A25="","",SUMIF(A:A,A25,E:E))</f>
        <v/>
      </c>
      <c r="I25" s="15" t="n"/>
    </row>
    <row r="26">
      <c r="A26" s="15" t="n"/>
      <c r="B26" s="15" t="n"/>
      <c r="C26" s="15" t="n"/>
      <c r="D26" s="15" t="n"/>
      <c r="E26" s="15" t="n"/>
      <c r="F26" s="16" t="n"/>
      <c r="G26" s="16" t="n"/>
      <c r="H26" s="15">
        <f>IF(A26="","",SUMIF(A:A,A26,E:E))</f>
        <v/>
      </c>
      <c r="I26" s="15" t="n"/>
    </row>
    <row r="27">
      <c r="A27" s="15" t="n"/>
      <c r="B27" s="15" t="n"/>
      <c r="C27" s="15" t="n"/>
      <c r="D27" s="15" t="n"/>
      <c r="E27" s="15" t="n"/>
      <c r="F27" s="16" t="n"/>
      <c r="G27" s="16" t="n"/>
      <c r="H27" s="15">
        <f>IF(A27="","",SUMIF(A:A,A27,E:E))</f>
        <v/>
      </c>
      <c r="I27" s="15" t="n"/>
    </row>
    <row r="28">
      <c r="A28" s="15" t="n"/>
      <c r="B28" s="15" t="n"/>
      <c r="C28" s="15" t="n"/>
      <c r="D28" s="15" t="n"/>
      <c r="E28" s="15" t="n"/>
      <c r="F28" s="16" t="n"/>
      <c r="G28" s="16" t="n"/>
      <c r="H28" s="15">
        <f>IF(A28="","",SUMIF(A:A,A28,E:E))</f>
        <v/>
      </c>
      <c r="I28" s="15" t="n"/>
    </row>
    <row r="29">
      <c r="A29" s="15" t="n"/>
      <c r="B29" s="15" t="n"/>
      <c r="C29" s="15" t="n"/>
      <c r="D29" s="15" t="n"/>
      <c r="E29" s="15" t="n"/>
      <c r="F29" s="16" t="n"/>
      <c r="G29" s="16" t="n"/>
      <c r="H29" s="15">
        <f>IF(A29="","",SUMIF(A:A,A29,E:E))</f>
        <v/>
      </c>
      <c r="I29" s="15" t="n"/>
    </row>
    <row r="30">
      <c r="A30" s="15" t="n"/>
      <c r="B30" s="15" t="n"/>
      <c r="C30" s="15" t="n"/>
      <c r="D30" s="15" t="n"/>
      <c r="E30" s="15" t="n"/>
      <c r="F30" s="16" t="n"/>
      <c r="G30" s="16" t="n"/>
      <c r="H30" s="15">
        <f>IF(A30="","",SUMIF(A:A,A30,E:E))</f>
        <v/>
      </c>
      <c r="I30" s="15" t="n"/>
    </row>
    <row r="31">
      <c r="A31" s="15" t="n"/>
      <c r="B31" s="15" t="n"/>
      <c r="C31" s="15" t="n"/>
      <c r="D31" s="15" t="n"/>
      <c r="E31" s="15" t="n"/>
      <c r="F31" s="16" t="n"/>
      <c r="G31" s="16" t="n"/>
      <c r="H31" s="15">
        <f>IF(A31="","",SUMIF(A:A,A31,E:E))</f>
        <v/>
      </c>
      <c r="I31" s="15" t="n"/>
    </row>
    <row r="32">
      <c r="A32" s="15" t="n"/>
      <c r="B32" s="15" t="n"/>
      <c r="C32" s="15" t="n"/>
      <c r="D32" s="15" t="n"/>
      <c r="E32" s="15" t="n"/>
      <c r="F32" s="16" t="n"/>
      <c r="G32" s="16" t="n"/>
      <c r="H32" s="15">
        <f>IF(A32="","",SUMIF(A:A,A32,E:E))</f>
        <v/>
      </c>
      <c r="I32" s="15" t="n"/>
    </row>
    <row r="33">
      <c r="A33" s="15" t="n"/>
      <c r="B33" s="15" t="n"/>
      <c r="C33" s="15" t="n"/>
      <c r="D33" s="15" t="n"/>
      <c r="E33" s="15" t="n"/>
      <c r="F33" s="16" t="n"/>
      <c r="G33" s="16" t="n"/>
      <c r="H33" s="15">
        <f>IF(A33="","",SUMIF(A:A,A33,E:E))</f>
        <v/>
      </c>
      <c r="I33" s="15" t="n"/>
    </row>
    <row r="34">
      <c r="A34" s="15" t="n"/>
      <c r="B34" s="15" t="n"/>
      <c r="C34" s="15" t="n"/>
      <c r="D34" s="15" t="n"/>
      <c r="E34" s="15" t="n"/>
      <c r="F34" s="16" t="n"/>
      <c r="G34" s="16" t="n"/>
      <c r="H34" s="15">
        <f>IF(A34="","",SUMIF(A:A,A34,E:E))</f>
        <v/>
      </c>
      <c r="I34" s="15" t="n"/>
    </row>
    <row r="35">
      <c r="A35" s="15" t="n"/>
      <c r="B35" s="15" t="n"/>
      <c r="C35" s="15" t="n"/>
      <c r="D35" s="15" t="n"/>
      <c r="E35" s="15" t="n"/>
      <c r="F35" s="16" t="n"/>
      <c r="G35" s="16" t="n"/>
      <c r="H35" s="15">
        <f>IF(A35="","",SUMIF(A:A,A35,E:E))</f>
        <v/>
      </c>
      <c r="I35" s="15" t="n"/>
    </row>
    <row r="36">
      <c r="A36" s="15" t="n"/>
      <c r="B36" s="15" t="n"/>
      <c r="C36" s="15" t="n"/>
      <c r="D36" s="15" t="n"/>
      <c r="E36" s="15" t="n"/>
      <c r="F36" s="16" t="n"/>
      <c r="G36" s="16" t="n"/>
      <c r="H36" s="15">
        <f>IF(A36="","",SUMIF(A:A,A36,E:E))</f>
        <v/>
      </c>
      <c r="I36" s="15" t="n"/>
    </row>
    <row r="37">
      <c r="A37" s="15" t="n"/>
      <c r="B37" s="15" t="n"/>
      <c r="C37" s="15" t="n"/>
      <c r="D37" s="15" t="n"/>
      <c r="E37" s="15" t="n"/>
      <c r="F37" s="16" t="n"/>
      <c r="G37" s="16" t="n"/>
      <c r="H37" s="15">
        <f>IF(A37="","",SUMIF(A:A,A37,E:E))</f>
        <v/>
      </c>
      <c r="I37" s="15" t="n"/>
    </row>
    <row r="38">
      <c r="A38" s="15" t="n"/>
      <c r="B38" s="15" t="n"/>
      <c r="C38" s="15" t="n"/>
      <c r="D38" s="15" t="n"/>
      <c r="E38" s="15" t="n"/>
      <c r="F38" s="16" t="n"/>
      <c r="G38" s="16" t="n"/>
      <c r="H38" s="15">
        <f>IF(A38="","",SUMIF(A:A,A38,E:E))</f>
        <v/>
      </c>
      <c r="I38" s="15" t="n"/>
    </row>
    <row r="39">
      <c r="A39" s="15" t="n"/>
      <c r="B39" s="15" t="n"/>
      <c r="C39" s="15" t="n"/>
      <c r="D39" s="15" t="n"/>
      <c r="E39" s="15" t="n"/>
      <c r="F39" s="16" t="n"/>
      <c r="G39" s="16" t="n"/>
      <c r="H39" s="15">
        <f>IF(A39="","",SUMIF(A:A,A39,E:E))</f>
        <v/>
      </c>
      <c r="I39" s="15" t="n"/>
    </row>
    <row r="40">
      <c r="A40" s="15" t="n"/>
      <c r="B40" s="15" t="n"/>
      <c r="C40" s="15" t="n"/>
      <c r="D40" s="15" t="n"/>
      <c r="E40" s="15" t="n"/>
      <c r="F40" s="16" t="n"/>
      <c r="G40" s="16" t="n"/>
      <c r="H40" s="15">
        <f>IF(A40="","",SUMIF(A:A,A40,E:E))</f>
        <v/>
      </c>
      <c r="I40" s="15" t="n"/>
    </row>
    <row r="41">
      <c r="A41" s="15" t="n"/>
      <c r="B41" s="15" t="n"/>
      <c r="C41" s="15" t="n"/>
      <c r="D41" s="15" t="n"/>
      <c r="E41" s="15" t="n"/>
      <c r="F41" s="16" t="n"/>
      <c r="G41" s="16" t="n"/>
      <c r="H41" s="15">
        <f>IF(A41="","",SUMIF(A:A,A41,E:E))</f>
        <v/>
      </c>
      <c r="I41" s="15" t="n"/>
    </row>
    <row r="42">
      <c r="A42" s="15" t="n"/>
      <c r="B42" s="15" t="n"/>
      <c r="C42" s="15" t="n"/>
      <c r="D42" s="15" t="n"/>
      <c r="E42" s="15" t="n"/>
      <c r="F42" s="16" t="n"/>
      <c r="G42" s="16" t="n"/>
      <c r="H42" s="15">
        <f>IF(A42="","",SUMIF(A:A,A42,E:E))</f>
        <v/>
      </c>
      <c r="I42" s="15" t="n"/>
    </row>
    <row r="43">
      <c r="A43" s="15" t="n"/>
      <c r="B43" s="15" t="n"/>
      <c r="C43" s="15" t="n"/>
      <c r="D43" s="15" t="n"/>
      <c r="E43" s="15" t="n"/>
      <c r="F43" s="16" t="n"/>
      <c r="G43" s="16" t="n"/>
      <c r="H43" s="15">
        <f>IF(A43="","",SUMIF(A:A,A43,E:E))</f>
        <v/>
      </c>
      <c r="I43" s="15" t="n"/>
    </row>
    <row r="44">
      <c r="A44" s="15" t="n"/>
      <c r="B44" s="15" t="n"/>
      <c r="C44" s="15" t="n"/>
      <c r="D44" s="15" t="n"/>
      <c r="E44" s="15" t="n"/>
      <c r="F44" s="16" t="n"/>
      <c r="G44" s="16" t="n"/>
      <c r="H44" s="15">
        <f>IF(A44="","",SUMIF(A:A,A44,E:E))</f>
        <v/>
      </c>
      <c r="I44" s="15" t="n"/>
    </row>
    <row r="45">
      <c r="A45" s="15" t="n"/>
      <c r="B45" s="15" t="n"/>
      <c r="C45" s="15" t="n"/>
      <c r="D45" s="15" t="n"/>
      <c r="E45" s="15" t="n"/>
      <c r="F45" s="16" t="n"/>
      <c r="G45" s="16" t="n"/>
      <c r="H45" s="15">
        <f>IF(A45="","",SUMIF(A:A,A45,E:E))</f>
        <v/>
      </c>
      <c r="I45" s="15" t="n"/>
    </row>
    <row r="46">
      <c r="A46" s="15" t="n"/>
      <c r="B46" s="15" t="n"/>
      <c r="C46" s="15" t="n"/>
      <c r="D46" s="15" t="n"/>
      <c r="E46" s="15" t="n"/>
      <c r="F46" s="16" t="n"/>
      <c r="G46" s="16" t="n"/>
      <c r="H46" s="15">
        <f>IF(A46="","",SUMIF(A:A,A46,E:E))</f>
        <v/>
      </c>
      <c r="I46" s="15" t="n"/>
    </row>
    <row r="47">
      <c r="A47" s="15" t="n"/>
      <c r="B47" s="15" t="n"/>
      <c r="C47" s="15" t="n"/>
      <c r="D47" s="15" t="n"/>
      <c r="E47" s="15" t="n"/>
      <c r="F47" s="16" t="n"/>
      <c r="G47" s="16" t="n"/>
      <c r="H47" s="15">
        <f>IF(A47="","",SUMIF(A:A,A47,E:E))</f>
        <v/>
      </c>
      <c r="I47" s="15" t="n"/>
    </row>
    <row r="48">
      <c r="A48" s="15" t="n"/>
      <c r="B48" s="15" t="n"/>
      <c r="C48" s="15" t="n"/>
      <c r="D48" s="15" t="n"/>
      <c r="E48" s="15" t="n"/>
      <c r="F48" s="16" t="n"/>
      <c r="G48" s="16" t="n"/>
      <c r="H48" s="15">
        <f>IF(A48="","",SUMIF(A:A,A48,E:E))</f>
        <v/>
      </c>
      <c r="I48" s="15" t="n"/>
    </row>
    <row r="49">
      <c r="A49" s="15" t="n"/>
      <c r="B49" s="15" t="n"/>
      <c r="C49" s="15" t="n"/>
      <c r="D49" s="15" t="n"/>
      <c r="E49" s="15" t="n"/>
      <c r="F49" s="16" t="n"/>
      <c r="G49" s="16" t="n"/>
      <c r="H49" s="15">
        <f>IF(A49="","",SUMIF(A:A,A49,E:E))</f>
        <v/>
      </c>
      <c r="I49" s="15" t="n"/>
    </row>
    <row r="50">
      <c r="A50" s="15" t="n"/>
      <c r="B50" s="15" t="n"/>
      <c r="C50" s="15" t="n"/>
      <c r="D50" s="15" t="n"/>
      <c r="E50" s="15" t="n"/>
      <c r="F50" s="16" t="n"/>
      <c r="G50" s="16" t="n"/>
      <c r="H50" s="15">
        <f>IF(A50="","",SUMIF(A:A,A50,E:E))</f>
        <v/>
      </c>
      <c r="I50" s="15" t="n"/>
    </row>
    <row r="51">
      <c r="A51" s="15" t="n"/>
      <c r="B51" s="15" t="n"/>
      <c r="C51" s="15" t="n"/>
      <c r="D51" s="15" t="n"/>
      <c r="E51" s="15" t="n"/>
      <c r="F51" s="16" t="n"/>
      <c r="G51" s="16" t="n"/>
      <c r="H51" s="15">
        <f>IF(A51="","",SUMIF(A:A,A51,E:E))</f>
        <v/>
      </c>
      <c r="I51" s="15" t="n"/>
    </row>
    <row r="52">
      <c r="A52" s="15" t="n"/>
      <c r="B52" s="15" t="n"/>
      <c r="C52" s="15" t="n"/>
      <c r="D52" s="15" t="n"/>
      <c r="E52" s="15" t="n"/>
      <c r="F52" s="16" t="n"/>
      <c r="G52" s="16" t="n"/>
      <c r="H52" s="15">
        <f>IF(A52="","",SUMIF(A:A,A52,E:E))</f>
        <v/>
      </c>
      <c r="I52" s="15" t="n"/>
    </row>
    <row r="53">
      <c r="A53" s="15" t="n"/>
      <c r="B53" s="15" t="n"/>
      <c r="C53" s="15" t="n"/>
      <c r="D53" s="15" t="n"/>
      <c r="E53" s="15" t="n"/>
      <c r="F53" s="16" t="n"/>
      <c r="G53" s="16" t="n"/>
      <c r="H53" s="15">
        <f>IF(A53="","",SUMIF(A:A,A53,E:E))</f>
        <v/>
      </c>
      <c r="I53" s="15" t="n"/>
    </row>
    <row r="54">
      <c r="A54" s="15" t="n"/>
      <c r="B54" s="15" t="n"/>
      <c r="C54" s="15" t="n"/>
      <c r="D54" s="15" t="n"/>
      <c r="E54" s="15" t="n"/>
      <c r="F54" s="16" t="n"/>
      <c r="G54" s="16" t="n"/>
      <c r="H54" s="15">
        <f>IF(A54="","",SUMIF(A:A,A54,E:E))</f>
        <v/>
      </c>
      <c r="I54" s="15" t="n"/>
    </row>
    <row r="55">
      <c r="A55" s="15" t="n"/>
      <c r="B55" s="15" t="n"/>
      <c r="C55" s="15" t="n"/>
      <c r="D55" s="15" t="n"/>
      <c r="E55" s="15" t="n"/>
      <c r="F55" s="16" t="n"/>
      <c r="G55" s="16" t="n"/>
      <c r="H55" s="15">
        <f>IF(A55="","",SUMIF(A:A,A55,E:E))</f>
        <v/>
      </c>
      <c r="I55" s="15" t="n"/>
    </row>
    <row r="56">
      <c r="A56" s="15" t="n"/>
      <c r="B56" s="15" t="n"/>
      <c r="C56" s="15" t="n"/>
      <c r="D56" s="15" t="n"/>
      <c r="E56" s="15" t="n"/>
      <c r="F56" s="16" t="n"/>
      <c r="G56" s="16" t="n"/>
      <c r="H56" s="15">
        <f>IF(A56="","",SUMIF(A:A,A56,E:E))</f>
        <v/>
      </c>
      <c r="I56" s="15" t="n"/>
    </row>
    <row r="57">
      <c r="A57" s="15" t="n"/>
      <c r="B57" s="15" t="n"/>
      <c r="C57" s="15" t="n"/>
      <c r="D57" s="15" t="n"/>
      <c r="E57" s="15" t="n"/>
      <c r="F57" s="16" t="n"/>
      <c r="G57" s="16" t="n"/>
      <c r="H57" s="15">
        <f>IF(A57="","",SUMIF(A:A,A57,E:E))</f>
        <v/>
      </c>
      <c r="I57" s="15" t="n"/>
    </row>
    <row r="58">
      <c r="A58" s="15" t="n"/>
      <c r="B58" s="15" t="n"/>
      <c r="C58" s="15" t="n"/>
      <c r="D58" s="15" t="n"/>
      <c r="E58" s="15" t="n"/>
      <c r="F58" s="16" t="n"/>
      <c r="G58" s="16" t="n"/>
      <c r="H58" s="15">
        <f>IF(A58="","",SUMIF(A:A,A58,E:E))</f>
        <v/>
      </c>
      <c r="I58" s="15" t="n"/>
    </row>
    <row r="59">
      <c r="A59" s="15" t="n"/>
      <c r="B59" s="15" t="n"/>
      <c r="C59" s="15" t="n"/>
      <c r="D59" s="15" t="n"/>
      <c r="E59" s="15" t="n"/>
      <c r="F59" s="16" t="n"/>
      <c r="G59" s="16" t="n"/>
      <c r="H59" s="15">
        <f>IF(A59="","",SUMIF(A:A,A59,E:E))</f>
        <v/>
      </c>
      <c r="I59" s="15" t="n"/>
    </row>
    <row r="60">
      <c r="A60" s="15" t="n"/>
      <c r="B60" s="15" t="n"/>
      <c r="C60" s="15" t="n"/>
      <c r="D60" s="15" t="n"/>
      <c r="E60" s="15" t="n"/>
      <c r="F60" s="16" t="n"/>
      <c r="G60" s="16" t="n"/>
      <c r="H60" s="15">
        <f>IF(A60="","",SUMIF(A:A,A60,E:E))</f>
        <v/>
      </c>
      <c r="I60" s="15" t="n"/>
    </row>
    <row r="61">
      <c r="A61" s="15" t="n"/>
      <c r="B61" s="15" t="n"/>
      <c r="C61" s="15" t="n"/>
      <c r="D61" s="15" t="n"/>
      <c r="E61" s="15" t="n"/>
      <c r="F61" s="16" t="n"/>
      <c r="G61" s="16" t="n"/>
      <c r="H61" s="15">
        <f>IF(A61="","",SUMIF(A:A,A61,E:E))</f>
        <v/>
      </c>
      <c r="I61" s="15" t="n"/>
    </row>
    <row r="62">
      <c r="A62" s="15" t="n"/>
      <c r="B62" s="15" t="n"/>
      <c r="C62" s="15" t="n"/>
      <c r="D62" s="15" t="n"/>
      <c r="E62" s="15" t="n"/>
      <c r="F62" s="16" t="n"/>
      <c r="G62" s="16" t="n"/>
      <c r="H62" s="15">
        <f>IF(A62="","",SUMIF(A:A,A62,E:E))</f>
        <v/>
      </c>
      <c r="I62" s="15" t="n"/>
    </row>
    <row r="63">
      <c r="A63" s="15" t="n"/>
      <c r="B63" s="15" t="n"/>
      <c r="C63" s="15" t="n"/>
      <c r="D63" s="15" t="n"/>
      <c r="E63" s="15" t="n"/>
      <c r="F63" s="16" t="n"/>
      <c r="G63" s="16" t="n"/>
      <c r="H63" s="15">
        <f>IF(A63="","",SUMIF(A:A,A63,E:E))</f>
        <v/>
      </c>
      <c r="I63" s="15" t="n"/>
    </row>
    <row r="64">
      <c r="A64" s="15" t="n"/>
      <c r="B64" s="15" t="n"/>
      <c r="C64" s="15" t="n"/>
      <c r="D64" s="15" t="n"/>
      <c r="E64" s="15" t="n"/>
      <c r="F64" s="16" t="n"/>
      <c r="G64" s="16" t="n"/>
      <c r="H64" s="15">
        <f>IF(A64="","",SUMIF(A:A,A64,E:E))</f>
        <v/>
      </c>
      <c r="I64" s="15" t="n"/>
    </row>
    <row r="65">
      <c r="A65" s="15" t="n"/>
      <c r="B65" s="15" t="n"/>
      <c r="C65" s="15" t="n"/>
      <c r="D65" s="15" t="n"/>
      <c r="E65" s="15" t="n"/>
      <c r="F65" s="16" t="n"/>
      <c r="G65" s="16" t="n"/>
      <c r="H65" s="15">
        <f>IF(A65="","",SUMIF(A:A,A65,E:E))</f>
        <v/>
      </c>
      <c r="I65" s="15" t="n"/>
    </row>
    <row r="66">
      <c r="A66" s="15" t="n"/>
      <c r="B66" s="15" t="n"/>
      <c r="C66" s="15" t="n"/>
      <c r="D66" s="15" t="n"/>
      <c r="E66" s="15" t="n"/>
      <c r="F66" s="16" t="n"/>
      <c r="G66" s="16" t="n"/>
      <c r="H66" s="15">
        <f>IF(A66="","",SUMIF(A:A,A66,E:E))</f>
        <v/>
      </c>
      <c r="I66" s="15" t="n"/>
    </row>
    <row r="67">
      <c r="A67" s="15" t="n"/>
      <c r="B67" s="15" t="n"/>
      <c r="C67" s="15" t="n"/>
      <c r="D67" s="15" t="n"/>
      <c r="E67" s="15" t="n"/>
      <c r="F67" s="16" t="n"/>
      <c r="G67" s="16" t="n"/>
      <c r="H67" s="15">
        <f>IF(A67="","",SUMIF(A:A,A67,E:E))</f>
        <v/>
      </c>
      <c r="I67" s="15" t="n"/>
    </row>
    <row r="68">
      <c r="A68" s="15" t="n"/>
      <c r="B68" s="15" t="n"/>
      <c r="C68" s="15" t="n"/>
      <c r="D68" s="15" t="n"/>
      <c r="E68" s="15" t="n"/>
      <c r="F68" s="16" t="n"/>
      <c r="G68" s="16" t="n"/>
      <c r="H68" s="15">
        <f>IF(A68="","",SUMIF(A:A,A68,E:E))</f>
        <v/>
      </c>
      <c r="I68" s="15" t="n"/>
    </row>
    <row r="69">
      <c r="A69" s="15" t="n"/>
      <c r="B69" s="15" t="n"/>
      <c r="C69" s="15" t="n"/>
      <c r="D69" s="15" t="n"/>
      <c r="E69" s="15" t="n"/>
      <c r="F69" s="16" t="n"/>
      <c r="G69" s="16" t="n"/>
      <c r="H69" s="15">
        <f>IF(A69="","",SUMIF(A:A,A69,E:E))</f>
        <v/>
      </c>
      <c r="I69" s="15" t="n"/>
    </row>
    <row r="70">
      <c r="A70" s="15" t="n"/>
      <c r="B70" s="15" t="n"/>
      <c r="C70" s="15" t="n"/>
      <c r="D70" s="15" t="n"/>
      <c r="E70" s="15" t="n"/>
      <c r="F70" s="16" t="n"/>
      <c r="G70" s="16" t="n"/>
      <c r="H70" s="15">
        <f>IF(A70="","",SUMIF(A:A,A70,E:E))</f>
        <v/>
      </c>
      <c r="I70" s="15" t="n"/>
    </row>
    <row r="71">
      <c r="A71" s="15" t="n"/>
      <c r="B71" s="15" t="n"/>
      <c r="C71" s="15" t="n"/>
      <c r="D71" s="15" t="n"/>
      <c r="E71" s="15" t="n"/>
      <c r="F71" s="16" t="n"/>
      <c r="G71" s="16" t="n"/>
      <c r="H71" s="15">
        <f>IF(A71="","",SUMIF(A:A,A71,E:E))</f>
        <v/>
      </c>
      <c r="I71" s="15" t="n"/>
    </row>
    <row r="72">
      <c r="A72" s="15" t="n"/>
      <c r="B72" s="15" t="n"/>
      <c r="C72" s="15" t="n"/>
      <c r="D72" s="15" t="n"/>
      <c r="E72" s="15" t="n"/>
      <c r="F72" s="16" t="n"/>
      <c r="G72" s="16" t="n"/>
      <c r="H72" s="15">
        <f>IF(A72="","",SUMIF(A:A,A72,E:E))</f>
        <v/>
      </c>
      <c r="I72" s="15" t="n"/>
    </row>
    <row r="73">
      <c r="A73" s="15" t="n"/>
      <c r="B73" s="15" t="n"/>
      <c r="C73" s="15" t="n"/>
      <c r="D73" s="15" t="n"/>
      <c r="E73" s="15" t="n"/>
      <c r="F73" s="16" t="n"/>
      <c r="G73" s="16" t="n"/>
      <c r="H73" s="15">
        <f>IF(A73="","",SUMIF(A:A,A73,E:E))</f>
        <v/>
      </c>
      <c r="I73" s="15" t="n"/>
    </row>
    <row r="74">
      <c r="A74" s="15" t="n"/>
      <c r="B74" s="15" t="n"/>
      <c r="C74" s="15" t="n"/>
      <c r="D74" s="15" t="n"/>
      <c r="E74" s="15" t="n"/>
      <c r="F74" s="16" t="n"/>
      <c r="G74" s="16" t="n"/>
      <c r="H74" s="15">
        <f>IF(A74="","",SUMIF(A:A,A74,E:E))</f>
        <v/>
      </c>
      <c r="I74" s="15" t="n"/>
    </row>
    <row r="75">
      <c r="A75" s="15" t="n"/>
      <c r="B75" s="15" t="n"/>
      <c r="C75" s="15" t="n"/>
      <c r="D75" s="15" t="n"/>
      <c r="E75" s="15" t="n"/>
      <c r="F75" s="16" t="n"/>
      <c r="G75" s="16" t="n"/>
      <c r="H75" s="15">
        <f>IF(A75="","",SUMIF(A:A,A75,E:E))</f>
        <v/>
      </c>
      <c r="I75" s="15" t="n"/>
    </row>
    <row r="76">
      <c r="A76" s="15" t="n"/>
      <c r="B76" s="15" t="n"/>
      <c r="C76" s="15" t="n"/>
      <c r="D76" s="15" t="n"/>
      <c r="E76" s="15" t="n"/>
      <c r="F76" s="16" t="n"/>
      <c r="G76" s="16" t="n"/>
      <c r="H76" s="15">
        <f>IF(A76="","",SUMIF(A:A,A76,E:E))</f>
        <v/>
      </c>
      <c r="I76" s="15" t="n"/>
    </row>
    <row r="77">
      <c r="A77" s="15" t="n"/>
      <c r="B77" s="15" t="n"/>
      <c r="C77" s="15" t="n"/>
      <c r="D77" s="15" t="n"/>
      <c r="E77" s="15" t="n"/>
      <c r="F77" s="16" t="n"/>
      <c r="G77" s="16" t="n"/>
      <c r="H77" s="15">
        <f>IF(A77="","",SUMIF(A:A,A77,E:E))</f>
        <v/>
      </c>
      <c r="I77" s="15" t="n"/>
    </row>
    <row r="78">
      <c r="A78" s="15" t="n"/>
      <c r="B78" s="15" t="n"/>
      <c r="C78" s="15" t="n"/>
      <c r="D78" s="15" t="n"/>
      <c r="E78" s="15" t="n"/>
      <c r="F78" s="16" t="n"/>
      <c r="G78" s="16" t="n"/>
      <c r="H78" s="15">
        <f>IF(A78="","",SUMIF(A:A,A78,E:E))</f>
        <v/>
      </c>
      <c r="I78" s="15" t="n"/>
    </row>
    <row r="79">
      <c r="A79" s="15" t="n"/>
      <c r="B79" s="15" t="n"/>
      <c r="C79" s="15" t="n"/>
      <c r="D79" s="15" t="n"/>
      <c r="E79" s="15" t="n"/>
      <c r="F79" s="16" t="n"/>
      <c r="G79" s="16" t="n"/>
      <c r="H79" s="15">
        <f>IF(A79="","",SUMIF(A:A,A79,E:E))</f>
        <v/>
      </c>
      <c r="I79" s="15" t="n"/>
    </row>
    <row r="80">
      <c r="A80" s="15" t="n"/>
      <c r="B80" s="15" t="n"/>
      <c r="C80" s="15" t="n"/>
      <c r="D80" s="15" t="n"/>
      <c r="E80" s="15" t="n"/>
      <c r="F80" s="16" t="n"/>
      <c r="G80" s="16" t="n"/>
      <c r="H80" s="15">
        <f>IF(A80="","",SUMIF(A:A,A80,E:E))</f>
        <v/>
      </c>
      <c r="I80" s="15" t="n"/>
    </row>
    <row r="81">
      <c r="A81" s="15" t="n"/>
      <c r="B81" s="15" t="n"/>
      <c r="C81" s="15" t="n"/>
      <c r="D81" s="15" t="n"/>
      <c r="E81" s="15" t="n"/>
      <c r="F81" s="16" t="n"/>
      <c r="G81" s="16" t="n"/>
      <c r="H81" s="15">
        <f>IF(A81="","",SUMIF(A:A,A81,E:E))</f>
        <v/>
      </c>
      <c r="I81" s="15" t="n"/>
    </row>
    <row r="82">
      <c r="A82" s="15" t="n"/>
      <c r="B82" s="15" t="n"/>
      <c r="C82" s="15" t="n"/>
      <c r="D82" s="15" t="n"/>
      <c r="E82" s="15" t="n"/>
      <c r="F82" s="16" t="n"/>
      <c r="G82" s="16" t="n"/>
      <c r="H82" s="15">
        <f>IF(A82="","",SUMIF(A:A,A82,E:E))</f>
        <v/>
      </c>
      <c r="I82" s="15" t="n"/>
    </row>
    <row r="83">
      <c r="A83" s="15" t="n"/>
      <c r="B83" s="15" t="n"/>
      <c r="C83" s="15" t="n"/>
      <c r="D83" s="15" t="n"/>
      <c r="E83" s="15" t="n"/>
      <c r="F83" s="16" t="n"/>
      <c r="G83" s="16" t="n"/>
      <c r="H83" s="15">
        <f>IF(A83="","",SUMIF(A:A,A83,E:E))</f>
        <v/>
      </c>
      <c r="I83" s="15" t="n"/>
    </row>
    <row r="84">
      <c r="A84" s="15" t="n"/>
      <c r="B84" s="15" t="n"/>
      <c r="C84" s="15" t="n"/>
      <c r="D84" s="15" t="n"/>
      <c r="E84" s="15" t="n"/>
      <c r="F84" s="16" t="n"/>
      <c r="G84" s="16" t="n"/>
      <c r="H84" s="15">
        <f>IF(A84="","",SUMIF(A:A,A84,E:E))</f>
        <v/>
      </c>
      <c r="I84" s="15" t="n"/>
    </row>
    <row r="85">
      <c r="A85" s="15" t="n"/>
      <c r="B85" s="15" t="n"/>
      <c r="C85" s="15" t="n"/>
      <c r="D85" s="15" t="n"/>
      <c r="E85" s="15" t="n"/>
      <c r="F85" s="16" t="n"/>
      <c r="G85" s="16" t="n"/>
      <c r="H85" s="15">
        <f>IF(A85="","",SUMIF(A:A,A85,E:E))</f>
        <v/>
      </c>
      <c r="I85" s="15" t="n"/>
    </row>
    <row r="86">
      <c r="A86" s="15" t="n"/>
      <c r="B86" s="15" t="n"/>
      <c r="C86" s="15" t="n"/>
      <c r="D86" s="15" t="n"/>
      <c r="E86" s="15" t="n"/>
      <c r="F86" s="16" t="n"/>
      <c r="G86" s="16" t="n"/>
      <c r="H86" s="15">
        <f>IF(A86="","",SUMIF(A:A,A86,E:E))</f>
        <v/>
      </c>
      <c r="I86" s="15" t="n"/>
    </row>
    <row r="87">
      <c r="A87" s="15" t="n"/>
      <c r="B87" s="15" t="n"/>
      <c r="C87" s="15" t="n"/>
      <c r="D87" s="15" t="n"/>
      <c r="E87" s="15" t="n"/>
      <c r="F87" s="16" t="n"/>
      <c r="G87" s="16" t="n"/>
      <c r="H87" s="15">
        <f>IF(A87="","",SUMIF(A:A,A87,E:E))</f>
        <v/>
      </c>
      <c r="I87" s="15" t="n"/>
    </row>
    <row r="88">
      <c r="A88" s="15" t="n"/>
      <c r="B88" s="15" t="n"/>
      <c r="C88" s="15" t="n"/>
      <c r="D88" s="15" t="n"/>
      <c r="E88" s="15" t="n"/>
      <c r="F88" s="16" t="n"/>
      <c r="G88" s="16" t="n"/>
      <c r="H88" s="15">
        <f>IF(A88="","",SUMIF(A:A,A88,E:E))</f>
        <v/>
      </c>
      <c r="I88" s="15" t="n"/>
    </row>
    <row r="89">
      <c r="A89" s="15" t="n"/>
      <c r="B89" s="15" t="n"/>
      <c r="C89" s="15" t="n"/>
      <c r="D89" s="15" t="n"/>
      <c r="E89" s="15" t="n"/>
      <c r="F89" s="16" t="n"/>
      <c r="G89" s="16" t="n"/>
      <c r="H89" s="15">
        <f>IF(A89="","",SUMIF(A:A,A89,E:E))</f>
        <v/>
      </c>
      <c r="I89" s="15" t="n"/>
    </row>
    <row r="90">
      <c r="A90" s="15" t="n"/>
      <c r="B90" s="15" t="n"/>
      <c r="C90" s="15" t="n"/>
      <c r="D90" s="15" t="n"/>
      <c r="E90" s="15" t="n"/>
      <c r="F90" s="16" t="n"/>
      <c r="G90" s="16" t="n"/>
      <c r="H90" s="15">
        <f>IF(A90="","",SUMIF(A:A,A90,E:E))</f>
        <v/>
      </c>
      <c r="I90" s="15" t="n"/>
    </row>
    <row r="91">
      <c r="A91" s="15" t="n"/>
      <c r="B91" s="15" t="n"/>
      <c r="C91" s="15" t="n"/>
      <c r="D91" s="15" t="n"/>
      <c r="E91" s="15" t="n"/>
      <c r="F91" s="16" t="n"/>
      <c r="G91" s="16" t="n"/>
      <c r="H91" s="15">
        <f>IF(A91="","",SUMIF(A:A,A91,E:E))</f>
        <v/>
      </c>
      <c r="I91" s="15" t="n"/>
    </row>
    <row r="92">
      <c r="A92" s="15" t="n"/>
      <c r="B92" s="15" t="n"/>
      <c r="C92" s="15" t="n"/>
      <c r="D92" s="15" t="n"/>
      <c r="E92" s="15" t="n"/>
      <c r="F92" s="16" t="n"/>
      <c r="G92" s="16" t="n"/>
      <c r="H92" s="15">
        <f>IF(A92="","",SUMIF(A:A,A92,E:E))</f>
        <v/>
      </c>
      <c r="I92" s="15" t="n"/>
    </row>
    <row r="93">
      <c r="A93" s="15" t="n"/>
      <c r="B93" s="15" t="n"/>
      <c r="C93" s="15" t="n"/>
      <c r="D93" s="15" t="n"/>
      <c r="E93" s="15" t="n"/>
      <c r="F93" s="16" t="n"/>
      <c r="G93" s="16" t="n"/>
      <c r="H93" s="15">
        <f>IF(A93="","",SUMIF(A:A,A93,E:E))</f>
        <v/>
      </c>
      <c r="I93" s="15" t="n"/>
    </row>
    <row r="94">
      <c r="A94" s="15" t="n"/>
      <c r="B94" s="15" t="n"/>
      <c r="C94" s="15" t="n"/>
      <c r="D94" s="15" t="n"/>
      <c r="E94" s="15" t="n"/>
      <c r="F94" s="16" t="n"/>
      <c r="G94" s="16" t="n"/>
      <c r="H94" s="15">
        <f>IF(A94="","",SUMIF(A:A,A94,E:E))</f>
        <v/>
      </c>
      <c r="I94" s="15" t="n"/>
    </row>
    <row r="95">
      <c r="A95" s="15" t="n"/>
      <c r="B95" s="15" t="n"/>
      <c r="C95" s="15" t="n"/>
      <c r="D95" s="15" t="n"/>
      <c r="E95" s="15" t="n"/>
      <c r="F95" s="16" t="n"/>
      <c r="G95" s="16" t="n"/>
      <c r="H95" s="15">
        <f>IF(A95="","",SUMIF(A:A,A95,E:E))</f>
        <v/>
      </c>
      <c r="I95" s="15" t="n"/>
    </row>
    <row r="96">
      <c r="A96" s="15" t="n"/>
      <c r="B96" s="15" t="n"/>
      <c r="C96" s="15" t="n"/>
      <c r="D96" s="15" t="n"/>
      <c r="E96" s="15" t="n"/>
      <c r="F96" s="16" t="n"/>
      <c r="G96" s="16" t="n"/>
      <c r="H96" s="15">
        <f>IF(A96="","",SUMIF(A:A,A96,E:E))</f>
        <v/>
      </c>
      <c r="I96" s="15" t="n"/>
    </row>
    <row r="97">
      <c r="A97" s="15" t="n"/>
      <c r="B97" s="15" t="n"/>
      <c r="C97" s="15" t="n"/>
      <c r="D97" s="15" t="n"/>
      <c r="E97" s="15" t="n"/>
      <c r="F97" s="16" t="n"/>
      <c r="G97" s="16" t="n"/>
      <c r="H97" s="15">
        <f>IF(A97="","",SUMIF(A:A,A97,E:E))</f>
        <v/>
      </c>
      <c r="I97" s="15" t="n"/>
    </row>
    <row r="98">
      <c r="A98" s="15" t="n"/>
      <c r="B98" s="15" t="n"/>
      <c r="C98" s="15" t="n"/>
      <c r="D98" s="15" t="n"/>
      <c r="E98" s="15" t="n"/>
      <c r="F98" s="16" t="n"/>
      <c r="G98" s="16" t="n"/>
      <c r="H98" s="15">
        <f>IF(A98="","",SUMIF(A:A,A98,E:E))</f>
        <v/>
      </c>
      <c r="I98" s="15" t="n"/>
    </row>
    <row r="99">
      <c r="A99" s="15" t="n"/>
      <c r="B99" s="15" t="n"/>
      <c r="C99" s="15" t="n"/>
      <c r="D99" s="15" t="n"/>
      <c r="E99" s="15" t="n"/>
      <c r="F99" s="16" t="n"/>
      <c r="G99" s="16" t="n"/>
      <c r="H99" s="15">
        <f>IF(A99="","",SUMIF(A:A,A99,E:E))</f>
        <v/>
      </c>
      <c r="I99" s="15" t="n"/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5">
        <f>IF(A100="","",SUMIF(A:A,A100,E:E))</f>
        <v/>
      </c>
      <c r="I100" s="15" t="n"/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5">
        <f>IF(A101="","",SUMIF(A:A,A101,E:E))</f>
        <v/>
      </c>
      <c r="I101" s="15" t="n"/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5">
        <f>IF(A102="","",SUMIF(A:A,A102,E:E))</f>
        <v/>
      </c>
      <c r="I102" s="15" t="n"/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5">
        <f>IF(A103="","",SUMIF(A:A,A103,E:E))</f>
        <v/>
      </c>
      <c r="I103" s="15" t="n"/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5">
        <f>IF(A104="","",SUMIF(A:A,A104,E:E))</f>
        <v/>
      </c>
      <c r="I104" s="15" t="n"/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5">
        <f>IF(A105="","",SUMIF(A:A,A105,E:E))</f>
        <v/>
      </c>
      <c r="I105" s="15" t="n"/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5">
        <f>IF(A106="","",SUMIF(A:A,A106,E:E))</f>
        <v/>
      </c>
      <c r="I106" s="15" t="n"/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5">
        <f>IF(A107="","",SUMIF(A:A,A107,E:E))</f>
        <v/>
      </c>
      <c r="I107" s="15" t="n"/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5">
        <f>IF(A108="","",SUMIF(A:A,A108,E:E))</f>
        <v/>
      </c>
      <c r="I108" s="15" t="n"/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5">
        <f>IF(A109="","",SUMIF(A:A,A109,E:E))</f>
        <v/>
      </c>
      <c r="I109" s="15" t="n"/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5">
        <f>IF(A110="","",SUMIF(A:A,A110,E:E))</f>
        <v/>
      </c>
      <c r="I110" s="15" t="n"/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5">
        <f>IF(A111="","",SUMIF(A:A,A111,E:E))</f>
        <v/>
      </c>
      <c r="I111" s="15" t="n"/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5">
        <f>IF(A112="","",SUMIF(A:A,A112,E:E))</f>
        <v/>
      </c>
      <c r="I112" s="15" t="n"/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5">
        <f>IF(A113="","",SUMIF(A:A,A113,E:E))</f>
        <v/>
      </c>
      <c r="I113" s="15" t="n"/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5">
        <f>IF(A114="","",SUMIF(A:A,A114,E:E))</f>
        <v/>
      </c>
      <c r="I114" s="15" t="n"/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5">
        <f>IF(A115="","",SUMIF(A:A,A115,E:E))</f>
        <v/>
      </c>
      <c r="I115" s="15" t="n"/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5">
        <f>IF(A116="","",SUMIF(A:A,A116,E:E))</f>
        <v/>
      </c>
      <c r="I116" s="15" t="n"/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5">
        <f>IF(A117="","",SUMIF(A:A,A117,E:E))</f>
        <v/>
      </c>
      <c r="I117" s="15" t="n"/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5">
        <f>IF(A118="","",SUMIF(A:A,A118,E:E))</f>
        <v/>
      </c>
      <c r="I118" s="15" t="n"/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5">
        <f>IF(A119="","",SUMIF(A:A,A119,E:E))</f>
        <v/>
      </c>
      <c r="I119" s="15" t="n"/>
    </row>
    <row r="120">
      <c r="A120" s="15" t="n"/>
      <c r="B120" s="15" t="n"/>
      <c r="C120" s="15" t="n"/>
      <c r="D120" s="15" t="n"/>
      <c r="E120" s="15" t="n"/>
      <c r="F120" s="16" t="n"/>
      <c r="G120" s="16" t="n"/>
      <c r="H120" s="15">
        <f>IF(A120="","",SUMIF(A:A,A120,E:E))</f>
        <v/>
      </c>
      <c r="I120" s="15" t="n"/>
    </row>
    <row r="121">
      <c r="A121" s="15" t="n"/>
      <c r="B121" s="15" t="n"/>
      <c r="C121" s="15" t="n"/>
      <c r="D121" s="15" t="n"/>
      <c r="E121" s="15" t="n"/>
      <c r="F121" s="16" t="n"/>
      <c r="G121" s="16" t="n"/>
      <c r="H121" s="15">
        <f>IF(A121="","",SUMIF(A:A,A121,E:E))</f>
        <v/>
      </c>
      <c r="I121" s="15" t="n"/>
    </row>
    <row r="122">
      <c r="A122" s="15" t="n"/>
      <c r="B122" s="15" t="n"/>
      <c r="C122" s="15" t="n"/>
      <c r="D122" s="15" t="n"/>
      <c r="E122" s="15" t="n"/>
      <c r="F122" s="16" t="n"/>
      <c r="G122" s="16" t="n"/>
      <c r="H122" s="15">
        <f>IF(A122="","",SUMIF(A:A,A122,E:E))</f>
        <v/>
      </c>
      <c r="I122" s="15" t="n"/>
    </row>
    <row r="123">
      <c r="A123" s="15" t="n"/>
      <c r="B123" s="15" t="n"/>
      <c r="C123" s="15" t="n"/>
      <c r="D123" s="15" t="n"/>
      <c r="E123" s="15" t="n"/>
      <c r="F123" s="16" t="n"/>
      <c r="G123" s="16" t="n"/>
      <c r="H123" s="15">
        <f>IF(A123="","",SUMIF(A:A,A123,E:E))</f>
        <v/>
      </c>
      <c r="I123" s="15" t="n"/>
    </row>
    <row r="124">
      <c r="A124" s="15" t="n"/>
      <c r="B124" s="15" t="n"/>
      <c r="C124" s="15" t="n"/>
      <c r="D124" s="15" t="n"/>
      <c r="E124" s="15" t="n"/>
      <c r="F124" s="16" t="n"/>
      <c r="G124" s="16" t="n"/>
      <c r="H124" s="15">
        <f>IF(A124="","",SUMIF(A:A,A124,E:E))</f>
        <v/>
      </c>
      <c r="I124" s="15" t="n"/>
    </row>
    <row r="125">
      <c r="A125" s="15" t="n"/>
      <c r="B125" s="15" t="n"/>
      <c r="C125" s="15" t="n"/>
      <c r="D125" s="15" t="n"/>
      <c r="E125" s="15" t="n"/>
      <c r="F125" s="16" t="n"/>
      <c r="G125" s="16" t="n"/>
      <c r="H125" s="15">
        <f>IF(A125="","",SUMIF(A:A,A125,E:E))</f>
        <v/>
      </c>
      <c r="I125" s="15" t="n"/>
    </row>
    <row r="126">
      <c r="A126" s="15" t="n"/>
      <c r="B126" s="15" t="n"/>
      <c r="C126" s="15" t="n"/>
      <c r="D126" s="15" t="n"/>
      <c r="E126" s="15" t="n"/>
      <c r="F126" s="16" t="n"/>
      <c r="G126" s="16" t="n"/>
      <c r="H126" s="15">
        <f>IF(A126="","",SUMIF(A:A,A126,E:E))</f>
        <v/>
      </c>
      <c r="I126" s="15" t="n"/>
    </row>
    <row r="127">
      <c r="A127" s="15" t="n"/>
      <c r="B127" s="15" t="n"/>
      <c r="C127" s="15" t="n"/>
      <c r="D127" s="15" t="n"/>
      <c r="E127" s="15" t="n"/>
      <c r="F127" s="16" t="n"/>
      <c r="G127" s="16" t="n"/>
      <c r="H127" s="15">
        <f>IF(A127="","",SUMIF(A:A,A127,E:E))</f>
        <v/>
      </c>
      <c r="I127" s="15" t="n"/>
    </row>
    <row r="128">
      <c r="A128" s="15" t="n"/>
      <c r="B128" s="15" t="n"/>
      <c r="C128" s="15" t="n"/>
      <c r="D128" s="15" t="n"/>
      <c r="E128" s="15" t="n"/>
      <c r="F128" s="16" t="n"/>
      <c r="G128" s="16" t="n"/>
      <c r="H128" s="15">
        <f>IF(A128="","",SUMIF(A:A,A128,E:E))</f>
        <v/>
      </c>
      <c r="I128" s="15" t="n"/>
    </row>
    <row r="129">
      <c r="A129" s="15" t="n"/>
      <c r="B129" s="15" t="n"/>
      <c r="C129" s="15" t="n"/>
      <c r="D129" s="15" t="n"/>
      <c r="E129" s="15" t="n"/>
      <c r="F129" s="16" t="n"/>
      <c r="G129" s="16" t="n"/>
      <c r="H129" s="15">
        <f>IF(A129="","",SUMIF(A:A,A129,E:E))</f>
        <v/>
      </c>
      <c r="I129" s="15" t="n"/>
    </row>
    <row r="130">
      <c r="A130" s="15" t="n"/>
      <c r="B130" s="15" t="n"/>
      <c r="C130" s="15" t="n"/>
      <c r="D130" s="15" t="n"/>
      <c r="E130" s="15" t="n"/>
      <c r="F130" s="16" t="n"/>
      <c r="G130" s="16" t="n"/>
      <c r="H130" s="15">
        <f>IF(A130="","",SUMIF(A:A,A130,E:E))</f>
        <v/>
      </c>
      <c r="I130" s="15" t="n"/>
    </row>
    <row r="131">
      <c r="A131" s="15" t="n"/>
      <c r="B131" s="15" t="n"/>
      <c r="C131" s="15" t="n"/>
      <c r="D131" s="15" t="n"/>
      <c r="E131" s="15" t="n"/>
      <c r="F131" s="16" t="n"/>
      <c r="G131" s="16" t="n"/>
      <c r="H131" s="15">
        <f>IF(A131="","",SUMIF(A:A,A131,E:E))</f>
        <v/>
      </c>
      <c r="I131" s="15" t="n"/>
    </row>
    <row r="132">
      <c r="A132" s="15" t="n"/>
      <c r="B132" s="15" t="n"/>
      <c r="C132" s="15" t="n"/>
      <c r="D132" s="15" t="n"/>
      <c r="E132" s="15" t="n"/>
      <c r="F132" s="16" t="n"/>
      <c r="G132" s="16" t="n"/>
      <c r="H132" s="15">
        <f>IF(A132="","",SUMIF(A:A,A132,E:E))</f>
        <v/>
      </c>
      <c r="I132" s="15" t="n"/>
    </row>
    <row r="133">
      <c r="A133" s="15" t="n"/>
      <c r="B133" s="15" t="n"/>
      <c r="C133" s="15" t="n"/>
      <c r="D133" s="15" t="n"/>
      <c r="E133" s="15" t="n"/>
      <c r="F133" s="16" t="n"/>
      <c r="G133" s="16" t="n"/>
      <c r="H133" s="15">
        <f>IF(A133="","",SUMIF(A:A,A133,E:E))</f>
        <v/>
      </c>
      <c r="I133" s="15" t="n"/>
    </row>
    <row r="134">
      <c r="A134" s="15" t="n"/>
      <c r="B134" s="15" t="n"/>
      <c r="C134" s="15" t="n"/>
      <c r="D134" s="15" t="n"/>
      <c r="E134" s="15" t="n"/>
      <c r="F134" s="16" t="n"/>
      <c r="G134" s="16" t="n"/>
      <c r="H134" s="15">
        <f>IF(A134="","",SUMIF(A:A,A134,E:E))</f>
        <v/>
      </c>
      <c r="I134" s="15" t="n"/>
    </row>
    <row r="135">
      <c r="A135" s="15" t="n"/>
      <c r="B135" s="15" t="n"/>
      <c r="C135" s="15" t="n"/>
      <c r="D135" s="15" t="n"/>
      <c r="E135" s="15" t="n"/>
      <c r="F135" s="16" t="n"/>
      <c r="G135" s="16" t="n"/>
      <c r="H135" s="15">
        <f>IF(A135="","",SUMIF(A:A,A135,E:E))</f>
        <v/>
      </c>
      <c r="I135" s="15" t="n"/>
    </row>
    <row r="136">
      <c r="A136" s="15" t="n"/>
      <c r="B136" s="15" t="n"/>
      <c r="C136" s="15" t="n"/>
      <c r="D136" s="15" t="n"/>
      <c r="E136" s="15" t="n"/>
      <c r="F136" s="16" t="n"/>
      <c r="G136" s="16" t="n"/>
      <c r="H136" s="15">
        <f>IF(A136="","",SUMIF(A:A,A136,E:E))</f>
        <v/>
      </c>
      <c r="I136" s="15" t="n"/>
    </row>
    <row r="137">
      <c r="A137" s="15" t="n"/>
      <c r="B137" s="15" t="n"/>
      <c r="C137" s="15" t="n"/>
      <c r="D137" s="15" t="n"/>
      <c r="E137" s="15" t="n"/>
      <c r="F137" s="16" t="n"/>
      <c r="G137" s="16" t="n"/>
      <c r="H137" s="15">
        <f>IF(A137="","",SUMIF(A:A,A137,E:E))</f>
        <v/>
      </c>
      <c r="I137" s="15" t="n"/>
    </row>
    <row r="138">
      <c r="A138" s="15" t="n"/>
      <c r="B138" s="15" t="n"/>
      <c r="C138" s="15" t="n"/>
      <c r="D138" s="15" t="n"/>
      <c r="E138" s="15" t="n"/>
      <c r="F138" s="16" t="n"/>
      <c r="G138" s="16" t="n"/>
      <c r="H138" s="15">
        <f>IF(A138="","",SUMIF(A:A,A138,E:E))</f>
        <v/>
      </c>
      <c r="I138" s="15" t="n"/>
    </row>
    <row r="139">
      <c r="A139" s="15" t="n"/>
      <c r="B139" s="15" t="n"/>
      <c r="C139" s="15" t="n"/>
      <c r="D139" s="15" t="n"/>
      <c r="E139" s="15" t="n"/>
      <c r="F139" s="16" t="n"/>
      <c r="G139" s="16" t="n"/>
      <c r="H139" s="15">
        <f>IF(A139="","",SUMIF(A:A,A139,E:E))</f>
        <v/>
      </c>
      <c r="I139" s="15" t="n"/>
    </row>
    <row r="140">
      <c r="A140" s="15" t="n"/>
      <c r="B140" s="15" t="n"/>
      <c r="C140" s="15" t="n"/>
      <c r="D140" s="15" t="n"/>
      <c r="E140" s="15" t="n"/>
      <c r="F140" s="16" t="n"/>
      <c r="G140" s="16" t="n"/>
      <c r="H140" s="15">
        <f>IF(A140="","",SUMIF(A:A,A140,E:E))</f>
        <v/>
      </c>
      <c r="I140" s="15" t="n"/>
    </row>
    <row r="141">
      <c r="A141" s="15" t="n"/>
      <c r="B141" s="15" t="n"/>
      <c r="C141" s="15" t="n"/>
      <c r="D141" s="15" t="n"/>
      <c r="E141" s="15" t="n"/>
      <c r="F141" s="16" t="n"/>
      <c r="G141" s="16" t="n"/>
      <c r="H141" s="15">
        <f>IF(A141="","",SUMIF(A:A,A141,E:E))</f>
        <v/>
      </c>
      <c r="I141" s="15" t="n"/>
    </row>
    <row r="142">
      <c r="A142" s="15" t="n"/>
      <c r="B142" s="15" t="n"/>
      <c r="C142" s="15" t="n"/>
      <c r="D142" s="15" t="n"/>
      <c r="E142" s="15" t="n"/>
      <c r="F142" s="16" t="n"/>
      <c r="G142" s="16" t="n"/>
      <c r="H142" s="15">
        <f>IF(A142="","",SUMIF(A:A,A142,E:E))</f>
        <v/>
      </c>
      <c r="I142" s="15" t="n"/>
    </row>
    <row r="143">
      <c r="A143" s="15" t="n"/>
      <c r="B143" s="15" t="n"/>
      <c r="C143" s="15" t="n"/>
      <c r="D143" s="15" t="n"/>
      <c r="E143" s="15" t="n"/>
      <c r="F143" s="16" t="n"/>
      <c r="G143" s="16" t="n"/>
      <c r="H143" s="15">
        <f>IF(A143="","",SUMIF(A:A,A143,E:E))</f>
        <v/>
      </c>
      <c r="I143" s="15" t="n"/>
    </row>
    <row r="144">
      <c r="A144" s="15" t="n"/>
      <c r="B144" s="15" t="n"/>
      <c r="C144" s="15" t="n"/>
      <c r="D144" s="15" t="n"/>
      <c r="E144" s="15" t="n"/>
      <c r="F144" s="16" t="n"/>
      <c r="G144" s="16" t="n"/>
      <c r="H144" s="15">
        <f>IF(A144="","",SUMIF(A:A,A144,E:E))</f>
        <v/>
      </c>
      <c r="I144" s="15" t="n"/>
    </row>
    <row r="145">
      <c r="A145" s="15" t="n"/>
      <c r="B145" s="15" t="n"/>
      <c r="C145" s="15" t="n"/>
      <c r="D145" s="15" t="n"/>
      <c r="E145" s="15" t="n"/>
      <c r="F145" s="16" t="n"/>
      <c r="G145" s="16" t="n"/>
      <c r="H145" s="15">
        <f>IF(A145="","",SUMIF(A:A,A145,E:E))</f>
        <v/>
      </c>
      <c r="I145" s="15" t="n"/>
    </row>
    <row r="146">
      <c r="A146" s="15" t="n"/>
      <c r="B146" s="15" t="n"/>
      <c r="C146" s="15" t="n"/>
      <c r="D146" s="15" t="n"/>
      <c r="E146" s="15" t="n"/>
      <c r="F146" s="16" t="n"/>
      <c r="G146" s="16" t="n"/>
      <c r="H146" s="15">
        <f>IF(A146="","",SUMIF(A:A,A146,E:E))</f>
        <v/>
      </c>
      <c r="I146" s="15" t="n"/>
    </row>
    <row r="147">
      <c r="A147" s="15" t="n"/>
      <c r="B147" s="15" t="n"/>
      <c r="C147" s="15" t="n"/>
      <c r="D147" s="15" t="n"/>
      <c r="E147" s="15" t="n"/>
      <c r="F147" s="16" t="n"/>
      <c r="G147" s="16" t="n"/>
      <c r="H147" s="15">
        <f>IF(A147="","",SUMIF(A:A,A147,E:E))</f>
        <v/>
      </c>
      <c r="I147" s="15" t="n"/>
    </row>
    <row r="148">
      <c r="A148" s="15" t="n"/>
      <c r="B148" s="15" t="n"/>
      <c r="C148" s="15" t="n"/>
      <c r="D148" s="15" t="n"/>
      <c r="E148" s="15" t="n"/>
      <c r="F148" s="16" t="n"/>
      <c r="G148" s="16" t="n"/>
      <c r="H148" s="15">
        <f>IF(A148="","",SUMIF(A:A,A148,E:E))</f>
        <v/>
      </c>
      <c r="I148" s="15" t="n"/>
    </row>
    <row r="149">
      <c r="A149" s="15" t="n"/>
      <c r="B149" s="15" t="n"/>
      <c r="C149" s="15" t="n"/>
      <c r="D149" s="15" t="n"/>
      <c r="E149" s="15" t="n"/>
      <c r="F149" s="16" t="n"/>
      <c r="G149" s="16" t="n"/>
      <c r="H149" s="15">
        <f>IF(A149="","",SUMIF(A:A,A149,E:E))</f>
        <v/>
      </c>
      <c r="I149" s="15" t="n"/>
    </row>
    <row r="150">
      <c r="A150" s="15" t="n"/>
      <c r="B150" s="15" t="n"/>
      <c r="C150" s="15" t="n"/>
      <c r="D150" s="15" t="n"/>
      <c r="E150" s="15" t="n"/>
      <c r="F150" s="16" t="n"/>
      <c r="G150" s="16" t="n"/>
      <c r="H150" s="15">
        <f>IF(A150="","",SUMIF(A:A,A150,E:E))</f>
        <v/>
      </c>
      <c r="I150" s="15" t="n"/>
    </row>
    <row r="151">
      <c r="A151" s="15" t="n"/>
      <c r="B151" s="15" t="n"/>
      <c r="C151" s="15" t="n"/>
      <c r="D151" s="15" t="n"/>
      <c r="E151" s="15" t="n"/>
      <c r="F151" s="16" t="n"/>
      <c r="G151" s="16" t="n"/>
      <c r="H151" s="15">
        <f>IF(A151="","",SUMIF(A:A,A151,E:E))</f>
        <v/>
      </c>
      <c r="I151" s="15" t="n"/>
    </row>
    <row r="152">
      <c r="A152" s="15" t="n"/>
      <c r="B152" s="15" t="n"/>
      <c r="C152" s="15" t="n"/>
      <c r="D152" s="15" t="n"/>
      <c r="E152" s="15" t="n"/>
      <c r="F152" s="16" t="n"/>
      <c r="G152" s="16" t="n"/>
      <c r="H152" s="15">
        <f>IF(A152="","",SUMIF(A:A,A152,E:E))</f>
        <v/>
      </c>
      <c r="I152" s="15" t="n"/>
    </row>
    <row r="153">
      <c r="A153" s="15" t="n"/>
      <c r="B153" s="15" t="n"/>
      <c r="C153" s="15" t="n"/>
      <c r="D153" s="15" t="n"/>
      <c r="E153" s="15" t="n"/>
      <c r="F153" s="16" t="n"/>
      <c r="G153" s="16" t="n"/>
      <c r="H153" s="15">
        <f>IF(A153="","",SUMIF(A:A,A153,E:E))</f>
        <v/>
      </c>
      <c r="I153" s="15" t="n"/>
    </row>
    <row r="154">
      <c r="A154" s="15" t="n"/>
      <c r="B154" s="15" t="n"/>
      <c r="C154" s="15" t="n"/>
      <c r="D154" s="15" t="n"/>
      <c r="E154" s="15" t="n"/>
      <c r="F154" s="16" t="n"/>
      <c r="G154" s="16" t="n"/>
      <c r="H154" s="15">
        <f>IF(A154="","",SUMIF(A:A,A154,E:E))</f>
        <v/>
      </c>
      <c r="I154" s="15" t="n"/>
    </row>
    <row r="155">
      <c r="A155" s="15" t="n"/>
      <c r="B155" s="15" t="n"/>
      <c r="C155" s="15" t="n"/>
      <c r="D155" s="15" t="n"/>
      <c r="E155" s="15" t="n"/>
      <c r="F155" s="16" t="n"/>
      <c r="G155" s="16" t="n"/>
      <c r="H155" s="15">
        <f>IF(A155="","",SUMIF(A:A,A155,E:E))</f>
        <v/>
      </c>
      <c r="I155" s="15" t="n"/>
    </row>
    <row r="156">
      <c r="A156" s="15" t="n"/>
      <c r="B156" s="15" t="n"/>
      <c r="C156" s="15" t="n"/>
      <c r="D156" s="15" t="n"/>
      <c r="E156" s="15" t="n"/>
      <c r="F156" s="16" t="n"/>
      <c r="G156" s="16" t="n"/>
      <c r="H156" s="15">
        <f>IF(A156="","",SUMIF(A:A,A156,E:E))</f>
        <v/>
      </c>
      <c r="I156" s="15" t="n"/>
    </row>
    <row r="157">
      <c r="A157" s="15" t="n"/>
      <c r="B157" s="15" t="n"/>
      <c r="C157" s="15" t="n"/>
      <c r="D157" s="15" t="n"/>
      <c r="E157" s="15" t="n"/>
      <c r="F157" s="16" t="n"/>
      <c r="G157" s="16" t="n"/>
      <c r="H157" s="15">
        <f>IF(A157="","",SUMIF(A:A,A157,E:E))</f>
        <v/>
      </c>
      <c r="I157" s="15" t="n"/>
    </row>
    <row r="158">
      <c r="A158" s="15" t="n"/>
      <c r="B158" s="15" t="n"/>
      <c r="C158" s="15" t="n"/>
      <c r="D158" s="15" t="n"/>
      <c r="E158" s="15" t="n"/>
      <c r="F158" s="16" t="n"/>
      <c r="G158" s="16" t="n"/>
      <c r="H158" s="15">
        <f>IF(A158="","",SUMIF(A:A,A158,E:E))</f>
        <v/>
      </c>
      <c r="I158" s="15" t="n"/>
    </row>
    <row r="159">
      <c r="A159" s="15" t="n"/>
      <c r="B159" s="15" t="n"/>
      <c r="C159" s="15" t="n"/>
      <c r="D159" s="15" t="n"/>
      <c r="E159" s="15" t="n"/>
      <c r="F159" s="16" t="n"/>
      <c r="G159" s="16" t="n"/>
      <c r="H159" s="15">
        <f>IF(A159="","",SUMIF(A:A,A159,E:E))</f>
        <v/>
      </c>
      <c r="I159" s="15" t="n"/>
    </row>
    <row r="160">
      <c r="A160" s="15" t="n"/>
      <c r="B160" s="15" t="n"/>
      <c r="C160" s="15" t="n"/>
      <c r="D160" s="15" t="n"/>
      <c r="E160" s="15" t="n"/>
      <c r="F160" s="16" t="n"/>
      <c r="G160" s="16" t="n"/>
      <c r="H160" s="15">
        <f>IF(A160="","",SUMIF(A:A,A160,E:E))</f>
        <v/>
      </c>
      <c r="I160" s="15" t="n"/>
    </row>
    <row r="161">
      <c r="A161" s="15" t="n"/>
      <c r="B161" s="15" t="n"/>
      <c r="C161" s="15" t="n"/>
      <c r="D161" s="15" t="n"/>
      <c r="E161" s="15" t="n"/>
      <c r="F161" s="16" t="n"/>
      <c r="G161" s="16" t="n"/>
      <c r="H161" s="15">
        <f>IF(A161="","",SUMIF(A:A,A161,E:E))</f>
        <v/>
      </c>
      <c r="I161" s="15" t="n"/>
    </row>
    <row r="162">
      <c r="A162" s="15" t="n"/>
      <c r="B162" s="15" t="n"/>
      <c r="C162" s="15" t="n"/>
      <c r="D162" s="15" t="n"/>
      <c r="E162" s="15" t="n"/>
      <c r="F162" s="16" t="n"/>
      <c r="G162" s="16" t="n"/>
      <c r="H162" s="15">
        <f>IF(A162="","",SUMIF(A:A,A162,E:E))</f>
        <v/>
      </c>
      <c r="I162" s="15" t="n"/>
    </row>
    <row r="163">
      <c r="A163" s="15" t="n"/>
      <c r="B163" s="15" t="n"/>
      <c r="C163" s="15" t="n"/>
      <c r="D163" s="15" t="n"/>
      <c r="E163" s="15" t="n"/>
      <c r="F163" s="16" t="n"/>
      <c r="G163" s="16" t="n"/>
      <c r="H163" s="15">
        <f>IF(A163="","",SUMIF(A:A,A163,E:E))</f>
        <v/>
      </c>
      <c r="I163" s="15" t="n"/>
    </row>
    <row r="164">
      <c r="A164" s="15" t="n"/>
      <c r="B164" s="15" t="n"/>
      <c r="C164" s="15" t="n"/>
      <c r="D164" s="15" t="n"/>
      <c r="E164" s="15" t="n"/>
      <c r="F164" s="16" t="n"/>
      <c r="G164" s="16" t="n"/>
      <c r="H164" s="15">
        <f>IF(A164="","",SUMIF(A:A,A164,E:E))</f>
        <v/>
      </c>
      <c r="I164" s="15" t="n"/>
    </row>
    <row r="165">
      <c r="A165" s="15" t="n"/>
      <c r="B165" s="15" t="n"/>
      <c r="C165" s="15" t="n"/>
      <c r="D165" s="15" t="n"/>
      <c r="E165" s="15" t="n"/>
      <c r="F165" s="16" t="n"/>
      <c r="G165" s="16" t="n"/>
      <c r="H165" s="15">
        <f>IF(A165="","",SUMIF(A:A,A165,E:E))</f>
        <v/>
      </c>
      <c r="I165" s="15" t="n"/>
    </row>
    <row r="166">
      <c r="A166" s="15" t="n"/>
      <c r="B166" s="15" t="n"/>
      <c r="C166" s="15" t="n"/>
      <c r="D166" s="15" t="n"/>
      <c r="E166" s="15" t="n"/>
      <c r="F166" s="16" t="n"/>
      <c r="G166" s="16" t="n"/>
      <c r="H166" s="15">
        <f>IF(A166="","",SUMIF(A:A,A166,E:E))</f>
        <v/>
      </c>
      <c r="I166" s="15" t="n"/>
    </row>
    <row r="167">
      <c r="A167" s="15" t="n"/>
      <c r="B167" s="15" t="n"/>
      <c r="C167" s="15" t="n"/>
      <c r="D167" s="15" t="n"/>
      <c r="E167" s="15" t="n"/>
      <c r="F167" s="16" t="n"/>
      <c r="G167" s="16" t="n"/>
      <c r="H167" s="15">
        <f>IF(A167="","",SUMIF(A:A,A167,E:E))</f>
        <v/>
      </c>
      <c r="I167" s="15" t="n"/>
    </row>
    <row r="168">
      <c r="A168" s="15" t="n"/>
      <c r="B168" s="15" t="n"/>
      <c r="C168" s="15" t="n"/>
      <c r="D168" s="15" t="n"/>
      <c r="E168" s="15" t="n"/>
      <c r="F168" s="16" t="n"/>
      <c r="G168" s="16" t="n"/>
      <c r="H168" s="15">
        <f>IF(A168="","",SUMIF(A:A,A168,E:E))</f>
        <v/>
      </c>
      <c r="I168" s="15" t="n"/>
    </row>
    <row r="169">
      <c r="A169" s="15" t="n"/>
      <c r="B169" s="15" t="n"/>
      <c r="C169" s="15" t="n"/>
      <c r="D169" s="15" t="n"/>
      <c r="E169" s="15" t="n"/>
      <c r="F169" s="16" t="n"/>
      <c r="G169" s="16" t="n"/>
      <c r="H169" s="15">
        <f>IF(A169="","",SUMIF(A:A,A169,E:E))</f>
        <v/>
      </c>
      <c r="I169" s="15" t="n"/>
    </row>
    <row r="170">
      <c r="A170" s="15" t="n"/>
      <c r="B170" s="15" t="n"/>
      <c r="C170" s="15" t="n"/>
      <c r="D170" s="15" t="n"/>
      <c r="E170" s="15" t="n"/>
      <c r="F170" s="16" t="n"/>
      <c r="G170" s="16" t="n"/>
      <c r="H170" s="15">
        <f>IF(A170="","",SUMIF(A:A,A170,E:E))</f>
        <v/>
      </c>
      <c r="I170" s="15" t="n"/>
    </row>
    <row r="171">
      <c r="A171" s="15" t="n"/>
      <c r="B171" s="15" t="n"/>
      <c r="C171" s="15" t="n"/>
      <c r="D171" s="15" t="n"/>
      <c r="E171" s="15" t="n"/>
      <c r="F171" s="16" t="n"/>
      <c r="G171" s="16" t="n"/>
      <c r="H171" s="15">
        <f>IF(A171="","",SUMIF(A:A,A171,E:E))</f>
        <v/>
      </c>
      <c r="I171" s="15" t="n"/>
    </row>
    <row r="172">
      <c r="A172" s="15" t="n"/>
      <c r="B172" s="15" t="n"/>
      <c r="C172" s="15" t="n"/>
      <c r="D172" s="15" t="n"/>
      <c r="E172" s="15" t="n"/>
      <c r="F172" s="16" t="n"/>
      <c r="G172" s="16" t="n"/>
      <c r="H172" s="15">
        <f>IF(A172="","",SUMIF(A:A,A172,E:E))</f>
        <v/>
      </c>
      <c r="I172" s="15" t="n"/>
    </row>
    <row r="173">
      <c r="A173" s="15" t="n"/>
      <c r="B173" s="15" t="n"/>
      <c r="C173" s="15" t="n"/>
      <c r="D173" s="15" t="n"/>
      <c r="E173" s="15" t="n"/>
      <c r="F173" s="16" t="n"/>
      <c r="G173" s="16" t="n"/>
      <c r="H173" s="15">
        <f>IF(A173="","",SUMIF(A:A,A173,E:E))</f>
        <v/>
      </c>
      <c r="I173" s="15" t="n"/>
    </row>
    <row r="174">
      <c r="A174" s="15" t="n"/>
      <c r="B174" s="15" t="n"/>
      <c r="C174" s="15" t="n"/>
      <c r="D174" s="15" t="n"/>
      <c r="E174" s="15" t="n"/>
      <c r="F174" s="16" t="n"/>
      <c r="G174" s="16" t="n"/>
      <c r="H174" s="15">
        <f>IF(A174="","",SUMIF(A:A,A174,E:E))</f>
        <v/>
      </c>
      <c r="I174" s="15" t="n"/>
    </row>
    <row r="175">
      <c r="A175" s="15" t="n"/>
      <c r="B175" s="15" t="n"/>
      <c r="C175" s="15" t="n"/>
      <c r="D175" s="15" t="n"/>
      <c r="E175" s="15" t="n"/>
      <c r="F175" s="16" t="n"/>
      <c r="G175" s="16" t="n"/>
      <c r="H175" s="15">
        <f>IF(A175="","",SUMIF(A:A,A175,E:E))</f>
        <v/>
      </c>
      <c r="I175" s="15" t="n"/>
    </row>
    <row r="176">
      <c r="A176" s="15" t="n"/>
      <c r="B176" s="15" t="n"/>
      <c r="C176" s="15" t="n"/>
      <c r="D176" s="15" t="n"/>
      <c r="E176" s="15" t="n"/>
      <c r="F176" s="16" t="n"/>
      <c r="G176" s="16" t="n"/>
      <c r="H176" s="15">
        <f>IF(A176="","",SUMIF(A:A,A176,E:E))</f>
        <v/>
      </c>
      <c r="I176" s="15" t="n"/>
    </row>
    <row r="177">
      <c r="A177" s="15" t="n"/>
      <c r="B177" s="15" t="n"/>
      <c r="C177" s="15" t="n"/>
      <c r="D177" s="15" t="n"/>
      <c r="E177" s="15" t="n"/>
      <c r="F177" s="16" t="n"/>
      <c r="G177" s="16" t="n"/>
      <c r="H177" s="15">
        <f>IF(A177="","",SUMIF(A:A,A177,E:E))</f>
        <v/>
      </c>
      <c r="I177" s="15" t="n"/>
    </row>
    <row r="178">
      <c r="A178" s="15" t="n"/>
      <c r="B178" s="15" t="n"/>
      <c r="C178" s="15" t="n"/>
      <c r="D178" s="15" t="n"/>
      <c r="E178" s="15" t="n"/>
      <c r="F178" s="16" t="n"/>
      <c r="G178" s="16" t="n"/>
      <c r="H178" s="15">
        <f>IF(A178="","",SUMIF(A:A,A178,E:E))</f>
        <v/>
      </c>
      <c r="I178" s="15" t="n"/>
    </row>
    <row r="179">
      <c r="A179" s="15" t="n"/>
      <c r="B179" s="15" t="n"/>
      <c r="C179" s="15" t="n"/>
      <c r="D179" s="15" t="n"/>
      <c r="E179" s="15" t="n"/>
      <c r="F179" s="16" t="n"/>
      <c r="G179" s="16" t="n"/>
      <c r="H179" s="15">
        <f>IF(A179="","",SUMIF(A:A,A179,E:E))</f>
        <v/>
      </c>
      <c r="I179" s="15" t="n"/>
    </row>
    <row r="180">
      <c r="A180" s="15" t="n"/>
      <c r="B180" s="15" t="n"/>
      <c r="C180" s="15" t="n"/>
      <c r="D180" s="15" t="n"/>
      <c r="E180" s="15" t="n"/>
      <c r="F180" s="16" t="n"/>
      <c r="G180" s="16" t="n"/>
      <c r="H180" s="15">
        <f>IF(A180="","",SUMIF(A:A,A180,E:E))</f>
        <v/>
      </c>
      <c r="I180" s="15" t="n"/>
    </row>
    <row r="181">
      <c r="A181" s="15" t="n"/>
      <c r="B181" s="15" t="n"/>
      <c r="C181" s="15" t="n"/>
      <c r="D181" s="15" t="n"/>
      <c r="E181" s="15" t="n"/>
      <c r="F181" s="16" t="n"/>
      <c r="G181" s="16" t="n"/>
      <c r="H181" s="15">
        <f>IF(A181="","",SUMIF(A:A,A181,E:E))</f>
        <v/>
      </c>
      <c r="I181" s="15" t="n"/>
    </row>
    <row r="182">
      <c r="A182" s="15" t="n"/>
      <c r="B182" s="15" t="n"/>
      <c r="C182" s="15" t="n"/>
      <c r="D182" s="15" t="n"/>
      <c r="E182" s="15" t="n"/>
      <c r="F182" s="16" t="n"/>
      <c r="G182" s="16" t="n"/>
      <c r="H182" s="15">
        <f>IF(A182="","",SUMIF(A:A,A182,E:E))</f>
        <v/>
      </c>
      <c r="I182" s="15" t="n"/>
    </row>
    <row r="183">
      <c r="A183" s="15" t="n"/>
      <c r="B183" s="15" t="n"/>
      <c r="C183" s="15" t="n"/>
      <c r="D183" s="15" t="n"/>
      <c r="E183" s="15" t="n"/>
      <c r="F183" s="16" t="n"/>
      <c r="G183" s="16" t="n"/>
      <c r="H183" s="15">
        <f>IF(A183="","",SUMIF(A:A,A183,E:E))</f>
        <v/>
      </c>
      <c r="I183" s="15" t="n"/>
    </row>
    <row r="184">
      <c r="A184" s="15" t="n"/>
      <c r="B184" s="15" t="n"/>
      <c r="C184" s="15" t="n"/>
      <c r="D184" s="15" t="n"/>
      <c r="E184" s="15" t="n"/>
      <c r="F184" s="16" t="n"/>
      <c r="G184" s="16" t="n"/>
      <c r="H184" s="15">
        <f>IF(A184="","",SUMIF(A:A,A184,E:E))</f>
        <v/>
      </c>
      <c r="I184" s="15" t="n"/>
    </row>
    <row r="185">
      <c r="A185" s="15" t="n"/>
      <c r="B185" s="15" t="n"/>
      <c r="C185" s="15" t="n"/>
      <c r="D185" s="15" t="n"/>
      <c r="E185" s="15" t="n"/>
      <c r="F185" s="16" t="n"/>
      <c r="G185" s="16" t="n"/>
      <c r="H185" s="15">
        <f>IF(A185="","",SUMIF(A:A,A185,E:E))</f>
        <v/>
      </c>
      <c r="I185" s="15" t="n"/>
    </row>
    <row r="186">
      <c r="A186" s="15" t="n"/>
      <c r="B186" s="15" t="n"/>
      <c r="C186" s="15" t="n"/>
      <c r="D186" s="15" t="n"/>
      <c r="E186" s="15" t="n"/>
      <c r="F186" s="16" t="n"/>
      <c r="G186" s="16" t="n"/>
      <c r="H186" s="15">
        <f>IF(A186="","",SUMIF(A:A,A186,E:E))</f>
        <v/>
      </c>
      <c r="I186" s="15" t="n"/>
    </row>
    <row r="187">
      <c r="A187" s="15" t="n"/>
      <c r="B187" s="15" t="n"/>
      <c r="C187" s="15" t="n"/>
      <c r="D187" s="15" t="n"/>
      <c r="E187" s="15" t="n"/>
      <c r="F187" s="16" t="n"/>
      <c r="G187" s="16" t="n"/>
      <c r="H187" s="15">
        <f>IF(A187="","",SUMIF(A:A,A187,E:E))</f>
        <v/>
      </c>
      <c r="I187" s="15" t="n"/>
    </row>
    <row r="188">
      <c r="A188" s="15" t="n"/>
      <c r="B188" s="15" t="n"/>
      <c r="C188" s="15" t="n"/>
      <c r="D188" s="15" t="n"/>
      <c r="E188" s="15" t="n"/>
      <c r="F188" s="16" t="n"/>
      <c r="G188" s="16" t="n"/>
      <c r="H188" s="15">
        <f>IF(A188="","",SUMIF(A:A,A188,E:E))</f>
        <v/>
      </c>
      <c r="I188" s="15" t="n"/>
    </row>
    <row r="189">
      <c r="A189" s="15" t="n"/>
      <c r="B189" s="15" t="n"/>
      <c r="C189" s="15" t="n"/>
      <c r="D189" s="15" t="n"/>
      <c r="E189" s="15" t="n"/>
      <c r="F189" s="16" t="n"/>
      <c r="G189" s="16" t="n"/>
      <c r="H189" s="15">
        <f>IF(A189="","",SUMIF(A:A,A189,E:E))</f>
        <v/>
      </c>
      <c r="I189" s="15" t="n"/>
    </row>
    <row r="190">
      <c r="A190" s="15" t="n"/>
      <c r="B190" s="15" t="n"/>
      <c r="C190" s="15" t="n"/>
      <c r="D190" s="15" t="n"/>
      <c r="E190" s="15" t="n"/>
      <c r="F190" s="16" t="n"/>
      <c r="G190" s="16" t="n"/>
      <c r="H190" s="15">
        <f>IF(A190="","",SUMIF(A:A,A190,E:E))</f>
        <v/>
      </c>
      <c r="I190" s="15" t="n"/>
    </row>
    <row r="191">
      <c r="A191" s="15" t="n"/>
      <c r="B191" s="15" t="n"/>
      <c r="C191" s="15" t="n"/>
      <c r="D191" s="15" t="n"/>
      <c r="E191" s="15" t="n"/>
      <c r="F191" s="16" t="n"/>
      <c r="G191" s="16" t="n"/>
      <c r="H191" s="15">
        <f>IF(A191="","",SUMIF(A:A,A191,E:E))</f>
        <v/>
      </c>
      <c r="I191" s="15" t="n"/>
    </row>
    <row r="192">
      <c r="A192" s="15" t="n"/>
      <c r="B192" s="15" t="n"/>
      <c r="C192" s="15" t="n"/>
      <c r="D192" s="15" t="n"/>
      <c r="E192" s="15" t="n"/>
      <c r="F192" s="16" t="n"/>
      <c r="G192" s="16" t="n"/>
      <c r="H192" s="15">
        <f>IF(A192="","",SUMIF(A:A,A192,E:E))</f>
        <v/>
      </c>
      <c r="I192" s="15" t="n"/>
    </row>
    <row r="193">
      <c r="A193" s="15" t="n"/>
      <c r="B193" s="15" t="n"/>
      <c r="C193" s="15" t="n"/>
      <c r="D193" s="15" t="n"/>
      <c r="E193" s="15" t="n"/>
      <c r="F193" s="16" t="n"/>
      <c r="G193" s="16" t="n"/>
      <c r="H193" s="15">
        <f>IF(A193="","",SUMIF(A:A,A193,E:E))</f>
        <v/>
      </c>
      <c r="I193" s="15" t="n"/>
    </row>
    <row r="194">
      <c r="A194" s="15" t="n"/>
      <c r="B194" s="15" t="n"/>
      <c r="C194" s="15" t="n"/>
      <c r="D194" s="15" t="n"/>
      <c r="E194" s="15" t="n"/>
      <c r="F194" s="16" t="n"/>
      <c r="G194" s="16" t="n"/>
      <c r="H194" s="15">
        <f>IF(A194="","",SUMIF(A:A,A194,E:E))</f>
        <v/>
      </c>
      <c r="I194" s="15" t="n"/>
    </row>
    <row r="195">
      <c r="A195" s="15" t="n"/>
      <c r="B195" s="15" t="n"/>
      <c r="C195" s="15" t="n"/>
      <c r="D195" s="15" t="n"/>
      <c r="E195" s="15" t="n"/>
      <c r="F195" s="16" t="n"/>
      <c r="G195" s="16" t="n"/>
      <c r="H195" s="15">
        <f>IF(A195="","",SUMIF(A:A,A195,E:E))</f>
        <v/>
      </c>
      <c r="I195" s="15" t="n"/>
    </row>
    <row r="196">
      <c r="A196" s="15" t="n"/>
      <c r="B196" s="15" t="n"/>
      <c r="C196" s="15" t="n"/>
      <c r="D196" s="15" t="n"/>
      <c r="E196" s="15" t="n"/>
      <c r="F196" s="16" t="n"/>
      <c r="G196" s="16" t="n"/>
      <c r="H196" s="15">
        <f>IF(A196="","",SUMIF(A:A,A196,E:E))</f>
        <v/>
      </c>
      <c r="I196" s="15" t="n"/>
    </row>
    <row r="197">
      <c r="A197" s="15" t="n"/>
      <c r="B197" s="15" t="n"/>
      <c r="C197" s="15" t="n"/>
      <c r="D197" s="15" t="n"/>
      <c r="E197" s="15" t="n"/>
      <c r="F197" s="16" t="n"/>
      <c r="G197" s="16" t="n"/>
      <c r="H197" s="15">
        <f>IF(A197="","",SUMIF(A:A,A197,E:E))</f>
        <v/>
      </c>
      <c r="I197" s="15" t="n"/>
    </row>
    <row r="198">
      <c r="A198" s="15" t="n"/>
      <c r="B198" s="15" t="n"/>
      <c r="C198" s="15" t="n"/>
      <c r="D198" s="15" t="n"/>
      <c r="E198" s="15" t="n"/>
      <c r="F198" s="16" t="n"/>
      <c r="G198" s="16" t="n"/>
      <c r="H198" s="15">
        <f>IF(A198="","",SUMIF(A:A,A198,E:E))</f>
        <v/>
      </c>
      <c r="I198" s="15" t="n"/>
    </row>
    <row r="199">
      <c r="A199" s="15" t="n"/>
      <c r="B199" s="15" t="n"/>
      <c r="C199" s="15" t="n"/>
      <c r="D199" s="15" t="n"/>
      <c r="E199" s="15" t="n"/>
      <c r="F199" s="16" t="n"/>
      <c r="G199" s="16" t="n"/>
      <c r="H199" s="15">
        <f>IF(A199="","",SUMIF(A:A,A199,E:E))</f>
        <v/>
      </c>
      <c r="I199" s="15" t="n"/>
    </row>
    <row r="200">
      <c r="A200" s="15" t="n"/>
      <c r="B200" s="15" t="n"/>
      <c r="C200" s="15" t="n"/>
      <c r="D200" s="15" t="n"/>
      <c r="E200" s="15" t="n"/>
      <c r="F200" s="16" t="n"/>
      <c r="G200" s="16" t="n"/>
      <c r="H200" s="15">
        <f>IF(A200="","",SUMIF(A:A,A200,E:E))</f>
        <v/>
      </c>
      <c r="I200" s="15" t="n"/>
    </row>
    <row r="201">
      <c r="A201" s="15" t="n"/>
      <c r="B201" s="15" t="n"/>
      <c r="C201" s="15" t="n"/>
      <c r="D201" s="15" t="n"/>
      <c r="E201" s="15" t="n"/>
      <c r="F201" s="16" t="n"/>
      <c r="G201" s="16" t="n"/>
      <c r="H201" s="15">
        <f>IF(A201="","",SUMIF(A:A,A201,E:E))</f>
        <v/>
      </c>
      <c r="I201" s="15" t="n"/>
    </row>
    <row r="202">
      <c r="A202" s="15" t="n"/>
      <c r="B202" s="15" t="n"/>
      <c r="C202" s="15" t="n"/>
      <c r="D202" s="15" t="n"/>
      <c r="E202" s="15" t="n"/>
      <c r="F202" s="16" t="n"/>
      <c r="G202" s="16" t="n"/>
      <c r="H202" s="15">
        <f>IF(A202="","",SUMIF(A:A,A202,E:E))</f>
        <v/>
      </c>
      <c r="I202" s="15" t="n"/>
    </row>
    <row r="203">
      <c r="A203" s="15" t="n"/>
      <c r="B203" s="15" t="n"/>
      <c r="C203" s="15" t="n"/>
      <c r="D203" s="15" t="n"/>
      <c r="E203" s="15" t="n"/>
      <c r="F203" s="16" t="n"/>
      <c r="G203" s="16" t="n"/>
      <c r="H203" s="15">
        <f>IF(A203="","",SUMIF(A:A,A203,E:E))</f>
        <v/>
      </c>
      <c r="I203" s="15" t="n"/>
    </row>
    <row r="204">
      <c r="A204" s="15" t="n"/>
      <c r="B204" s="15" t="n"/>
      <c r="C204" s="15" t="n"/>
      <c r="D204" s="15" t="n"/>
      <c r="E204" s="15" t="n"/>
      <c r="F204" s="16" t="n"/>
      <c r="G204" s="16" t="n"/>
      <c r="H204" s="15">
        <f>IF(A204="","",SUMIF(A:A,A204,E:E))</f>
        <v/>
      </c>
      <c r="I204" s="15" t="n"/>
    </row>
    <row r="205">
      <c r="A205" s="15" t="n"/>
      <c r="B205" s="15" t="n"/>
      <c r="C205" s="15" t="n"/>
      <c r="D205" s="15" t="n"/>
      <c r="E205" s="15" t="n"/>
      <c r="F205" s="16" t="n"/>
      <c r="G205" s="16" t="n"/>
      <c r="H205" s="15">
        <f>IF(A205="","",SUMIF(A:A,A205,E:E))</f>
        <v/>
      </c>
      <c r="I205" s="15" t="n"/>
    </row>
    <row r="206">
      <c r="A206" s="15" t="n"/>
      <c r="B206" s="15" t="n"/>
      <c r="C206" s="15" t="n"/>
      <c r="D206" s="15" t="n"/>
      <c r="E206" s="15" t="n"/>
      <c r="F206" s="16" t="n"/>
      <c r="G206" s="16" t="n"/>
      <c r="H206" s="15">
        <f>IF(A206="","",SUMIF(A:A,A206,E:E))</f>
        <v/>
      </c>
      <c r="I206" s="15" t="n"/>
    </row>
    <row r="207">
      <c r="A207" s="15" t="n"/>
      <c r="B207" s="15" t="n"/>
      <c r="C207" s="15" t="n"/>
      <c r="D207" s="15" t="n"/>
      <c r="E207" s="15" t="n"/>
      <c r="F207" s="16" t="n"/>
      <c r="G207" s="16" t="n"/>
      <c r="H207" s="15">
        <f>IF(A207="","",SUMIF(A:A,A207,E:E))</f>
        <v/>
      </c>
      <c r="I207" s="15" t="n"/>
    </row>
    <row r="208">
      <c r="A208" s="15" t="n"/>
      <c r="B208" s="15" t="n"/>
      <c r="C208" s="15" t="n"/>
      <c r="D208" s="15" t="n"/>
      <c r="E208" s="15" t="n"/>
      <c r="F208" s="16" t="n"/>
      <c r="G208" s="16" t="n"/>
      <c r="H208" s="15">
        <f>IF(A208="","",SUMIF(A:A,A208,E:E))</f>
        <v/>
      </c>
      <c r="I208" s="15" t="n"/>
    </row>
    <row r="209">
      <c r="A209" s="15" t="n"/>
      <c r="B209" s="15" t="n"/>
      <c r="C209" s="15" t="n"/>
      <c r="D209" s="15" t="n"/>
      <c r="E209" s="15" t="n"/>
      <c r="F209" s="16" t="n"/>
      <c r="G209" s="16" t="n"/>
      <c r="H209" s="15">
        <f>IF(A209="","",SUMIF(A:A,A209,E:E))</f>
        <v/>
      </c>
      <c r="I209" s="15" t="n"/>
    </row>
    <row r="210">
      <c r="A210" s="15" t="n"/>
      <c r="B210" s="15" t="n"/>
      <c r="C210" s="15" t="n"/>
      <c r="D210" s="15" t="n"/>
      <c r="E210" s="15" t="n"/>
      <c r="F210" s="16" t="n"/>
      <c r="G210" s="16" t="n"/>
      <c r="H210" s="15">
        <f>IF(A210="","",SUMIF(A:A,A210,E:E))</f>
        <v/>
      </c>
      <c r="I210" s="15" t="n"/>
    </row>
    <row r="211">
      <c r="A211" s="15" t="n"/>
      <c r="B211" s="15" t="n"/>
      <c r="C211" s="15" t="n"/>
      <c r="D211" s="15" t="n"/>
      <c r="E211" s="15" t="n"/>
      <c r="F211" s="16" t="n"/>
      <c r="G211" s="16" t="n"/>
      <c r="H211" s="15">
        <f>IF(A211="","",SUMIF(A:A,A211,E:E))</f>
        <v/>
      </c>
      <c r="I211" s="15" t="n"/>
    </row>
    <row r="212">
      <c r="A212" s="15" t="n"/>
      <c r="B212" s="15" t="n"/>
      <c r="C212" s="15" t="n"/>
      <c r="D212" s="15" t="n"/>
      <c r="E212" s="15" t="n"/>
      <c r="F212" s="16" t="n"/>
      <c r="G212" s="16" t="n"/>
      <c r="H212" s="15">
        <f>IF(A212="","",SUMIF(A:A,A212,E:E))</f>
        <v/>
      </c>
      <c r="I212" s="15" t="n"/>
    </row>
    <row r="213">
      <c r="A213" s="15" t="n"/>
      <c r="B213" s="15" t="n"/>
      <c r="C213" s="15" t="n"/>
      <c r="D213" s="15" t="n"/>
      <c r="E213" s="15" t="n"/>
      <c r="F213" s="16" t="n"/>
      <c r="G213" s="16" t="n"/>
      <c r="H213" s="15">
        <f>IF(A213="","",SUMIF(A:A,A213,E:E))</f>
        <v/>
      </c>
      <c r="I213" s="15" t="n"/>
    </row>
    <row r="214">
      <c r="A214" s="15" t="n"/>
      <c r="B214" s="15" t="n"/>
      <c r="C214" s="15" t="n"/>
      <c r="D214" s="15" t="n"/>
      <c r="E214" s="15" t="n"/>
      <c r="F214" s="16" t="n"/>
      <c r="G214" s="16" t="n"/>
      <c r="H214" s="15">
        <f>IF(A214="","",SUMIF(A:A,A214,E:E))</f>
        <v/>
      </c>
      <c r="I214" s="15" t="n"/>
    </row>
    <row r="215">
      <c r="A215" s="15" t="n"/>
      <c r="B215" s="15" t="n"/>
      <c r="C215" s="15" t="n"/>
      <c r="D215" s="15" t="n"/>
      <c r="E215" s="15" t="n"/>
      <c r="F215" s="16" t="n"/>
      <c r="G215" s="16" t="n"/>
      <c r="H215" s="15">
        <f>IF(A215="","",SUMIF(A:A,A215,E:E))</f>
        <v/>
      </c>
      <c r="I215" s="15" t="n"/>
    </row>
    <row r="216">
      <c r="A216" s="15" t="n"/>
      <c r="B216" s="15" t="n"/>
      <c r="C216" s="15" t="n"/>
      <c r="D216" s="15" t="n"/>
      <c r="E216" s="15" t="n"/>
      <c r="F216" s="16" t="n"/>
      <c r="G216" s="16" t="n"/>
      <c r="H216" s="15">
        <f>IF(A216="","",SUMIF(A:A,A216,E:E))</f>
        <v/>
      </c>
      <c r="I216" s="15" t="n"/>
    </row>
    <row r="217">
      <c r="A217" s="15" t="n"/>
      <c r="B217" s="15" t="n"/>
      <c r="C217" s="15" t="n"/>
      <c r="D217" s="15" t="n"/>
      <c r="E217" s="15" t="n"/>
      <c r="F217" s="16" t="n"/>
      <c r="G217" s="16" t="n"/>
      <c r="H217" s="15">
        <f>IF(A217="","",SUMIF(A:A,A217,E:E))</f>
        <v/>
      </c>
      <c r="I217" s="15" t="n"/>
    </row>
    <row r="218">
      <c r="A218" s="15" t="n"/>
      <c r="B218" s="15" t="n"/>
      <c r="C218" s="15" t="n"/>
      <c r="D218" s="15" t="n"/>
      <c r="E218" s="15" t="n"/>
      <c r="F218" s="16" t="n"/>
      <c r="G218" s="16" t="n"/>
      <c r="H218" s="15">
        <f>IF(A218="","",SUMIF(A:A,A218,E:E))</f>
        <v/>
      </c>
      <c r="I218" s="15" t="n"/>
    </row>
    <row r="219">
      <c r="A219" s="15" t="n"/>
      <c r="B219" s="15" t="n"/>
      <c r="C219" s="15" t="n"/>
      <c r="D219" s="15" t="n"/>
      <c r="E219" s="15" t="n"/>
      <c r="F219" s="16" t="n"/>
      <c r="G219" s="16" t="n"/>
      <c r="H219" s="15">
        <f>IF(A219="","",SUMIF(A:A,A219,E:E))</f>
        <v/>
      </c>
      <c r="I219" s="15" t="n"/>
    </row>
    <row r="220">
      <c r="A220" s="15" t="n"/>
      <c r="B220" s="15" t="n"/>
      <c r="C220" s="15" t="n"/>
      <c r="D220" s="15" t="n"/>
      <c r="E220" s="15" t="n"/>
      <c r="F220" s="16" t="n"/>
      <c r="G220" s="16" t="n"/>
      <c r="H220" s="15">
        <f>IF(A220="","",SUMIF(A:A,A220,E:E))</f>
        <v/>
      </c>
      <c r="I220" s="15" t="n"/>
    </row>
    <row r="221">
      <c r="A221" s="15" t="n"/>
      <c r="B221" s="15" t="n"/>
      <c r="C221" s="15" t="n"/>
      <c r="D221" s="15" t="n"/>
      <c r="E221" s="15" t="n"/>
      <c r="F221" s="16" t="n"/>
      <c r="G221" s="16" t="n"/>
      <c r="H221" s="15">
        <f>IF(A221="","",SUMIF(A:A,A221,E:E))</f>
        <v/>
      </c>
      <c r="I221" s="15" t="n"/>
    </row>
    <row r="222">
      <c r="A222" s="15" t="n"/>
      <c r="B222" s="15" t="n"/>
      <c r="C222" s="15" t="n"/>
      <c r="D222" s="15" t="n"/>
      <c r="E222" s="15" t="n"/>
      <c r="F222" s="16" t="n"/>
      <c r="G222" s="16" t="n"/>
      <c r="H222" s="15">
        <f>IF(A222="","",SUMIF(A:A,A222,E:E))</f>
        <v/>
      </c>
      <c r="I222" s="15" t="n"/>
    </row>
    <row r="223">
      <c r="A223" s="15" t="n"/>
      <c r="B223" s="15" t="n"/>
      <c r="C223" s="15" t="n"/>
      <c r="D223" s="15" t="n"/>
      <c r="E223" s="15" t="n"/>
      <c r="F223" s="16" t="n"/>
      <c r="G223" s="16" t="n"/>
      <c r="H223" s="15">
        <f>IF(A223="","",SUMIF(A:A,A223,E:E))</f>
        <v/>
      </c>
      <c r="I223" s="15" t="n"/>
    </row>
    <row r="224">
      <c r="A224" s="15" t="n"/>
      <c r="B224" s="15" t="n"/>
      <c r="C224" s="15" t="n"/>
      <c r="D224" s="15" t="n"/>
      <c r="E224" s="15" t="n"/>
      <c r="F224" s="16" t="n"/>
      <c r="G224" s="16" t="n"/>
      <c r="H224" s="15">
        <f>IF(A224="","",SUMIF(A:A,A224,E:E))</f>
        <v/>
      </c>
      <c r="I224" s="15" t="n"/>
    </row>
    <row r="225">
      <c r="A225" s="15" t="n"/>
      <c r="B225" s="15" t="n"/>
      <c r="C225" s="15" t="n"/>
      <c r="D225" s="15" t="n"/>
      <c r="E225" s="15" t="n"/>
      <c r="F225" s="16" t="n"/>
      <c r="G225" s="16" t="n"/>
      <c r="H225" s="15">
        <f>IF(A225="","",SUMIF(A:A,A225,E:E))</f>
        <v/>
      </c>
      <c r="I225" s="15" t="n"/>
    </row>
    <row r="226">
      <c r="A226" s="15" t="n"/>
      <c r="B226" s="15" t="n"/>
      <c r="C226" s="15" t="n"/>
      <c r="D226" s="15" t="n"/>
      <c r="E226" s="15" t="n"/>
      <c r="F226" s="16" t="n"/>
      <c r="G226" s="16" t="n"/>
      <c r="H226" s="15">
        <f>IF(A226="","",SUMIF(A:A,A226,E:E))</f>
        <v/>
      </c>
      <c r="I226" s="15" t="n"/>
    </row>
    <row r="227">
      <c r="A227" s="15" t="n"/>
      <c r="B227" s="15" t="n"/>
      <c r="C227" s="15" t="n"/>
      <c r="D227" s="15" t="n"/>
      <c r="E227" s="15" t="n"/>
      <c r="F227" s="16" t="n"/>
      <c r="G227" s="16" t="n"/>
      <c r="H227" s="15">
        <f>IF(A227="","",SUMIF(A:A,A227,E:E))</f>
        <v/>
      </c>
      <c r="I227" s="15" t="n"/>
    </row>
    <row r="228">
      <c r="A228" s="15" t="n"/>
      <c r="B228" s="15" t="n"/>
      <c r="C228" s="15" t="n"/>
      <c r="D228" s="15" t="n"/>
      <c r="E228" s="15" t="n"/>
      <c r="F228" s="16" t="n"/>
      <c r="G228" s="16" t="n"/>
      <c r="H228" s="15">
        <f>IF(A228="","",SUMIF(A:A,A228,E:E))</f>
        <v/>
      </c>
      <c r="I228" s="15" t="n"/>
    </row>
    <row r="229">
      <c r="A229" s="15" t="n"/>
      <c r="B229" s="15" t="n"/>
      <c r="C229" s="15" t="n"/>
      <c r="D229" s="15" t="n"/>
      <c r="E229" s="15" t="n"/>
      <c r="F229" s="16" t="n"/>
      <c r="G229" s="16" t="n"/>
      <c r="H229" s="15">
        <f>IF(A229="","",SUMIF(A:A,A229,E:E))</f>
        <v/>
      </c>
      <c r="I229" s="15" t="n"/>
    </row>
    <row r="230">
      <c r="A230" s="15" t="n"/>
      <c r="B230" s="15" t="n"/>
      <c r="C230" s="15" t="n"/>
      <c r="D230" s="15" t="n"/>
      <c r="E230" s="15" t="n"/>
      <c r="F230" s="16" t="n"/>
      <c r="G230" s="16" t="n"/>
      <c r="H230" s="15">
        <f>IF(A230="","",SUMIF(A:A,A230,E:E))</f>
        <v/>
      </c>
      <c r="I230" s="15" t="n"/>
    </row>
    <row r="231">
      <c r="A231" s="15" t="n"/>
      <c r="B231" s="15" t="n"/>
      <c r="C231" s="15" t="n"/>
      <c r="D231" s="15" t="n"/>
      <c r="E231" s="15" t="n"/>
      <c r="F231" s="16" t="n"/>
      <c r="G231" s="16" t="n"/>
      <c r="H231" s="15">
        <f>IF(A231="","",SUMIF(A:A,A231,E:E))</f>
        <v/>
      </c>
      <c r="I231" s="15" t="n"/>
    </row>
    <row r="232">
      <c r="A232" s="15" t="n"/>
      <c r="B232" s="15" t="n"/>
      <c r="C232" s="15" t="n"/>
      <c r="D232" s="15" t="n"/>
      <c r="E232" s="15" t="n"/>
      <c r="F232" s="16" t="n"/>
      <c r="G232" s="16" t="n"/>
      <c r="H232" s="15">
        <f>IF(A232="","",SUMIF(A:A,A232,E:E))</f>
        <v/>
      </c>
      <c r="I232" s="15" t="n"/>
    </row>
    <row r="233">
      <c r="A233" s="15" t="n"/>
      <c r="B233" s="15" t="n"/>
      <c r="C233" s="15" t="n"/>
      <c r="D233" s="15" t="n"/>
      <c r="E233" s="15" t="n"/>
      <c r="F233" s="16" t="n"/>
      <c r="G233" s="16" t="n"/>
      <c r="H233" s="15">
        <f>IF(A233="","",SUMIF(A:A,A233,E:E))</f>
        <v/>
      </c>
      <c r="I233" s="15" t="n"/>
    </row>
    <row r="234">
      <c r="A234" s="15" t="n"/>
      <c r="B234" s="15" t="n"/>
      <c r="C234" s="15" t="n"/>
      <c r="D234" s="15" t="n"/>
      <c r="E234" s="15" t="n"/>
      <c r="F234" s="16" t="n"/>
      <c r="G234" s="16" t="n"/>
      <c r="H234" s="15">
        <f>IF(A234="","",SUMIF(A:A,A234,E:E))</f>
        <v/>
      </c>
      <c r="I234" s="15" t="n"/>
    </row>
    <row r="235">
      <c r="A235" s="15" t="n"/>
      <c r="B235" s="15" t="n"/>
      <c r="C235" s="15" t="n"/>
      <c r="D235" s="15" t="n"/>
      <c r="E235" s="15" t="n"/>
      <c r="F235" s="16" t="n"/>
      <c r="G235" s="16" t="n"/>
      <c r="H235" s="15">
        <f>IF(A235="","",SUMIF(A:A,A235,E:E))</f>
        <v/>
      </c>
      <c r="I235" s="15" t="n"/>
    </row>
    <row r="236">
      <c r="A236" s="15" t="n"/>
      <c r="B236" s="15" t="n"/>
      <c r="C236" s="15" t="n"/>
      <c r="D236" s="15" t="n"/>
      <c r="E236" s="15" t="n"/>
      <c r="F236" s="16" t="n"/>
      <c r="G236" s="16" t="n"/>
      <c r="H236" s="15">
        <f>IF(A236="","",SUMIF(A:A,A236,E:E))</f>
        <v/>
      </c>
      <c r="I236" s="15" t="n"/>
    </row>
    <row r="237">
      <c r="A237" s="15" t="n"/>
      <c r="B237" s="15" t="n"/>
      <c r="C237" s="15" t="n"/>
      <c r="D237" s="15" t="n"/>
      <c r="E237" s="15" t="n"/>
      <c r="F237" s="16" t="n"/>
      <c r="G237" s="16" t="n"/>
      <c r="H237" s="15">
        <f>IF(A237="","",SUMIF(A:A,A237,E:E))</f>
        <v/>
      </c>
      <c r="I237" s="15" t="n"/>
    </row>
    <row r="238">
      <c r="A238" s="15" t="n"/>
      <c r="B238" s="15" t="n"/>
      <c r="C238" s="15" t="n"/>
      <c r="D238" s="15" t="n"/>
      <c r="E238" s="15" t="n"/>
      <c r="F238" s="16" t="n"/>
      <c r="G238" s="16" t="n"/>
      <c r="H238" s="15">
        <f>IF(A238="","",SUMIF(A:A,A238,E:E))</f>
        <v/>
      </c>
      <c r="I238" s="15" t="n"/>
    </row>
    <row r="239">
      <c r="A239" s="15" t="n"/>
      <c r="B239" s="15" t="n"/>
      <c r="C239" s="15" t="n"/>
      <c r="D239" s="15" t="n"/>
      <c r="E239" s="15" t="n"/>
      <c r="F239" s="16" t="n"/>
      <c r="G239" s="16" t="n"/>
      <c r="H239" s="15">
        <f>IF(A239="","",SUMIF(A:A,A239,E:E))</f>
        <v/>
      </c>
      <c r="I239" s="15" t="n"/>
    </row>
    <row r="240">
      <c r="A240" s="15" t="n"/>
      <c r="B240" s="15" t="n"/>
      <c r="C240" s="15" t="n"/>
      <c r="D240" s="15" t="n"/>
      <c r="E240" s="15" t="n"/>
      <c r="F240" s="16" t="n"/>
      <c r="G240" s="16" t="n"/>
      <c r="H240" s="15">
        <f>IF(A240="","",SUMIF(A:A,A240,E:E))</f>
        <v/>
      </c>
      <c r="I240" s="15" t="n"/>
    </row>
    <row r="241">
      <c r="A241" s="15" t="n"/>
      <c r="B241" s="15" t="n"/>
      <c r="C241" s="15" t="n"/>
      <c r="D241" s="15" t="n"/>
      <c r="E241" s="15" t="n"/>
      <c r="F241" s="16" t="n"/>
      <c r="G241" s="16" t="n"/>
      <c r="H241" s="15">
        <f>IF(A241="","",SUMIF(A:A,A241,E:E))</f>
        <v/>
      </c>
      <c r="I241" s="15" t="n"/>
    </row>
    <row r="242">
      <c r="A242" s="15" t="n"/>
      <c r="B242" s="15" t="n"/>
      <c r="C242" s="15" t="n"/>
      <c r="D242" s="15" t="n"/>
      <c r="E242" s="15" t="n"/>
      <c r="F242" s="16" t="n"/>
      <c r="G242" s="16" t="n"/>
      <c r="H242" s="15">
        <f>IF(A242="","",SUMIF(A:A,A242,E:E))</f>
        <v/>
      </c>
      <c r="I242" s="15" t="n"/>
    </row>
    <row r="243">
      <c r="A243" s="15" t="n"/>
      <c r="B243" s="15" t="n"/>
      <c r="C243" s="15" t="n"/>
      <c r="D243" s="15" t="n"/>
      <c r="E243" s="15" t="n"/>
      <c r="F243" s="16" t="n"/>
      <c r="G243" s="16" t="n"/>
      <c r="H243" s="15">
        <f>IF(A243="","",SUMIF(A:A,A243,E:E))</f>
        <v/>
      </c>
      <c r="I243" s="15" t="n"/>
    </row>
    <row r="244">
      <c r="A244" s="15" t="n"/>
      <c r="B244" s="15" t="n"/>
      <c r="C244" s="15" t="n"/>
      <c r="D244" s="15" t="n"/>
      <c r="E244" s="15" t="n"/>
      <c r="F244" s="16" t="n"/>
      <c r="G244" s="16" t="n"/>
      <c r="H244" s="15">
        <f>IF(A244="","",SUMIF(A:A,A244,E:E))</f>
        <v/>
      </c>
      <c r="I244" s="15" t="n"/>
    </row>
    <row r="245">
      <c r="A245" s="15" t="n"/>
      <c r="B245" s="15" t="n"/>
      <c r="C245" s="15" t="n"/>
      <c r="D245" s="15" t="n"/>
      <c r="E245" s="15" t="n"/>
      <c r="F245" s="16" t="n"/>
      <c r="G245" s="16" t="n"/>
      <c r="H245" s="15">
        <f>IF(A245="","",SUMIF(A:A,A245,E:E))</f>
        <v/>
      </c>
      <c r="I245" s="15" t="n"/>
    </row>
    <row r="246">
      <c r="A246" s="15" t="n"/>
      <c r="B246" s="15" t="n"/>
      <c r="C246" s="15" t="n"/>
      <c r="D246" s="15" t="n"/>
      <c r="E246" s="15" t="n"/>
      <c r="F246" s="16" t="n"/>
      <c r="G246" s="16" t="n"/>
      <c r="H246" s="15">
        <f>IF(A246="","",SUMIF(A:A,A246,E:E))</f>
        <v/>
      </c>
      <c r="I246" s="15" t="n"/>
    </row>
    <row r="247">
      <c r="A247" s="15" t="n"/>
      <c r="B247" s="15" t="n"/>
      <c r="C247" s="15" t="n"/>
      <c r="D247" s="15" t="n"/>
      <c r="E247" s="15" t="n"/>
      <c r="F247" s="16" t="n"/>
      <c r="G247" s="16" t="n"/>
      <c r="H247" s="15">
        <f>IF(A247="","",SUMIF(A:A,A247,E:E))</f>
        <v/>
      </c>
      <c r="I247" s="15" t="n"/>
    </row>
    <row r="248">
      <c r="A248" s="15" t="n"/>
      <c r="B248" s="15" t="n"/>
      <c r="C248" s="15" t="n"/>
      <c r="D248" s="15" t="n"/>
      <c r="E248" s="15" t="n"/>
      <c r="F248" s="16" t="n"/>
      <c r="G248" s="16" t="n"/>
      <c r="H248" s="15">
        <f>IF(A248="","",SUMIF(A:A,A248,E:E))</f>
        <v/>
      </c>
      <c r="I248" s="15" t="n"/>
    </row>
    <row r="249">
      <c r="A249" s="15" t="n"/>
      <c r="B249" s="15" t="n"/>
      <c r="C249" s="15" t="n"/>
      <c r="D249" s="15" t="n"/>
      <c r="E249" s="15" t="n"/>
      <c r="F249" s="16" t="n"/>
      <c r="G249" s="16" t="n"/>
      <c r="H249" s="15">
        <f>IF(A249="","",SUMIF(A:A,A249,E:E))</f>
        <v/>
      </c>
      <c r="I249" s="15" t="n"/>
    </row>
    <row r="250">
      <c r="A250" s="15" t="n"/>
      <c r="B250" s="15" t="n"/>
      <c r="C250" s="15" t="n"/>
      <c r="D250" s="15" t="n"/>
      <c r="E250" s="15" t="n"/>
      <c r="F250" s="16" t="n"/>
      <c r="G250" s="16" t="n"/>
      <c r="H250" s="15">
        <f>IF(A250="","",SUMIF(A:A,A250,E:E))</f>
        <v/>
      </c>
      <c r="I250" s="15" t="n"/>
    </row>
    <row r="251">
      <c r="A251" s="15" t="n"/>
      <c r="B251" s="15" t="n"/>
      <c r="C251" s="15" t="n"/>
      <c r="D251" s="15" t="n"/>
      <c r="E251" s="15" t="n"/>
      <c r="F251" s="16" t="n"/>
      <c r="G251" s="16" t="n"/>
      <c r="H251" s="15">
        <f>IF(A251="","",SUMIF(A:A,A251,E:E))</f>
        <v/>
      </c>
      <c r="I251" s="15" t="n"/>
    </row>
    <row r="252">
      <c r="A252" s="15" t="n"/>
      <c r="B252" s="15" t="n"/>
      <c r="C252" s="15" t="n"/>
      <c r="D252" s="15" t="n"/>
      <c r="E252" s="15" t="n"/>
      <c r="F252" s="16" t="n"/>
      <c r="G252" s="16" t="n"/>
      <c r="H252" s="15">
        <f>IF(A252="","",SUMIF(A:A,A252,E:E))</f>
        <v/>
      </c>
      <c r="I252" s="15" t="n"/>
    </row>
    <row r="253">
      <c r="A253" s="15" t="n"/>
      <c r="B253" s="15" t="n"/>
      <c r="C253" s="15" t="n"/>
      <c r="D253" s="15" t="n"/>
      <c r="E253" s="15" t="n"/>
      <c r="F253" s="16" t="n"/>
      <c r="G253" s="16" t="n"/>
      <c r="H253" s="15">
        <f>IF(A253="","",SUMIF(A:A,A253,E:E))</f>
        <v/>
      </c>
      <c r="I253" s="15" t="n"/>
    </row>
    <row r="254">
      <c r="A254" s="15" t="n"/>
      <c r="B254" s="15" t="n"/>
      <c r="C254" s="15" t="n"/>
      <c r="D254" s="15" t="n"/>
      <c r="E254" s="15" t="n"/>
      <c r="F254" s="16" t="n"/>
      <c r="G254" s="16" t="n"/>
      <c r="H254" s="15">
        <f>IF(A254="","",SUMIF(A:A,A254,E:E))</f>
        <v/>
      </c>
      <c r="I254" s="15" t="n"/>
    </row>
    <row r="255">
      <c r="A255" s="15" t="n"/>
      <c r="B255" s="15" t="n"/>
      <c r="C255" s="15" t="n"/>
      <c r="D255" s="15" t="n"/>
      <c r="E255" s="15" t="n"/>
      <c r="F255" s="16" t="n"/>
      <c r="G255" s="16" t="n"/>
      <c r="H255" s="15">
        <f>IF(A255="","",SUMIF(A:A,A255,E:E))</f>
        <v/>
      </c>
      <c r="I255" s="15" t="n"/>
    </row>
    <row r="256">
      <c r="A256" s="15" t="n"/>
      <c r="B256" s="15" t="n"/>
      <c r="C256" s="15" t="n"/>
      <c r="D256" s="15" t="n"/>
      <c r="E256" s="15" t="n"/>
      <c r="F256" s="16" t="n"/>
      <c r="G256" s="16" t="n"/>
      <c r="H256" s="15">
        <f>IF(A256="","",SUMIF(A:A,A256,E:E))</f>
        <v/>
      </c>
      <c r="I256" s="15" t="n"/>
    </row>
    <row r="257">
      <c r="A257" s="15" t="n"/>
      <c r="B257" s="15" t="n"/>
      <c r="C257" s="15" t="n"/>
      <c r="D257" s="15" t="n"/>
      <c r="E257" s="15" t="n"/>
      <c r="F257" s="16" t="n"/>
      <c r="G257" s="16" t="n"/>
      <c r="H257" s="15">
        <f>IF(A257="","",SUMIF(A:A,A257,E:E))</f>
        <v/>
      </c>
      <c r="I257" s="15" t="n"/>
    </row>
    <row r="258">
      <c r="A258" s="15" t="n"/>
      <c r="B258" s="15" t="n"/>
      <c r="C258" s="15" t="n"/>
      <c r="D258" s="15" t="n"/>
      <c r="E258" s="15" t="n"/>
      <c r="F258" s="16" t="n"/>
      <c r="G258" s="16" t="n"/>
      <c r="H258" s="15">
        <f>IF(A258="","",SUMIF(A:A,A258,E:E))</f>
        <v/>
      </c>
      <c r="I258" s="15" t="n"/>
    </row>
    <row r="259">
      <c r="A259" s="15" t="n"/>
      <c r="B259" s="15" t="n"/>
      <c r="C259" s="15" t="n"/>
      <c r="D259" s="15" t="n"/>
      <c r="E259" s="15" t="n"/>
      <c r="F259" s="16" t="n"/>
      <c r="G259" s="16" t="n"/>
      <c r="H259" s="15">
        <f>IF(A259="","",SUMIF(A:A,A259,E:E))</f>
        <v/>
      </c>
      <c r="I259" s="15" t="n"/>
    </row>
    <row r="260">
      <c r="A260" s="15" t="n"/>
      <c r="B260" s="15" t="n"/>
      <c r="C260" s="15" t="n"/>
      <c r="D260" s="15" t="n"/>
      <c r="E260" s="15" t="n"/>
      <c r="F260" s="16" t="n"/>
      <c r="G260" s="16" t="n"/>
      <c r="H260" s="15">
        <f>IF(A260="","",SUMIF(A:A,A260,E:E))</f>
        <v/>
      </c>
      <c r="I260" s="15" t="n"/>
    </row>
    <row r="261">
      <c r="A261" s="15" t="n"/>
      <c r="B261" s="15" t="n"/>
      <c r="C261" s="15" t="n"/>
      <c r="D261" s="15" t="n"/>
      <c r="E261" s="15" t="n"/>
      <c r="F261" s="16" t="n"/>
      <c r="G261" s="16" t="n"/>
      <c r="H261" s="15">
        <f>IF(A261="","",SUMIF(A:A,A261,E:E))</f>
        <v/>
      </c>
      <c r="I261" s="15" t="n"/>
    </row>
    <row r="262">
      <c r="A262" s="15" t="n"/>
      <c r="B262" s="15" t="n"/>
      <c r="C262" s="15" t="n"/>
      <c r="D262" s="15" t="n"/>
      <c r="E262" s="15" t="n"/>
      <c r="F262" s="16" t="n"/>
      <c r="G262" s="16" t="n"/>
      <c r="H262" s="15">
        <f>IF(A262="","",SUMIF(A:A,A262,E:E))</f>
        <v/>
      </c>
      <c r="I262" s="15" t="n"/>
    </row>
    <row r="263">
      <c r="A263" s="15" t="n"/>
      <c r="B263" s="15" t="n"/>
      <c r="C263" s="15" t="n"/>
      <c r="D263" s="15" t="n"/>
      <c r="E263" s="15" t="n"/>
      <c r="F263" s="16" t="n"/>
      <c r="G263" s="16" t="n"/>
      <c r="H263" s="15">
        <f>IF(A263="","",SUMIF(A:A,A263,E:E))</f>
        <v/>
      </c>
      <c r="I263" s="15" t="n"/>
    </row>
    <row r="264">
      <c r="A264" s="15" t="n"/>
      <c r="B264" s="15" t="n"/>
      <c r="C264" s="15" t="n"/>
      <c r="D264" s="15" t="n"/>
      <c r="E264" s="15" t="n"/>
      <c r="F264" s="16" t="n"/>
      <c r="G264" s="16" t="n"/>
      <c r="H264" s="15">
        <f>IF(A264="","",SUMIF(A:A,A264,E:E))</f>
        <v/>
      </c>
      <c r="I264" s="15" t="n"/>
    </row>
    <row r="265">
      <c r="A265" s="15" t="n"/>
      <c r="B265" s="15" t="n"/>
      <c r="C265" s="15" t="n"/>
      <c r="D265" s="15" t="n"/>
      <c r="E265" s="15" t="n"/>
      <c r="F265" s="16" t="n"/>
      <c r="G265" s="16" t="n"/>
      <c r="H265" s="15">
        <f>IF(A265="","",SUMIF(A:A,A265,E:E))</f>
        <v/>
      </c>
      <c r="I265" s="15" t="n"/>
    </row>
    <row r="266">
      <c r="A266" s="15" t="n"/>
      <c r="B266" s="15" t="n"/>
      <c r="C266" s="15" t="n"/>
      <c r="D266" s="15" t="n"/>
      <c r="E266" s="15" t="n"/>
      <c r="F266" s="16" t="n"/>
      <c r="G266" s="16" t="n"/>
      <c r="H266" s="15">
        <f>IF(A266="","",SUMIF(A:A,A266,E:E))</f>
        <v/>
      </c>
      <c r="I266" s="15" t="n"/>
    </row>
    <row r="267">
      <c r="A267" s="15" t="n"/>
      <c r="B267" s="15" t="n"/>
      <c r="C267" s="15" t="n"/>
      <c r="D267" s="15" t="n"/>
      <c r="E267" s="15" t="n"/>
      <c r="F267" s="16" t="n"/>
      <c r="G267" s="16" t="n"/>
      <c r="H267" s="15">
        <f>IF(A267="","",SUMIF(A:A,A267,E:E))</f>
        <v/>
      </c>
      <c r="I267" s="15" t="n"/>
    </row>
    <row r="268">
      <c r="A268" s="15" t="n"/>
      <c r="B268" s="15" t="n"/>
      <c r="C268" s="15" t="n"/>
      <c r="D268" s="15" t="n"/>
      <c r="E268" s="15" t="n"/>
      <c r="F268" s="16" t="n"/>
      <c r="G268" s="16" t="n"/>
      <c r="H268" s="15">
        <f>IF(A268="","",SUMIF(A:A,A268,E:E))</f>
        <v/>
      </c>
      <c r="I268" s="15" t="n"/>
    </row>
    <row r="269">
      <c r="A269" s="15" t="n"/>
      <c r="B269" s="15" t="n"/>
      <c r="C269" s="15" t="n"/>
      <c r="D269" s="15" t="n"/>
      <c r="E269" s="15" t="n"/>
      <c r="F269" s="16" t="n"/>
      <c r="G269" s="16" t="n"/>
      <c r="H269" s="15">
        <f>IF(A269="","",SUMIF(A:A,A269,E:E))</f>
        <v/>
      </c>
      <c r="I269" s="15" t="n"/>
    </row>
    <row r="270">
      <c r="A270" s="15" t="n"/>
      <c r="B270" s="15" t="n"/>
      <c r="C270" s="15" t="n"/>
      <c r="D270" s="15" t="n"/>
      <c r="E270" s="15" t="n"/>
      <c r="F270" s="16" t="n"/>
      <c r="G270" s="16" t="n"/>
      <c r="H270" s="15">
        <f>IF(A270="","",SUMIF(A:A,A270,E:E))</f>
        <v/>
      </c>
      <c r="I270" s="15" t="n"/>
    </row>
    <row r="271">
      <c r="A271" s="15" t="n"/>
      <c r="B271" s="15" t="n"/>
      <c r="C271" s="15" t="n"/>
      <c r="D271" s="15" t="n"/>
      <c r="E271" s="15" t="n"/>
      <c r="F271" s="16" t="n"/>
      <c r="G271" s="16" t="n"/>
      <c r="H271" s="15">
        <f>IF(A271="","",SUMIF(A:A,A271,E:E))</f>
        <v/>
      </c>
      <c r="I271" s="15" t="n"/>
    </row>
    <row r="272">
      <c r="A272" s="15" t="n"/>
      <c r="B272" s="15" t="n"/>
      <c r="C272" s="15" t="n"/>
      <c r="D272" s="15" t="n"/>
      <c r="E272" s="15" t="n"/>
      <c r="F272" s="16" t="n"/>
      <c r="G272" s="16" t="n"/>
      <c r="H272" s="15">
        <f>IF(A272="","",SUMIF(A:A,A272,E:E))</f>
        <v/>
      </c>
      <c r="I272" s="15" t="n"/>
    </row>
    <row r="273">
      <c r="A273" s="15" t="n"/>
      <c r="B273" s="15" t="n"/>
      <c r="C273" s="15" t="n"/>
      <c r="D273" s="15" t="n"/>
      <c r="E273" s="15" t="n"/>
      <c r="F273" s="16" t="n"/>
      <c r="G273" s="16" t="n"/>
      <c r="H273" s="15">
        <f>IF(A273="","",SUMIF(A:A,A273,E:E))</f>
        <v/>
      </c>
      <c r="I273" s="15" t="n"/>
    </row>
    <row r="274">
      <c r="A274" s="15" t="n"/>
      <c r="B274" s="15" t="n"/>
      <c r="C274" s="15" t="n"/>
      <c r="D274" s="15" t="n"/>
      <c r="E274" s="15" t="n"/>
      <c r="F274" s="16" t="n"/>
      <c r="G274" s="16" t="n"/>
      <c r="H274" s="15">
        <f>IF(A274="","",SUMIF(A:A,A274,E:E))</f>
        <v/>
      </c>
      <c r="I274" s="15" t="n"/>
    </row>
    <row r="275">
      <c r="A275" s="15" t="n"/>
      <c r="B275" s="15" t="n"/>
      <c r="C275" s="15" t="n"/>
      <c r="D275" s="15" t="n"/>
      <c r="E275" s="15" t="n"/>
      <c r="F275" s="16" t="n"/>
      <c r="G275" s="16" t="n"/>
      <c r="H275" s="15">
        <f>IF(A275="","",SUMIF(A:A,A275,E:E))</f>
        <v/>
      </c>
      <c r="I275" s="15" t="n"/>
    </row>
    <row r="276">
      <c r="A276" s="15" t="n"/>
      <c r="B276" s="15" t="n"/>
      <c r="C276" s="15" t="n"/>
      <c r="D276" s="15" t="n"/>
      <c r="E276" s="15" t="n"/>
      <c r="F276" s="16" t="n"/>
      <c r="G276" s="16" t="n"/>
      <c r="H276" s="15">
        <f>IF(A276="","",SUMIF(A:A,A276,E:E))</f>
        <v/>
      </c>
      <c r="I276" s="15" t="n"/>
    </row>
    <row r="277">
      <c r="A277" s="15" t="n"/>
      <c r="B277" s="15" t="n"/>
      <c r="C277" s="15" t="n"/>
      <c r="D277" s="15" t="n"/>
      <c r="E277" s="15" t="n"/>
      <c r="F277" s="16" t="n"/>
      <c r="G277" s="16" t="n"/>
      <c r="H277" s="15">
        <f>IF(A277="","",SUMIF(A:A,A277,E:E))</f>
        <v/>
      </c>
      <c r="I277" s="15" t="n"/>
    </row>
    <row r="278">
      <c r="A278" s="15" t="n"/>
      <c r="B278" s="15" t="n"/>
      <c r="C278" s="15" t="n"/>
      <c r="D278" s="15" t="n"/>
      <c r="E278" s="15" t="n"/>
      <c r="F278" s="16" t="n"/>
      <c r="G278" s="16" t="n"/>
      <c r="H278" s="15">
        <f>IF(A278="","",SUMIF(A:A,A278,E:E))</f>
        <v/>
      </c>
      <c r="I278" s="15" t="n"/>
    </row>
    <row r="279">
      <c r="A279" s="15" t="n"/>
      <c r="B279" s="15" t="n"/>
      <c r="C279" s="15" t="n"/>
      <c r="D279" s="15" t="n"/>
      <c r="E279" s="15" t="n"/>
      <c r="F279" s="16" t="n"/>
      <c r="G279" s="16" t="n"/>
      <c r="H279" s="15">
        <f>IF(A279="","",SUMIF(A:A,A279,E:E))</f>
        <v/>
      </c>
      <c r="I279" s="15" t="n"/>
    </row>
    <row r="280">
      <c r="A280" s="15" t="n"/>
      <c r="B280" s="15" t="n"/>
      <c r="C280" s="15" t="n"/>
      <c r="D280" s="15" t="n"/>
      <c r="E280" s="15" t="n"/>
      <c r="F280" s="16" t="n"/>
      <c r="G280" s="16" t="n"/>
      <c r="H280" s="15">
        <f>IF(A280="","",SUMIF(A:A,A280,E:E))</f>
        <v/>
      </c>
      <c r="I280" s="15" t="n"/>
    </row>
    <row r="281">
      <c r="A281" s="15" t="n"/>
      <c r="B281" s="15" t="n"/>
      <c r="C281" s="15" t="n"/>
      <c r="D281" s="15" t="n"/>
      <c r="E281" s="15" t="n"/>
      <c r="F281" s="16" t="n"/>
      <c r="G281" s="16" t="n"/>
      <c r="H281" s="15">
        <f>IF(A281="","",SUMIF(A:A,A281,E:E))</f>
        <v/>
      </c>
      <c r="I281" s="15" t="n"/>
    </row>
    <row r="282">
      <c r="A282" s="15" t="n"/>
      <c r="B282" s="15" t="n"/>
      <c r="C282" s="15" t="n"/>
      <c r="D282" s="15" t="n"/>
      <c r="E282" s="15" t="n"/>
      <c r="F282" s="16" t="n"/>
      <c r="G282" s="16" t="n"/>
      <c r="H282" s="15">
        <f>IF(A282="","",SUMIF(A:A,A282,E:E))</f>
        <v/>
      </c>
      <c r="I282" s="15" t="n"/>
    </row>
    <row r="283">
      <c r="A283" s="15" t="n"/>
      <c r="B283" s="15" t="n"/>
      <c r="C283" s="15" t="n"/>
      <c r="D283" s="15" t="n"/>
      <c r="E283" s="15" t="n"/>
      <c r="F283" s="16" t="n"/>
      <c r="G283" s="16" t="n"/>
      <c r="H283" s="15">
        <f>IF(A283="","",SUMIF(A:A,A283,E:E))</f>
        <v/>
      </c>
      <c r="I283" s="15" t="n"/>
    </row>
    <row r="284">
      <c r="A284" s="15" t="n"/>
      <c r="B284" s="15" t="n"/>
      <c r="C284" s="15" t="n"/>
      <c r="D284" s="15" t="n"/>
      <c r="E284" s="15" t="n"/>
      <c r="F284" s="16" t="n"/>
      <c r="G284" s="16" t="n"/>
      <c r="H284" s="15">
        <f>IF(A284="","",SUMIF(A:A,A284,E:E))</f>
        <v/>
      </c>
      <c r="I284" s="15" t="n"/>
    </row>
    <row r="285">
      <c r="A285" s="15" t="n"/>
      <c r="B285" s="15" t="n"/>
      <c r="C285" s="15" t="n"/>
      <c r="D285" s="15" t="n"/>
      <c r="E285" s="15" t="n"/>
      <c r="F285" s="16" t="n"/>
      <c r="G285" s="16" t="n"/>
      <c r="H285" s="15">
        <f>IF(A285="","",SUMIF(A:A,A285,E:E))</f>
        <v/>
      </c>
      <c r="I285" s="15" t="n"/>
    </row>
    <row r="286">
      <c r="A286" s="15" t="n"/>
      <c r="B286" s="15" t="n"/>
      <c r="C286" s="15" t="n"/>
      <c r="D286" s="15" t="n"/>
      <c r="E286" s="15" t="n"/>
      <c r="F286" s="16" t="n"/>
      <c r="G286" s="16" t="n"/>
      <c r="H286" s="15">
        <f>IF(A286="","",SUMIF(A:A,A286,E:E))</f>
        <v/>
      </c>
      <c r="I286" s="15" t="n"/>
    </row>
    <row r="287">
      <c r="A287" s="15" t="n"/>
      <c r="B287" s="15" t="n"/>
      <c r="C287" s="15" t="n"/>
      <c r="D287" s="15" t="n"/>
      <c r="E287" s="15" t="n"/>
      <c r="F287" s="16" t="n"/>
      <c r="G287" s="16" t="n"/>
      <c r="H287" s="15">
        <f>IF(A287="","",SUMIF(A:A,A287,E:E))</f>
        <v/>
      </c>
      <c r="I287" s="15" t="n"/>
    </row>
    <row r="288">
      <c r="A288" s="15" t="n"/>
      <c r="B288" s="15" t="n"/>
      <c r="C288" s="15" t="n"/>
      <c r="D288" s="15" t="n"/>
      <c r="E288" s="15" t="n"/>
      <c r="F288" s="16" t="n"/>
      <c r="G288" s="16" t="n"/>
      <c r="H288" s="15">
        <f>IF(A288="","",SUMIF(A:A,A288,E:E))</f>
        <v/>
      </c>
      <c r="I288" s="15" t="n"/>
    </row>
    <row r="289">
      <c r="A289" s="15" t="n"/>
      <c r="B289" s="15" t="n"/>
      <c r="C289" s="15" t="n"/>
      <c r="D289" s="15" t="n"/>
      <c r="E289" s="15" t="n"/>
      <c r="F289" s="16" t="n"/>
      <c r="G289" s="16" t="n"/>
      <c r="H289" s="15">
        <f>IF(A289="","",SUMIF(A:A,A289,E:E))</f>
        <v/>
      </c>
      <c r="I289" s="15" t="n"/>
    </row>
    <row r="290">
      <c r="A290" s="15" t="n"/>
      <c r="B290" s="15" t="n"/>
      <c r="C290" s="15" t="n"/>
      <c r="D290" s="15" t="n"/>
      <c r="E290" s="15" t="n"/>
      <c r="F290" s="16" t="n"/>
      <c r="G290" s="16" t="n"/>
      <c r="H290" s="15">
        <f>IF(A290="","",SUMIF(A:A,A290,E:E))</f>
        <v/>
      </c>
      <c r="I290" s="15" t="n"/>
    </row>
    <row r="291">
      <c r="A291" s="15" t="n"/>
      <c r="B291" s="15" t="n"/>
      <c r="C291" s="15" t="n"/>
      <c r="D291" s="15" t="n"/>
      <c r="E291" s="15" t="n"/>
      <c r="F291" s="16" t="n"/>
      <c r="G291" s="16" t="n"/>
      <c r="H291" s="15">
        <f>IF(A291="","",SUMIF(A:A,A291,E:E))</f>
        <v/>
      </c>
      <c r="I291" s="15" t="n"/>
    </row>
    <row r="292">
      <c r="A292" s="15" t="n"/>
      <c r="B292" s="15" t="n"/>
      <c r="C292" s="15" t="n"/>
      <c r="D292" s="15" t="n"/>
      <c r="E292" s="15" t="n"/>
      <c r="F292" s="16" t="n"/>
      <c r="G292" s="16" t="n"/>
      <c r="H292" s="15">
        <f>IF(A292="","",SUMIF(A:A,A292,E:E))</f>
        <v/>
      </c>
      <c r="I292" s="15" t="n"/>
    </row>
    <row r="293">
      <c r="A293" s="15" t="n"/>
      <c r="B293" s="15" t="n"/>
      <c r="C293" s="15" t="n"/>
      <c r="D293" s="15" t="n"/>
      <c r="E293" s="15" t="n"/>
      <c r="F293" s="16" t="n"/>
      <c r="G293" s="16" t="n"/>
      <c r="H293" s="15">
        <f>IF(A293="","",SUMIF(A:A,A293,E:E))</f>
        <v/>
      </c>
      <c r="I293" s="15" t="n"/>
    </row>
    <row r="294">
      <c r="A294" s="15" t="n"/>
      <c r="B294" s="15" t="n"/>
      <c r="C294" s="15" t="n"/>
      <c r="D294" s="15" t="n"/>
      <c r="E294" s="15" t="n"/>
      <c r="F294" s="16" t="n"/>
      <c r="G294" s="16" t="n"/>
      <c r="H294" s="15">
        <f>IF(A294="","",SUMIF(A:A,A294,E:E))</f>
        <v/>
      </c>
      <c r="I294" s="15" t="n"/>
    </row>
    <row r="295">
      <c r="A295" s="15" t="n"/>
      <c r="B295" s="15" t="n"/>
      <c r="C295" s="15" t="n"/>
      <c r="D295" s="15" t="n"/>
      <c r="E295" s="15" t="n"/>
      <c r="F295" s="16" t="n"/>
      <c r="G295" s="16" t="n"/>
      <c r="H295" s="15">
        <f>IF(A295="","",SUMIF(A:A,A295,E:E))</f>
        <v/>
      </c>
      <c r="I295" s="15" t="n"/>
    </row>
    <row r="296">
      <c r="A296" s="15" t="n"/>
      <c r="B296" s="15" t="n"/>
      <c r="C296" s="15" t="n"/>
      <c r="D296" s="15" t="n"/>
      <c r="E296" s="15" t="n"/>
      <c r="F296" s="16" t="n"/>
      <c r="G296" s="16" t="n"/>
      <c r="H296" s="15">
        <f>IF(A296="","",SUMIF(A:A,A296,E:E))</f>
        <v/>
      </c>
      <c r="I296" s="15" t="n"/>
    </row>
    <row r="297">
      <c r="A297" s="15" t="n"/>
      <c r="B297" s="15" t="n"/>
      <c r="C297" s="15" t="n"/>
      <c r="D297" s="15" t="n"/>
      <c r="E297" s="15" t="n"/>
      <c r="F297" s="16" t="n"/>
      <c r="G297" s="16" t="n"/>
      <c r="H297" s="15">
        <f>IF(A297="","",SUMIF(A:A,A297,E:E))</f>
        <v/>
      </c>
      <c r="I297" s="15" t="n"/>
    </row>
    <row r="298">
      <c r="A298" s="15" t="n"/>
      <c r="B298" s="15" t="n"/>
      <c r="C298" s="15" t="n"/>
      <c r="D298" s="15" t="n"/>
      <c r="E298" s="15" t="n"/>
      <c r="F298" s="16" t="n"/>
      <c r="G298" s="16" t="n"/>
      <c r="H298" s="15">
        <f>IF(A298="","",SUMIF(A:A,A298,E:E))</f>
        <v/>
      </c>
      <c r="I298" s="15" t="n"/>
    </row>
    <row r="299">
      <c r="A299" s="15" t="n"/>
      <c r="B299" s="15" t="n"/>
      <c r="C299" s="15" t="n"/>
      <c r="D299" s="15" t="n"/>
      <c r="E299" s="15" t="n"/>
      <c r="F299" s="16" t="n"/>
      <c r="G299" s="16" t="n"/>
      <c r="H299" s="15">
        <f>IF(A299="","",SUMIF(A:A,A299,E:E))</f>
        <v/>
      </c>
      <c r="I299" s="15" t="n"/>
    </row>
    <row r="300">
      <c r="A300" s="15" t="n"/>
      <c r="B300" s="15" t="n"/>
      <c r="C300" s="15" t="n"/>
      <c r="D300" s="15" t="n"/>
      <c r="E300" s="15" t="n"/>
      <c r="F300" s="16" t="n"/>
      <c r="G300" s="16" t="n"/>
      <c r="H300" s="15">
        <f>IF(A300="","",SUMIF(A:A,A300,E:E))</f>
        <v/>
      </c>
      <c r="I300" s="15" t="n"/>
    </row>
    <row r="301">
      <c r="A301" s="15" t="n"/>
      <c r="B301" s="15" t="n"/>
      <c r="C301" s="15" t="n"/>
      <c r="D301" s="15" t="n"/>
      <c r="E301" s="15" t="n"/>
      <c r="F301" s="16" t="n"/>
      <c r="G301" s="16" t="n"/>
      <c r="H301" s="15">
        <f>IF(A301="","",SUMIF(A:A,A301,E:E))</f>
        <v/>
      </c>
      <c r="I301" s="15" t="n"/>
    </row>
    <row r="302">
      <c r="A302" s="15" t="n"/>
      <c r="B302" s="15" t="n"/>
      <c r="C302" s="15" t="n"/>
      <c r="D302" s="15" t="n"/>
      <c r="E302" s="15" t="n"/>
      <c r="F302" s="16" t="n"/>
      <c r="G302" s="16" t="n"/>
      <c r="H302" s="15">
        <f>IF(A302="","",SUMIF(A:A,A302,E:E))</f>
        <v/>
      </c>
      <c r="I302" s="15" t="n"/>
    </row>
    <row r="303">
      <c r="A303" s="15" t="n"/>
      <c r="B303" s="15" t="n"/>
      <c r="C303" s="15" t="n"/>
      <c r="D303" s="15" t="n"/>
      <c r="E303" s="15" t="n"/>
      <c r="F303" s="16" t="n"/>
      <c r="G303" s="16" t="n"/>
      <c r="H303" s="15">
        <f>IF(A303="","",SUMIF(A:A,A303,E:E))</f>
        <v/>
      </c>
      <c r="I303" s="15" t="n"/>
    </row>
    <row r="304">
      <c r="A304" s="15" t="n"/>
      <c r="B304" s="15" t="n"/>
      <c r="C304" s="15" t="n"/>
      <c r="D304" s="15" t="n"/>
      <c r="E304" s="15" t="n"/>
      <c r="F304" s="16" t="n"/>
      <c r="G304" s="16" t="n"/>
      <c r="H304" s="15">
        <f>IF(A304="","",SUMIF(A:A,A304,E:E))</f>
        <v/>
      </c>
      <c r="I304" s="15" t="n"/>
    </row>
    <row r="305">
      <c r="A305" s="15" t="n"/>
      <c r="B305" s="15" t="n"/>
      <c r="C305" s="15" t="n"/>
      <c r="D305" s="15" t="n"/>
      <c r="E305" s="15" t="n"/>
      <c r="F305" s="16" t="n"/>
      <c r="G305" s="16" t="n"/>
      <c r="H305" s="15">
        <f>IF(A305="","",SUMIF(A:A,A305,E:E))</f>
        <v/>
      </c>
      <c r="I305" s="15" t="n"/>
    </row>
    <row r="306">
      <c r="A306" s="15" t="n"/>
      <c r="B306" s="15" t="n"/>
      <c r="C306" s="15" t="n"/>
      <c r="D306" s="15" t="n"/>
      <c r="E306" s="15" t="n"/>
      <c r="F306" s="16" t="n"/>
      <c r="G306" s="16" t="n"/>
      <c r="H306" s="15">
        <f>IF(A306="","",SUMIF(A:A,A306,E:E))</f>
        <v/>
      </c>
      <c r="I306" s="15" t="n"/>
    </row>
    <row r="307">
      <c r="A307" s="15" t="n"/>
      <c r="B307" s="15" t="n"/>
      <c r="C307" s="15" t="n"/>
      <c r="D307" s="15" t="n"/>
      <c r="E307" s="15" t="n"/>
      <c r="F307" s="16" t="n"/>
      <c r="G307" s="16" t="n"/>
      <c r="H307" s="15">
        <f>IF(A307="","",SUMIF(A:A,A307,E:E))</f>
        <v/>
      </c>
      <c r="I307" s="15" t="n"/>
    </row>
    <row r="308">
      <c r="A308" s="15" t="n"/>
      <c r="B308" s="15" t="n"/>
      <c r="C308" s="15" t="n"/>
      <c r="D308" s="15" t="n"/>
      <c r="E308" s="15" t="n"/>
      <c r="F308" s="16" t="n"/>
      <c r="G308" s="16" t="n"/>
      <c r="H308" s="15">
        <f>IF(A308="","",SUMIF(A:A,A308,E:E))</f>
        <v/>
      </c>
      <c r="I308" s="15" t="n"/>
    </row>
    <row r="309">
      <c r="A309" s="15" t="n"/>
      <c r="B309" s="15" t="n"/>
      <c r="C309" s="15" t="n"/>
      <c r="D309" s="15" t="n"/>
      <c r="E309" s="15" t="n"/>
      <c r="F309" s="16" t="n"/>
      <c r="G309" s="16" t="n"/>
      <c r="H309" s="15">
        <f>IF(A309="","",SUMIF(A:A,A309,E:E))</f>
        <v/>
      </c>
      <c r="I309" s="15" t="n"/>
    </row>
    <row r="310">
      <c r="A310" s="15" t="n"/>
      <c r="B310" s="15" t="n"/>
      <c r="C310" s="15" t="n"/>
      <c r="D310" s="15" t="n"/>
      <c r="E310" s="15" t="n"/>
      <c r="F310" s="16" t="n"/>
      <c r="G310" s="16" t="n"/>
      <c r="H310" s="15">
        <f>IF(A310="","",SUMIF(A:A,A310,E:E))</f>
        <v/>
      </c>
      <c r="I310" s="15" t="n"/>
    </row>
    <row r="311">
      <c r="A311" s="15" t="n"/>
      <c r="B311" s="15" t="n"/>
      <c r="C311" s="15" t="n"/>
      <c r="D311" s="15" t="n"/>
      <c r="E311" s="15" t="n"/>
      <c r="F311" s="16" t="n"/>
      <c r="G311" s="16" t="n"/>
      <c r="H311" s="15">
        <f>IF(A311="","",SUMIF(A:A,A311,E:E))</f>
        <v/>
      </c>
      <c r="I311" s="15" t="n"/>
    </row>
    <row r="312">
      <c r="A312" s="15" t="n"/>
      <c r="B312" s="15" t="n"/>
      <c r="C312" s="15" t="n"/>
      <c r="D312" s="15" t="n"/>
      <c r="E312" s="15" t="n"/>
      <c r="F312" s="16" t="n"/>
      <c r="G312" s="16" t="n"/>
      <c r="H312" s="15">
        <f>IF(A312="","",SUMIF(A:A,A312,E:E))</f>
        <v/>
      </c>
      <c r="I312" s="15" t="n"/>
    </row>
    <row r="313">
      <c r="A313" s="15" t="n"/>
      <c r="B313" s="15" t="n"/>
      <c r="C313" s="15" t="n"/>
      <c r="D313" s="15" t="n"/>
      <c r="E313" s="15" t="n"/>
      <c r="F313" s="16" t="n"/>
      <c r="G313" s="16" t="n"/>
      <c r="H313" s="15">
        <f>IF(A313="","",SUMIF(A:A,A313,E:E))</f>
        <v/>
      </c>
      <c r="I313" s="15" t="n"/>
    </row>
    <row r="314">
      <c r="A314" s="15" t="n"/>
      <c r="B314" s="15" t="n"/>
      <c r="C314" s="15" t="n"/>
      <c r="D314" s="15" t="n"/>
      <c r="E314" s="15" t="n"/>
      <c r="F314" s="16" t="n"/>
      <c r="G314" s="16" t="n"/>
      <c r="H314" s="15">
        <f>IF(A314="","",SUMIF(A:A,A314,E:E))</f>
        <v/>
      </c>
      <c r="I314" s="15" t="n"/>
    </row>
    <row r="315">
      <c r="A315" s="15" t="n"/>
      <c r="B315" s="15" t="n"/>
      <c r="C315" s="15" t="n"/>
      <c r="D315" s="15" t="n"/>
      <c r="E315" s="15" t="n"/>
      <c r="F315" s="16" t="n"/>
      <c r="G315" s="16" t="n"/>
      <c r="H315" s="15">
        <f>IF(A315="","",SUMIF(A:A,A315,E:E))</f>
        <v/>
      </c>
      <c r="I315" s="15" t="n"/>
    </row>
    <row r="316">
      <c r="A316" s="15" t="n"/>
      <c r="B316" s="15" t="n"/>
      <c r="C316" s="15" t="n"/>
      <c r="D316" s="15" t="n"/>
      <c r="E316" s="15" t="n"/>
      <c r="F316" s="16" t="n"/>
      <c r="G316" s="16" t="n"/>
      <c r="H316" s="15">
        <f>IF(A316="","",SUMIF(A:A,A316,E:E))</f>
        <v/>
      </c>
      <c r="I316" s="15" t="n"/>
    </row>
    <row r="317">
      <c r="A317" s="15" t="n"/>
      <c r="B317" s="15" t="n"/>
      <c r="C317" s="15" t="n"/>
      <c r="D317" s="15" t="n"/>
      <c r="E317" s="15" t="n"/>
      <c r="F317" s="16" t="n"/>
      <c r="G317" s="16" t="n"/>
      <c r="H317" s="15">
        <f>IF(A317="","",SUMIF(A:A,A317,E:E))</f>
        <v/>
      </c>
      <c r="I317" s="15" t="n"/>
    </row>
    <row r="318">
      <c r="A318" s="15" t="n"/>
      <c r="B318" s="15" t="n"/>
      <c r="C318" s="15" t="n"/>
      <c r="D318" s="15" t="n"/>
      <c r="E318" s="15" t="n"/>
      <c r="F318" s="16" t="n"/>
      <c r="G318" s="16" t="n"/>
      <c r="H318" s="15">
        <f>IF(A318="","",SUMIF(A:A,A318,E:E))</f>
        <v/>
      </c>
      <c r="I318" s="15" t="n"/>
    </row>
    <row r="319">
      <c r="A319" s="15" t="n"/>
      <c r="B319" s="15" t="n"/>
      <c r="C319" s="15" t="n"/>
      <c r="D319" s="15" t="n"/>
      <c r="E319" s="15" t="n"/>
      <c r="F319" s="16" t="n"/>
      <c r="G319" s="16" t="n"/>
      <c r="H319" s="15">
        <f>IF(A319="","",SUMIF(A:A,A319,E:E))</f>
        <v/>
      </c>
      <c r="I319" s="15" t="n"/>
    </row>
    <row r="320">
      <c r="A320" s="15" t="n"/>
      <c r="B320" s="15" t="n"/>
      <c r="C320" s="15" t="n"/>
      <c r="D320" s="15" t="n"/>
      <c r="E320" s="15" t="n"/>
      <c r="F320" s="16" t="n"/>
      <c r="G320" s="16" t="n"/>
      <c r="H320" s="15">
        <f>IF(A320="","",SUMIF(A:A,A320,E:E))</f>
        <v/>
      </c>
      <c r="I320" s="15" t="n"/>
    </row>
    <row r="321">
      <c r="A321" s="15" t="n"/>
      <c r="B321" s="15" t="n"/>
      <c r="C321" s="15" t="n"/>
      <c r="D321" s="15" t="n"/>
      <c r="E321" s="15" t="n"/>
      <c r="F321" s="16" t="n"/>
      <c r="G321" s="16" t="n"/>
      <c r="H321" s="15">
        <f>IF(A321="","",SUMIF(A:A,A321,E:E))</f>
        <v/>
      </c>
      <c r="I321" s="15" t="n"/>
    </row>
    <row r="322">
      <c r="A322" s="15" t="n"/>
      <c r="B322" s="15" t="n"/>
      <c r="C322" s="15" t="n"/>
      <c r="D322" s="15" t="n"/>
      <c r="E322" s="15" t="n"/>
      <c r="F322" s="16" t="n"/>
      <c r="G322" s="16" t="n"/>
      <c r="H322" s="15">
        <f>IF(A322="","",SUMIF(A:A,A322,E:E))</f>
        <v/>
      </c>
      <c r="I322" s="15" t="n"/>
    </row>
    <row r="323">
      <c r="A323" s="15" t="n"/>
      <c r="B323" s="15" t="n"/>
      <c r="C323" s="15" t="n"/>
      <c r="D323" s="15" t="n"/>
      <c r="E323" s="15" t="n"/>
      <c r="F323" s="16" t="n"/>
      <c r="G323" s="16" t="n"/>
      <c r="H323" s="15">
        <f>IF(A323="","",SUMIF(A:A,A323,E:E))</f>
        <v/>
      </c>
      <c r="I323" s="15" t="n"/>
    </row>
    <row r="324">
      <c r="A324" s="15" t="n"/>
      <c r="B324" s="15" t="n"/>
      <c r="C324" s="15" t="n"/>
      <c r="D324" s="15" t="n"/>
      <c r="E324" s="15" t="n"/>
      <c r="F324" s="16" t="n"/>
      <c r="G324" s="16" t="n"/>
      <c r="H324" s="15">
        <f>IF(A324="","",SUMIF(A:A,A324,E:E))</f>
        <v/>
      </c>
      <c r="I324" s="15" t="n"/>
    </row>
    <row r="325">
      <c r="A325" s="15" t="n"/>
      <c r="B325" s="15" t="n"/>
      <c r="C325" s="15" t="n"/>
      <c r="D325" s="15" t="n"/>
      <c r="E325" s="15" t="n"/>
      <c r="F325" s="16" t="n"/>
      <c r="G325" s="16" t="n"/>
      <c r="H325" s="15">
        <f>IF(A325="","",SUMIF(A:A,A325,E:E))</f>
        <v/>
      </c>
      <c r="I325" s="15" t="n"/>
    </row>
    <row r="326">
      <c r="A326" s="15" t="n"/>
      <c r="B326" s="15" t="n"/>
      <c r="C326" s="15" t="n"/>
      <c r="D326" s="15" t="n"/>
      <c r="E326" s="15" t="n"/>
      <c r="F326" s="16" t="n"/>
      <c r="G326" s="16" t="n"/>
      <c r="H326" s="15">
        <f>IF(A326="","",SUMIF(A:A,A326,E:E))</f>
        <v/>
      </c>
      <c r="I326" s="15" t="n"/>
    </row>
    <row r="327">
      <c r="A327" s="15" t="n"/>
      <c r="B327" s="15" t="n"/>
      <c r="C327" s="15" t="n"/>
      <c r="D327" s="15" t="n"/>
      <c r="E327" s="15" t="n"/>
      <c r="F327" s="16" t="n"/>
      <c r="G327" s="16" t="n"/>
      <c r="H327" s="15">
        <f>IF(A327="","",SUMIF(A:A,A327,E:E))</f>
        <v/>
      </c>
      <c r="I327" s="15" t="n"/>
    </row>
    <row r="328">
      <c r="A328" s="15" t="n"/>
      <c r="B328" s="15" t="n"/>
      <c r="C328" s="15" t="n"/>
      <c r="D328" s="15" t="n"/>
      <c r="E328" s="15" t="n"/>
      <c r="F328" s="16" t="n"/>
      <c r="G328" s="16" t="n"/>
      <c r="H328" s="15">
        <f>IF(A328="","",SUMIF(A:A,A328,E:E))</f>
        <v/>
      </c>
      <c r="I328" s="15" t="n"/>
    </row>
    <row r="329">
      <c r="A329" s="15" t="n"/>
      <c r="B329" s="15" t="n"/>
      <c r="C329" s="15" t="n"/>
      <c r="D329" s="15" t="n"/>
      <c r="E329" s="15" t="n"/>
      <c r="F329" s="16" t="n"/>
      <c r="G329" s="16" t="n"/>
      <c r="H329" s="15">
        <f>IF(A329="","",SUMIF(A:A,A329,E:E))</f>
        <v/>
      </c>
      <c r="I329" s="15" t="n"/>
    </row>
    <row r="330">
      <c r="A330" s="15" t="n"/>
      <c r="B330" s="15" t="n"/>
      <c r="C330" s="15" t="n"/>
      <c r="D330" s="15" t="n"/>
      <c r="E330" s="15" t="n"/>
      <c r="F330" s="16" t="n"/>
      <c r="G330" s="16" t="n"/>
      <c r="H330" s="15">
        <f>IF(A330="","",SUMIF(A:A,A330,E:E))</f>
        <v/>
      </c>
      <c r="I330" s="15" t="n"/>
    </row>
    <row r="331">
      <c r="A331" s="15" t="n"/>
      <c r="B331" s="15" t="n"/>
      <c r="C331" s="15" t="n"/>
      <c r="D331" s="15" t="n"/>
      <c r="E331" s="15" t="n"/>
      <c r="F331" s="16" t="n"/>
      <c r="G331" s="16" t="n"/>
      <c r="H331" s="15">
        <f>IF(A331="","",SUMIF(A:A,A331,E:E))</f>
        <v/>
      </c>
      <c r="I331" s="15" t="n"/>
    </row>
    <row r="332">
      <c r="A332" s="15" t="n"/>
      <c r="B332" s="15" t="n"/>
      <c r="C332" s="15" t="n"/>
      <c r="D332" s="15" t="n"/>
      <c r="E332" s="15" t="n"/>
      <c r="F332" s="16" t="n"/>
      <c r="G332" s="16" t="n"/>
      <c r="H332" s="15">
        <f>IF(A332="","",SUMIF(A:A,A332,E:E))</f>
        <v/>
      </c>
      <c r="I332" s="15" t="n"/>
    </row>
    <row r="333">
      <c r="A333" s="15" t="n"/>
      <c r="B333" s="15" t="n"/>
      <c r="C333" s="15" t="n"/>
      <c r="D333" s="15" t="n"/>
      <c r="E333" s="15" t="n"/>
      <c r="F333" s="16" t="n"/>
      <c r="G333" s="16" t="n"/>
      <c r="H333" s="15">
        <f>IF(A333="","",SUMIF(A:A,A333,E:E))</f>
        <v/>
      </c>
      <c r="I333" s="15" t="n"/>
    </row>
    <row r="334">
      <c r="A334" s="15" t="n"/>
      <c r="B334" s="15" t="n"/>
      <c r="C334" s="15" t="n"/>
      <c r="D334" s="15" t="n"/>
      <c r="E334" s="15" t="n"/>
      <c r="F334" s="16" t="n"/>
      <c r="G334" s="16" t="n"/>
      <c r="H334" s="15">
        <f>IF(A334="","",SUMIF(A:A,A334,E:E))</f>
        <v/>
      </c>
      <c r="I334" s="15" t="n"/>
    </row>
    <row r="335">
      <c r="A335" s="15" t="n"/>
      <c r="B335" s="15" t="n"/>
      <c r="C335" s="15" t="n"/>
      <c r="D335" s="15" t="n"/>
      <c r="E335" s="15" t="n"/>
      <c r="F335" s="16" t="n"/>
      <c r="G335" s="16" t="n"/>
      <c r="H335" s="15">
        <f>IF(A335="","",SUMIF(A:A,A335,E:E))</f>
        <v/>
      </c>
      <c r="I335" s="15" t="n"/>
    </row>
    <row r="336">
      <c r="A336" s="15" t="n"/>
      <c r="B336" s="15" t="n"/>
      <c r="C336" s="15" t="n"/>
      <c r="D336" s="15" t="n"/>
      <c r="E336" s="15" t="n"/>
      <c r="F336" s="16" t="n"/>
      <c r="G336" s="16" t="n"/>
      <c r="H336" s="15">
        <f>IF(A336="","",SUMIF(A:A,A336,E:E))</f>
        <v/>
      </c>
      <c r="I336" s="15" t="n"/>
    </row>
    <row r="337">
      <c r="A337" s="15" t="n"/>
      <c r="B337" s="15" t="n"/>
      <c r="C337" s="15" t="n"/>
      <c r="D337" s="15" t="n"/>
      <c r="E337" s="15" t="n"/>
      <c r="F337" s="16" t="n"/>
      <c r="G337" s="16" t="n"/>
      <c r="H337" s="15">
        <f>IF(A337="","",SUMIF(A:A,A337,E:E))</f>
        <v/>
      </c>
      <c r="I337" s="15" t="n"/>
    </row>
    <row r="338">
      <c r="A338" s="15" t="n"/>
      <c r="B338" s="15" t="n"/>
      <c r="C338" s="15" t="n"/>
      <c r="D338" s="15" t="n"/>
      <c r="E338" s="15" t="n"/>
      <c r="F338" s="16" t="n"/>
      <c r="G338" s="16" t="n"/>
      <c r="H338" s="15">
        <f>IF(A338="","",SUMIF(A:A,A338,E:E))</f>
        <v/>
      </c>
      <c r="I338" s="15" t="n"/>
    </row>
    <row r="339">
      <c r="A339" s="15" t="n"/>
      <c r="B339" s="15" t="n"/>
      <c r="C339" s="15" t="n"/>
      <c r="D339" s="15" t="n"/>
      <c r="E339" s="15" t="n"/>
      <c r="F339" s="16" t="n"/>
      <c r="G339" s="16" t="n"/>
      <c r="H339" s="15">
        <f>IF(A339="","",SUMIF(A:A,A339,E:E))</f>
        <v/>
      </c>
      <c r="I339" s="15" t="n"/>
    </row>
    <row r="340">
      <c r="A340" s="15" t="n"/>
      <c r="B340" s="15" t="n"/>
      <c r="C340" s="15" t="n"/>
      <c r="D340" s="15" t="n"/>
      <c r="E340" s="15" t="n"/>
      <c r="F340" s="16" t="n"/>
      <c r="G340" s="16" t="n"/>
      <c r="H340" s="15">
        <f>IF(A340="","",SUMIF(A:A,A340,E:E))</f>
        <v/>
      </c>
      <c r="I340" s="15" t="n"/>
    </row>
    <row r="341">
      <c r="A341" s="15" t="n"/>
      <c r="B341" s="15" t="n"/>
      <c r="C341" s="15" t="n"/>
      <c r="D341" s="15" t="n"/>
      <c r="E341" s="15" t="n"/>
      <c r="F341" s="16" t="n"/>
      <c r="G341" s="16" t="n"/>
      <c r="H341" s="15">
        <f>IF(A341="","",SUMIF(A:A,A341,E:E))</f>
        <v/>
      </c>
      <c r="I341" s="15" t="n"/>
    </row>
    <row r="342">
      <c r="A342" s="15" t="n"/>
      <c r="B342" s="15" t="n"/>
      <c r="C342" s="15" t="n"/>
      <c r="D342" s="15" t="n"/>
      <c r="E342" s="15" t="n"/>
      <c r="F342" s="16" t="n"/>
      <c r="G342" s="16" t="n"/>
      <c r="H342" s="15">
        <f>IF(A342="","",SUMIF(A:A,A342,E:E))</f>
        <v/>
      </c>
      <c r="I342" s="15" t="n"/>
    </row>
    <row r="343">
      <c r="A343" s="15" t="n"/>
      <c r="B343" s="15" t="n"/>
      <c r="C343" s="15" t="n"/>
      <c r="D343" s="15" t="n"/>
      <c r="E343" s="15" t="n"/>
      <c r="F343" s="16" t="n"/>
      <c r="G343" s="16" t="n"/>
      <c r="H343" s="15">
        <f>IF(A343="","",SUMIF(A:A,A343,E:E))</f>
        <v/>
      </c>
      <c r="I343" s="15" t="n"/>
    </row>
    <row r="344">
      <c r="A344" s="15" t="n"/>
      <c r="B344" s="15" t="n"/>
      <c r="C344" s="15" t="n"/>
      <c r="D344" s="15" t="n"/>
      <c r="E344" s="15" t="n"/>
      <c r="F344" s="16" t="n"/>
      <c r="G344" s="16" t="n"/>
      <c r="H344" s="15">
        <f>IF(A344="","",SUMIF(A:A,A344,E:E))</f>
        <v/>
      </c>
      <c r="I344" s="15" t="n"/>
    </row>
    <row r="345">
      <c r="A345" s="15" t="n"/>
      <c r="B345" s="15" t="n"/>
      <c r="C345" s="15" t="n"/>
      <c r="D345" s="15" t="n"/>
      <c r="E345" s="15" t="n"/>
      <c r="F345" s="16" t="n"/>
      <c r="G345" s="16" t="n"/>
      <c r="H345" s="15">
        <f>IF(A345="","",SUMIF(A:A,A345,E:E))</f>
        <v/>
      </c>
      <c r="I345" s="15" t="n"/>
    </row>
    <row r="346">
      <c r="A346" s="15" t="n"/>
      <c r="B346" s="15" t="n"/>
      <c r="C346" s="15" t="n"/>
      <c r="D346" s="15" t="n"/>
      <c r="E346" s="15" t="n"/>
      <c r="F346" s="16" t="n"/>
      <c r="G346" s="16" t="n"/>
      <c r="H346" s="15">
        <f>IF(A346="","",SUMIF(A:A,A346,E:E))</f>
        <v/>
      </c>
      <c r="I346" s="15" t="n"/>
    </row>
    <row r="347">
      <c r="A347" s="15" t="n"/>
      <c r="B347" s="15" t="n"/>
      <c r="C347" s="15" t="n"/>
      <c r="D347" s="15" t="n"/>
      <c r="E347" s="15" t="n"/>
      <c r="F347" s="16" t="n"/>
      <c r="G347" s="16" t="n"/>
      <c r="H347" s="15">
        <f>IF(A347="","",SUMIF(A:A,A347,E:E))</f>
        <v/>
      </c>
      <c r="I347" s="15" t="n"/>
    </row>
    <row r="348">
      <c r="A348" s="15" t="n"/>
      <c r="B348" s="15" t="n"/>
      <c r="C348" s="15" t="n"/>
      <c r="D348" s="15" t="n"/>
      <c r="E348" s="15" t="n"/>
      <c r="F348" s="16" t="n"/>
      <c r="G348" s="16" t="n"/>
      <c r="H348" s="15">
        <f>IF(A348="","",SUMIF(A:A,A348,E:E))</f>
        <v/>
      </c>
      <c r="I348" s="15" t="n"/>
    </row>
    <row r="349">
      <c r="A349" s="15" t="n"/>
      <c r="B349" s="15" t="n"/>
      <c r="C349" s="15" t="n"/>
      <c r="D349" s="15" t="n"/>
      <c r="E349" s="15" t="n"/>
      <c r="F349" s="16" t="n"/>
      <c r="G349" s="16" t="n"/>
      <c r="H349" s="15">
        <f>IF(A349="","",SUMIF(A:A,A349,E:E))</f>
        <v/>
      </c>
      <c r="I349" s="15" t="n"/>
    </row>
    <row r="350">
      <c r="A350" s="15" t="n"/>
      <c r="B350" s="15" t="n"/>
      <c r="C350" s="15" t="n"/>
      <c r="D350" s="15" t="n"/>
      <c r="E350" s="15" t="n"/>
      <c r="F350" s="16" t="n"/>
      <c r="G350" s="16" t="n"/>
      <c r="H350" s="15">
        <f>IF(A350="","",SUMIF(A:A,A350,E:E))</f>
        <v/>
      </c>
      <c r="I350" s="15" t="n"/>
    </row>
    <row r="351">
      <c r="F351" s="27" t="n"/>
      <c r="G351" s="27" t="n"/>
    </row>
    <row r="352">
      <c r="F352" s="27" t="n"/>
      <c r="G352" s="27" t="n"/>
    </row>
    <row r="353">
      <c r="F353" s="27" t="n"/>
      <c r="G353" s="27" t="n"/>
    </row>
    <row r="354">
      <c r="F354" s="27" t="n"/>
      <c r="G354" s="27" t="n"/>
    </row>
    <row r="355">
      <c r="F355" s="27" t="n"/>
      <c r="G355" s="27" t="n"/>
    </row>
    <row r="356">
      <c r="F356" s="27" t="n"/>
      <c r="G356" s="27" t="n"/>
    </row>
    <row r="357">
      <c r="F357" s="27" t="n"/>
      <c r="G357" s="27" t="n"/>
    </row>
    <row r="358">
      <c r="F358" s="27" t="n"/>
      <c r="G358" s="27" t="n"/>
    </row>
    <row r="359">
      <c r="F359" s="27" t="n"/>
      <c r="G359" s="27" t="n"/>
    </row>
    <row r="360">
      <c r="F360" s="27" t="n"/>
      <c r="G360" s="27" t="n"/>
    </row>
    <row r="361">
      <c r="F361" s="27" t="n"/>
      <c r="G361" s="27" t="n"/>
    </row>
    <row r="362">
      <c r="F362" s="27" t="n"/>
      <c r="G362" s="27" t="n"/>
    </row>
    <row r="363">
      <c r="F363" s="27" t="n"/>
      <c r="G363" s="27" t="n"/>
    </row>
    <row r="364">
      <c r="F364" s="27" t="n"/>
      <c r="G364" s="27" t="n"/>
    </row>
    <row r="365">
      <c r="F365" s="27" t="n"/>
      <c r="G365" s="27" t="n"/>
    </row>
    <row r="366">
      <c r="F366" s="27" t="n"/>
      <c r="G366" s="27" t="n"/>
    </row>
    <row r="367">
      <c r="F367" s="27" t="n"/>
      <c r="G367" s="27" t="n"/>
    </row>
    <row r="368">
      <c r="F368" s="27" t="n"/>
      <c r="G368" s="27" t="n"/>
    </row>
    <row r="369">
      <c r="F369" s="27" t="n"/>
      <c r="G369" s="27" t="n"/>
    </row>
    <row r="370">
      <c r="F370" s="27" t="n"/>
      <c r="G370" s="27" t="n"/>
    </row>
    <row r="371">
      <c r="F371" s="27" t="n"/>
      <c r="G371" s="27" t="n"/>
    </row>
    <row r="372">
      <c r="F372" s="27" t="n"/>
      <c r="G372" s="27" t="n"/>
    </row>
    <row r="373">
      <c r="F373" s="27" t="n"/>
      <c r="G373" s="27" t="n"/>
    </row>
    <row r="374">
      <c r="F374" s="27" t="n"/>
      <c r="G374" s="27" t="n"/>
    </row>
    <row r="375">
      <c r="F375" s="27" t="n"/>
      <c r="G375" s="27" t="n"/>
    </row>
    <row r="376">
      <c r="F376" s="27" t="n"/>
      <c r="G376" s="27" t="n"/>
    </row>
    <row r="377">
      <c r="F377" s="27" t="n"/>
      <c r="G377" s="27" t="n"/>
    </row>
    <row r="378">
      <c r="F378" s="27" t="n"/>
      <c r="G378" s="27" t="n"/>
    </row>
    <row r="379">
      <c r="F379" s="27" t="n"/>
      <c r="G379" s="27" t="n"/>
    </row>
    <row r="380">
      <c r="F380" s="27" t="n"/>
      <c r="G380" s="27" t="n"/>
    </row>
    <row r="381">
      <c r="F381" s="27" t="n"/>
      <c r="G381" s="27" t="n"/>
    </row>
    <row r="382">
      <c r="F382" s="27" t="n"/>
      <c r="G382" s="27" t="n"/>
    </row>
    <row r="383">
      <c r="F383" s="27" t="n"/>
      <c r="G383" s="27" t="n"/>
    </row>
    <row r="384">
      <c r="F384" s="27" t="n"/>
      <c r="G384" s="27" t="n"/>
    </row>
    <row r="385">
      <c r="F385" s="27" t="n"/>
      <c r="G385" s="27" t="n"/>
    </row>
    <row r="386">
      <c r="F386" s="27" t="n"/>
      <c r="G386" s="27" t="n"/>
    </row>
    <row r="387">
      <c r="F387" s="27" t="n"/>
      <c r="G387" s="27" t="n"/>
    </row>
    <row r="388">
      <c r="F388" s="27" t="n"/>
      <c r="G388" s="27" t="n"/>
    </row>
    <row r="389">
      <c r="F389" s="27" t="n"/>
      <c r="G389" s="27" t="n"/>
    </row>
    <row r="390">
      <c r="F390" s="27" t="n"/>
      <c r="G390" s="27" t="n"/>
    </row>
    <row r="391">
      <c r="F391" s="27" t="n"/>
      <c r="G391" s="27" t="n"/>
    </row>
    <row r="392">
      <c r="F392" s="27" t="n"/>
      <c r="G392" s="27" t="n"/>
    </row>
    <row r="393">
      <c r="F393" s="27" t="n"/>
      <c r="G393" s="27" t="n"/>
    </row>
    <row r="394">
      <c r="F394" s="27" t="n"/>
      <c r="G394" s="27" t="n"/>
    </row>
    <row r="395">
      <c r="F395" s="27" t="n"/>
      <c r="G395" s="27" t="n"/>
    </row>
    <row r="396">
      <c r="F396" s="27" t="n"/>
      <c r="G396" s="27" t="n"/>
    </row>
    <row r="397">
      <c r="F397" s="27" t="n"/>
      <c r="G397" s="27" t="n"/>
    </row>
    <row r="398">
      <c r="F398" s="27" t="n"/>
      <c r="G398" s="27" t="n"/>
    </row>
    <row r="399">
      <c r="F399" s="27" t="n"/>
      <c r="G399" s="27" t="n"/>
    </row>
    <row r="400">
      <c r="F400" s="27" t="n"/>
      <c r="G400" s="27" t="n"/>
    </row>
    <row r="401">
      <c r="F401" s="27" t="n"/>
      <c r="G401" s="27" t="n"/>
    </row>
    <row r="402">
      <c r="F402" s="27" t="n"/>
      <c r="G402" s="27" t="n"/>
    </row>
    <row r="403">
      <c r="F403" s="27" t="n"/>
      <c r="G403" s="27" t="n"/>
    </row>
    <row r="404">
      <c r="F404" s="27" t="n"/>
      <c r="G404" s="27" t="n"/>
    </row>
    <row r="405">
      <c r="F405" s="27" t="n"/>
      <c r="G405" s="27" t="n"/>
    </row>
    <row r="406">
      <c r="F406" s="27" t="n"/>
      <c r="G406" s="27" t="n"/>
    </row>
    <row r="407">
      <c r="F407" s="27" t="n"/>
      <c r="G407" s="27" t="n"/>
    </row>
    <row r="408">
      <c r="F408" s="27" t="n"/>
      <c r="G408" s="27" t="n"/>
    </row>
    <row r="409">
      <c r="F409" s="27" t="n"/>
      <c r="G409" s="27" t="n"/>
    </row>
    <row r="410">
      <c r="F410" s="27" t="n"/>
      <c r="G410" s="27" t="n"/>
    </row>
    <row r="411">
      <c r="F411" s="27" t="n"/>
      <c r="G411" s="27" t="n"/>
    </row>
    <row r="412">
      <c r="F412" s="27" t="n"/>
      <c r="G412" s="27" t="n"/>
    </row>
    <row r="413">
      <c r="F413" s="27" t="n"/>
      <c r="G413" s="27" t="n"/>
    </row>
    <row r="414">
      <c r="F414" s="27" t="n"/>
      <c r="G414" s="27" t="n"/>
    </row>
    <row r="415">
      <c r="F415" s="27" t="n"/>
      <c r="G415" s="27" t="n"/>
    </row>
    <row r="416">
      <c r="F416" s="27" t="n"/>
      <c r="G416" s="27" t="n"/>
    </row>
    <row r="417">
      <c r="F417" s="27" t="n"/>
      <c r="G417" s="27" t="n"/>
    </row>
    <row r="418">
      <c r="F418" s="27" t="n"/>
      <c r="G418" s="27" t="n"/>
    </row>
    <row r="419">
      <c r="F419" s="27" t="n"/>
      <c r="G419" s="27" t="n"/>
    </row>
    <row r="420">
      <c r="F420" s="27" t="n"/>
      <c r="G420" s="27" t="n"/>
    </row>
    <row r="421">
      <c r="F421" s="27" t="n"/>
      <c r="G421" s="27" t="n"/>
    </row>
    <row r="422">
      <c r="F422" s="27" t="n"/>
      <c r="G422" s="27" t="n"/>
    </row>
    <row r="423">
      <c r="F423" s="27" t="n"/>
      <c r="G423" s="27" t="n"/>
    </row>
    <row r="424">
      <c r="F424" s="27" t="n"/>
      <c r="G424" s="27" t="n"/>
    </row>
    <row r="425">
      <c r="F425" s="27" t="n"/>
      <c r="G425" s="27" t="n"/>
    </row>
    <row r="426">
      <c r="F426" s="27" t="n"/>
      <c r="G426" s="27" t="n"/>
    </row>
    <row r="427">
      <c r="F427" s="27" t="n"/>
      <c r="G427" s="27" t="n"/>
    </row>
    <row r="428">
      <c r="F428" s="27" t="n"/>
      <c r="G428" s="27" t="n"/>
    </row>
    <row r="429">
      <c r="F429" s="27" t="n"/>
      <c r="G429" s="27" t="n"/>
    </row>
    <row r="430">
      <c r="F430" s="27" t="n"/>
      <c r="G430" s="27" t="n"/>
    </row>
    <row r="431">
      <c r="F431" s="27" t="n"/>
      <c r="G431" s="27" t="n"/>
    </row>
    <row r="432">
      <c r="F432" s="27" t="n"/>
      <c r="G432" s="27" t="n"/>
    </row>
    <row r="433">
      <c r="F433" s="27" t="n"/>
      <c r="G433" s="27" t="n"/>
    </row>
    <row r="434">
      <c r="F434" s="27" t="n"/>
      <c r="G434" s="27" t="n"/>
    </row>
    <row r="435">
      <c r="F435" s="27" t="n"/>
      <c r="G435" s="27" t="n"/>
    </row>
    <row r="436">
      <c r="F436" s="27" t="n"/>
      <c r="G436" s="27" t="n"/>
    </row>
    <row r="437">
      <c r="F437" s="27" t="n"/>
      <c r="G437" s="27" t="n"/>
    </row>
    <row r="438">
      <c r="F438" s="27" t="n"/>
      <c r="G438" s="27" t="n"/>
    </row>
    <row r="439">
      <c r="F439" s="27" t="n"/>
      <c r="G439" s="27" t="n"/>
    </row>
    <row r="440">
      <c r="F440" s="27" t="n"/>
      <c r="G440" s="27" t="n"/>
    </row>
    <row r="441">
      <c r="F441" s="27" t="n"/>
      <c r="G441" s="27" t="n"/>
    </row>
    <row r="442">
      <c r="F442" s="27" t="n"/>
      <c r="G442" s="27" t="n"/>
    </row>
    <row r="443">
      <c r="F443" s="27" t="n"/>
      <c r="G443" s="27" t="n"/>
    </row>
    <row r="444">
      <c r="F444" s="27" t="n"/>
      <c r="G444" s="27" t="n"/>
    </row>
    <row r="445">
      <c r="F445" s="27" t="n"/>
      <c r="G445" s="27" t="n"/>
    </row>
    <row r="446">
      <c r="F446" s="27" t="n"/>
      <c r="G446" s="27" t="n"/>
    </row>
    <row r="447">
      <c r="F447" s="27" t="n"/>
      <c r="G447" s="27" t="n"/>
    </row>
    <row r="448">
      <c r="F448" s="27" t="n"/>
      <c r="G448" s="27" t="n"/>
    </row>
    <row r="449">
      <c r="F449" s="27" t="n"/>
      <c r="G449" s="27" t="n"/>
    </row>
    <row r="450">
      <c r="F450" s="27" t="n"/>
      <c r="G450" s="27" t="n"/>
    </row>
    <row r="451">
      <c r="F451" s="27" t="n"/>
      <c r="G451" s="27" t="n"/>
    </row>
    <row r="452">
      <c r="F452" s="27" t="n"/>
      <c r="G452" s="27" t="n"/>
    </row>
    <row r="453">
      <c r="F453" s="27" t="n"/>
      <c r="G453" s="27" t="n"/>
    </row>
    <row r="454">
      <c r="F454" s="27" t="n"/>
      <c r="G454" s="27" t="n"/>
    </row>
    <row r="455">
      <c r="F455" s="27" t="n"/>
      <c r="G455" s="27" t="n"/>
    </row>
    <row r="456">
      <c r="F456" s="27" t="n"/>
      <c r="G456" s="27" t="n"/>
    </row>
    <row r="457">
      <c r="F457" s="27" t="n"/>
      <c r="G457" s="27" t="n"/>
    </row>
    <row r="458">
      <c r="F458" s="27" t="n"/>
      <c r="G458" s="27" t="n"/>
    </row>
    <row r="459">
      <c r="F459" s="27" t="n"/>
      <c r="G459" s="27" t="n"/>
    </row>
    <row r="460">
      <c r="F460" s="27" t="n"/>
      <c r="G460" s="27" t="n"/>
    </row>
    <row r="461">
      <c r="F461" s="27" t="n"/>
      <c r="G461" s="27" t="n"/>
    </row>
    <row r="462">
      <c r="F462" s="27" t="n"/>
      <c r="G462" s="27" t="n"/>
    </row>
    <row r="463">
      <c r="F463" s="27" t="n"/>
      <c r="G463" s="27" t="n"/>
    </row>
    <row r="464">
      <c r="F464" s="27" t="n"/>
      <c r="G464" s="27" t="n"/>
    </row>
    <row r="465">
      <c r="F465" s="27" t="n"/>
      <c r="G465" s="27" t="n"/>
    </row>
    <row r="466">
      <c r="F466" s="27" t="n"/>
      <c r="G466" s="27" t="n"/>
    </row>
    <row r="467">
      <c r="F467" s="27" t="n"/>
      <c r="G467" s="27" t="n"/>
    </row>
    <row r="468">
      <c r="F468" s="27" t="n"/>
      <c r="G468" s="27" t="n"/>
    </row>
    <row r="469">
      <c r="F469" s="27" t="n"/>
      <c r="G469" s="27" t="n"/>
    </row>
    <row r="470">
      <c r="F470" s="27" t="n"/>
      <c r="G470" s="27" t="n"/>
    </row>
    <row r="471">
      <c r="F471" s="27" t="n"/>
      <c r="G471" s="27" t="n"/>
    </row>
    <row r="472">
      <c r="F472" s="27" t="n"/>
      <c r="G472" s="27" t="n"/>
    </row>
    <row r="473">
      <c r="F473" s="27" t="n"/>
      <c r="G473" s="27" t="n"/>
    </row>
    <row r="474">
      <c r="F474" s="27" t="n"/>
      <c r="G474" s="27" t="n"/>
    </row>
    <row r="475">
      <c r="F475" s="27" t="n"/>
      <c r="G475" s="27" t="n"/>
    </row>
    <row r="476">
      <c r="F476" s="27" t="n"/>
      <c r="G476" s="27" t="n"/>
    </row>
    <row r="477">
      <c r="F477" s="27" t="n"/>
      <c r="G477" s="27" t="n"/>
    </row>
    <row r="478">
      <c r="F478" s="27" t="n"/>
      <c r="G478" s="27" t="n"/>
    </row>
    <row r="479">
      <c r="F479" s="27" t="n"/>
      <c r="G479" s="27" t="n"/>
    </row>
    <row r="480">
      <c r="F480" s="27" t="n"/>
      <c r="G480" s="27" t="n"/>
    </row>
    <row r="481">
      <c r="F481" s="27" t="n"/>
      <c r="G481" s="27" t="n"/>
    </row>
    <row r="482">
      <c r="F482" s="27" t="n"/>
      <c r="G482" s="27" t="n"/>
    </row>
    <row r="483">
      <c r="F483" s="27" t="n"/>
      <c r="G483" s="27" t="n"/>
    </row>
    <row r="484">
      <c r="F484" s="27" t="n"/>
      <c r="G484" s="27" t="n"/>
    </row>
    <row r="485">
      <c r="F485" s="27" t="n"/>
      <c r="G485" s="27" t="n"/>
    </row>
    <row r="486">
      <c r="F486" s="27" t="n"/>
      <c r="G486" s="27" t="n"/>
    </row>
    <row r="487">
      <c r="F487" s="27" t="n"/>
      <c r="G487" s="27" t="n"/>
    </row>
    <row r="488">
      <c r="F488" s="27" t="n"/>
      <c r="G488" s="27" t="n"/>
    </row>
    <row r="489">
      <c r="F489" s="27" t="n"/>
      <c r="G489" s="27" t="n"/>
    </row>
    <row r="490">
      <c r="F490" s="27" t="n"/>
      <c r="G490" s="27" t="n"/>
    </row>
    <row r="491">
      <c r="F491" s="27" t="n"/>
      <c r="G491" s="27" t="n"/>
    </row>
    <row r="492">
      <c r="F492" s="27" t="n"/>
      <c r="G492" s="27" t="n"/>
    </row>
    <row r="493">
      <c r="F493" s="27" t="n"/>
      <c r="G493" s="27" t="n"/>
    </row>
    <row r="494">
      <c r="F494" s="27" t="n"/>
      <c r="G494" s="27" t="n"/>
    </row>
    <row r="495">
      <c r="F495" s="27" t="n"/>
      <c r="G495" s="27" t="n"/>
    </row>
    <row r="496">
      <c r="F496" s="27" t="n"/>
      <c r="G496" s="27" t="n"/>
    </row>
    <row r="497">
      <c r="F497" s="27" t="n"/>
      <c r="G497" s="27" t="n"/>
    </row>
    <row r="498">
      <c r="F498" s="27" t="n"/>
      <c r="G498" s="27" t="n"/>
    </row>
    <row r="499">
      <c r="F499" s="27" t="n"/>
      <c r="G499" s="27" t="n"/>
    </row>
    <row r="500">
      <c r="F500" s="27" t="n"/>
      <c r="G500" s="27" t="n"/>
    </row>
    <row r="501">
      <c r="F501" s="27" t="n"/>
      <c r="G501" s="27" t="n"/>
    </row>
    <row r="502">
      <c r="F502" s="27" t="n"/>
      <c r="G502" s="27" t="n"/>
    </row>
    <row r="503">
      <c r="F503" s="27" t="n"/>
      <c r="G503" s="27" t="n"/>
    </row>
    <row r="504">
      <c r="F504" s="27" t="n"/>
      <c r="G504" s="27" t="n"/>
    </row>
    <row r="505">
      <c r="F505" s="27" t="n"/>
      <c r="G505" s="27" t="n"/>
    </row>
    <row r="506">
      <c r="F506" s="27" t="n"/>
      <c r="G506" s="27" t="n"/>
    </row>
    <row r="507">
      <c r="F507" s="27" t="n"/>
      <c r="G507" s="27" t="n"/>
    </row>
    <row r="508">
      <c r="F508" s="27" t="n"/>
      <c r="G508" s="27" t="n"/>
    </row>
    <row r="509">
      <c r="F509" s="27" t="n"/>
      <c r="G509" s="27" t="n"/>
    </row>
    <row r="510">
      <c r="F510" s="27" t="n"/>
      <c r="G510" s="27" t="n"/>
    </row>
    <row r="511">
      <c r="F511" s="27" t="n"/>
      <c r="G511" s="27" t="n"/>
    </row>
    <row r="512">
      <c r="F512" s="27" t="n"/>
      <c r="G512" s="27" t="n"/>
    </row>
    <row r="513">
      <c r="F513" s="27" t="n"/>
      <c r="G513" s="27" t="n"/>
    </row>
    <row r="514">
      <c r="F514" s="27" t="n"/>
      <c r="G514" s="27" t="n"/>
    </row>
    <row r="515">
      <c r="F515" s="27" t="n"/>
      <c r="G515" s="27" t="n"/>
    </row>
    <row r="516">
      <c r="F516" s="27" t="n"/>
      <c r="G516" s="27" t="n"/>
    </row>
    <row r="517">
      <c r="F517" s="27" t="n"/>
      <c r="G517" s="27" t="n"/>
    </row>
    <row r="518">
      <c r="F518" s="27" t="n"/>
      <c r="G518" s="27" t="n"/>
    </row>
    <row r="519">
      <c r="F519" s="27" t="n"/>
      <c r="G519" s="27" t="n"/>
    </row>
    <row r="520">
      <c r="F520" s="27" t="n"/>
      <c r="G520" s="27" t="n"/>
    </row>
    <row r="521">
      <c r="F521" s="27" t="n"/>
      <c r="G521" s="27" t="n"/>
    </row>
    <row r="522">
      <c r="F522" s="27" t="n"/>
      <c r="G522" s="27" t="n"/>
    </row>
    <row r="523">
      <c r="F523" s="27" t="n"/>
      <c r="G523" s="27" t="n"/>
    </row>
    <row r="524">
      <c r="F524" s="27" t="n"/>
      <c r="G524" s="27" t="n"/>
    </row>
    <row r="525">
      <c r="F525" s="27" t="n"/>
      <c r="G525" s="27" t="n"/>
    </row>
    <row r="526">
      <c r="F526" s="27" t="n"/>
      <c r="G526" s="27" t="n"/>
    </row>
    <row r="527">
      <c r="F527" s="27" t="n"/>
      <c r="G527" s="27" t="n"/>
    </row>
    <row r="528">
      <c r="F528" s="27" t="n"/>
      <c r="G528" s="27" t="n"/>
    </row>
    <row r="529">
      <c r="F529" s="27" t="n"/>
      <c r="G529" s="27" t="n"/>
    </row>
    <row r="530">
      <c r="F530" s="27" t="n"/>
      <c r="G530" s="27" t="n"/>
    </row>
    <row r="531">
      <c r="F531" s="27" t="n"/>
      <c r="G531" s="27" t="n"/>
    </row>
    <row r="532">
      <c r="F532" s="27" t="n"/>
      <c r="G532" s="27" t="n"/>
    </row>
    <row r="533">
      <c r="F533" s="27" t="n"/>
      <c r="G533" s="27" t="n"/>
    </row>
    <row r="534">
      <c r="F534" s="27" t="n"/>
      <c r="G534" s="27" t="n"/>
    </row>
    <row r="535">
      <c r="F535" s="27" t="n"/>
      <c r="G535" s="27" t="n"/>
    </row>
    <row r="536">
      <c r="F536" s="27" t="n"/>
      <c r="G536" s="27" t="n"/>
    </row>
    <row r="537">
      <c r="F537" s="27" t="n"/>
      <c r="G537" s="27" t="n"/>
    </row>
    <row r="538">
      <c r="F538" s="27" t="n"/>
      <c r="G538" s="27" t="n"/>
    </row>
    <row r="539">
      <c r="F539" s="27" t="n"/>
      <c r="G539" s="27" t="n"/>
    </row>
    <row r="540">
      <c r="F540" s="27" t="n"/>
      <c r="G540" s="27" t="n"/>
    </row>
    <row r="541">
      <c r="F541" s="27" t="n"/>
      <c r="G541" s="27" t="n"/>
    </row>
    <row r="542">
      <c r="F542" s="27" t="n"/>
      <c r="G542" s="27" t="n"/>
    </row>
    <row r="543">
      <c r="F543" s="27" t="n"/>
      <c r="G543" s="27" t="n"/>
    </row>
    <row r="544">
      <c r="F544" s="27" t="n"/>
      <c r="G544" s="27" t="n"/>
    </row>
    <row r="545">
      <c r="F545" s="27" t="n"/>
      <c r="G545" s="27" t="n"/>
    </row>
    <row r="546">
      <c r="F546" s="27" t="n"/>
      <c r="G546" s="27" t="n"/>
    </row>
    <row r="547">
      <c r="F547" s="27" t="n"/>
      <c r="G547" s="27" t="n"/>
    </row>
    <row r="548">
      <c r="F548" s="27" t="n"/>
      <c r="G548" s="27" t="n"/>
    </row>
    <row r="549">
      <c r="F549" s="27" t="n"/>
      <c r="G549" s="27" t="n"/>
    </row>
    <row r="550">
      <c r="F550" s="27" t="n"/>
      <c r="G550" s="27" t="n"/>
    </row>
    <row r="551">
      <c r="F551" s="27" t="n"/>
      <c r="G551" s="27" t="n"/>
    </row>
    <row r="552">
      <c r="F552" s="27" t="n"/>
      <c r="G552" s="27" t="n"/>
    </row>
    <row r="553">
      <c r="F553" s="27" t="n"/>
      <c r="G553" s="27" t="n"/>
    </row>
    <row r="554">
      <c r="F554" s="27" t="n"/>
      <c r="G554" s="27" t="n"/>
    </row>
    <row r="555">
      <c r="F555" s="27" t="n"/>
      <c r="G555" s="27" t="n"/>
    </row>
    <row r="556">
      <c r="F556" s="27" t="n"/>
      <c r="G556" s="27" t="n"/>
    </row>
    <row r="557">
      <c r="F557" s="27" t="n"/>
      <c r="G557" s="27" t="n"/>
    </row>
    <row r="558">
      <c r="F558" s="27" t="n"/>
      <c r="G558" s="27" t="n"/>
    </row>
    <row r="559">
      <c r="F559" s="27" t="n"/>
      <c r="G559" s="27" t="n"/>
    </row>
    <row r="560">
      <c r="F560" s="27" t="n"/>
      <c r="G560" s="27" t="n"/>
    </row>
    <row r="561">
      <c r="F561" s="27" t="n"/>
      <c r="G561" s="27" t="n"/>
    </row>
    <row r="562">
      <c r="F562" s="27" t="n"/>
      <c r="G562" s="27" t="n"/>
    </row>
    <row r="563">
      <c r="F563" s="27" t="n"/>
      <c r="G563" s="27" t="n"/>
    </row>
    <row r="564">
      <c r="F564" s="27" t="n"/>
      <c r="G564" s="27" t="n"/>
    </row>
    <row r="565">
      <c r="F565" s="27" t="n"/>
      <c r="G565" s="27" t="n"/>
    </row>
    <row r="566">
      <c r="F566" s="27" t="n"/>
      <c r="G566" s="27" t="n"/>
    </row>
    <row r="567">
      <c r="F567" s="27" t="n"/>
      <c r="G567" s="27" t="n"/>
    </row>
    <row r="568">
      <c r="F568" s="27" t="n"/>
      <c r="G568" s="27" t="n"/>
    </row>
    <row r="569">
      <c r="F569" s="27" t="n"/>
      <c r="G569" s="27" t="n"/>
    </row>
    <row r="570">
      <c r="F570" s="27" t="n"/>
      <c r="G570" s="27" t="n"/>
    </row>
    <row r="571">
      <c r="F571" s="27" t="n"/>
      <c r="G571" s="27" t="n"/>
    </row>
    <row r="572">
      <c r="F572" s="27" t="n"/>
      <c r="G572" s="27" t="n"/>
    </row>
    <row r="573">
      <c r="F573" s="27" t="n"/>
      <c r="G573" s="27" t="n"/>
    </row>
    <row r="574">
      <c r="F574" s="27" t="n"/>
      <c r="G574" s="27" t="n"/>
    </row>
    <row r="575">
      <c r="F575" s="27" t="n"/>
      <c r="G575" s="27" t="n"/>
    </row>
    <row r="576">
      <c r="F576" s="27" t="n"/>
      <c r="G576" s="27" t="n"/>
    </row>
    <row r="577">
      <c r="F577" s="27" t="n"/>
      <c r="G577" s="27" t="n"/>
    </row>
    <row r="578">
      <c r="F578" s="27" t="n"/>
      <c r="G578" s="27" t="n"/>
    </row>
    <row r="579">
      <c r="F579" s="27" t="n"/>
      <c r="G579" s="27" t="n"/>
    </row>
    <row r="580">
      <c r="F580" s="27" t="n"/>
      <c r="G580" s="27" t="n"/>
    </row>
    <row r="581">
      <c r="F581" s="27" t="n"/>
      <c r="G581" s="27" t="n"/>
    </row>
    <row r="582">
      <c r="F582" s="27" t="n"/>
      <c r="G582" s="27" t="n"/>
    </row>
    <row r="583">
      <c r="F583" s="27" t="n"/>
      <c r="G583" s="27" t="n"/>
    </row>
    <row r="584">
      <c r="F584" s="27" t="n"/>
      <c r="G584" s="27" t="n"/>
    </row>
    <row r="585">
      <c r="F585" s="27" t="n"/>
      <c r="G585" s="27" t="n"/>
    </row>
    <row r="586">
      <c r="F586" s="27" t="n"/>
      <c r="G586" s="27" t="n"/>
    </row>
    <row r="587">
      <c r="F587" s="27" t="n"/>
      <c r="G587" s="27" t="n"/>
    </row>
    <row r="588">
      <c r="F588" s="27" t="n"/>
      <c r="G588" s="27" t="n"/>
    </row>
    <row r="589">
      <c r="F589" s="27" t="n"/>
      <c r="G589" s="27" t="n"/>
    </row>
    <row r="590">
      <c r="F590" s="27" t="n"/>
      <c r="G590" s="27" t="n"/>
    </row>
    <row r="591">
      <c r="F591" s="27" t="n"/>
      <c r="G591" s="27" t="n"/>
    </row>
    <row r="592">
      <c r="F592" s="27" t="n"/>
      <c r="G592" s="27" t="n"/>
    </row>
    <row r="593">
      <c r="F593" s="27" t="n"/>
      <c r="G593" s="27" t="n"/>
    </row>
    <row r="594">
      <c r="F594" s="27" t="n"/>
      <c r="G594" s="27" t="n"/>
    </row>
    <row r="595">
      <c r="F595" s="27" t="n"/>
      <c r="G595" s="27" t="n"/>
    </row>
    <row r="596">
      <c r="F596" s="27" t="n"/>
      <c r="G596" s="27" t="n"/>
    </row>
    <row r="597">
      <c r="F597" s="27" t="n"/>
      <c r="G597" s="27" t="n"/>
    </row>
    <row r="598">
      <c r="F598" s="27" t="n"/>
      <c r="G598" s="27" t="n"/>
    </row>
    <row r="599">
      <c r="F599" s="27" t="n"/>
      <c r="G599" s="27" t="n"/>
    </row>
    <row r="600">
      <c r="F600" s="27" t="n"/>
      <c r="G600" s="27" t="n"/>
    </row>
    <row r="601">
      <c r="F601" s="27" t="n"/>
      <c r="G601" s="27" t="n"/>
    </row>
    <row r="602">
      <c r="F602" s="27" t="n"/>
      <c r="G602" s="27" t="n"/>
    </row>
    <row r="603">
      <c r="F603" s="27" t="n"/>
      <c r="G603" s="27" t="n"/>
    </row>
    <row r="604">
      <c r="F604" s="27" t="n"/>
      <c r="G604" s="27" t="n"/>
    </row>
    <row r="605">
      <c r="F605" s="27" t="n"/>
      <c r="G605" s="27" t="n"/>
    </row>
    <row r="606">
      <c r="F606" s="27" t="n"/>
      <c r="G606" s="27" t="n"/>
    </row>
    <row r="607">
      <c r="F607" s="27" t="n"/>
      <c r="G607" s="27" t="n"/>
    </row>
    <row r="608">
      <c r="F608" s="27" t="n"/>
      <c r="G608" s="27" t="n"/>
    </row>
    <row r="609">
      <c r="F609" s="27" t="n"/>
      <c r="G609" s="27" t="n"/>
    </row>
    <row r="610">
      <c r="F610" s="27" t="n"/>
      <c r="G610" s="27" t="n"/>
    </row>
    <row r="611">
      <c r="F611" s="27" t="n"/>
      <c r="G611" s="27" t="n"/>
    </row>
    <row r="612">
      <c r="F612" s="27" t="n"/>
      <c r="G612" s="27" t="n"/>
    </row>
    <row r="613">
      <c r="F613" s="27" t="n"/>
      <c r="G613" s="27" t="n"/>
    </row>
    <row r="614">
      <c r="F614" s="27" t="n"/>
      <c r="G614" s="27" t="n"/>
    </row>
    <row r="615">
      <c r="F615" s="27" t="n"/>
      <c r="G615" s="27" t="n"/>
    </row>
    <row r="616">
      <c r="F616" s="27" t="n"/>
      <c r="G616" s="27" t="n"/>
    </row>
    <row r="617">
      <c r="F617" s="27" t="n"/>
      <c r="G617" s="27" t="n"/>
    </row>
    <row r="618">
      <c r="F618" s="27" t="n"/>
      <c r="G618" s="27" t="n"/>
    </row>
    <row r="619">
      <c r="F619" s="27" t="n"/>
      <c r="G619" s="27" t="n"/>
    </row>
    <row r="620">
      <c r="F620" s="27" t="n"/>
      <c r="G620" s="27" t="n"/>
    </row>
    <row r="621">
      <c r="F621" s="27" t="n"/>
      <c r="G621" s="27" t="n"/>
    </row>
    <row r="622">
      <c r="F622" s="27" t="n"/>
      <c r="G622" s="27" t="n"/>
    </row>
    <row r="623">
      <c r="F623" s="27" t="n"/>
      <c r="G623" s="27" t="n"/>
    </row>
    <row r="624">
      <c r="F624" s="27" t="n"/>
      <c r="G624" s="27" t="n"/>
    </row>
    <row r="625">
      <c r="F625" s="27" t="n"/>
      <c r="G625" s="27" t="n"/>
    </row>
    <row r="626">
      <c r="F626" s="27" t="n"/>
      <c r="G626" s="27" t="n"/>
    </row>
    <row r="627">
      <c r="F627" s="27" t="n"/>
      <c r="G627" s="27" t="n"/>
    </row>
    <row r="628">
      <c r="F628" s="27" t="n"/>
      <c r="G628" s="27" t="n"/>
    </row>
    <row r="629">
      <c r="F629" s="27" t="n"/>
      <c r="G629" s="27" t="n"/>
    </row>
    <row r="630">
      <c r="F630" s="27" t="n"/>
      <c r="G630" s="27" t="n"/>
    </row>
    <row r="631">
      <c r="F631" s="27" t="n"/>
      <c r="G631" s="27" t="n"/>
    </row>
    <row r="632">
      <c r="F632" s="27" t="n"/>
      <c r="G632" s="27" t="n"/>
    </row>
    <row r="633">
      <c r="F633" s="27" t="n"/>
      <c r="G633" s="27" t="n"/>
    </row>
    <row r="634">
      <c r="F634" s="27" t="n"/>
      <c r="G634" s="27" t="n"/>
    </row>
    <row r="635">
      <c r="F635" s="27" t="n"/>
      <c r="G635" s="27" t="n"/>
    </row>
    <row r="636">
      <c r="F636" s="27" t="n"/>
      <c r="G636" s="27" t="n"/>
    </row>
    <row r="637">
      <c r="F637" s="27" t="n"/>
      <c r="G637" s="27" t="n"/>
    </row>
    <row r="638">
      <c r="F638" s="27" t="n"/>
      <c r="G638" s="27" t="n"/>
    </row>
    <row r="639">
      <c r="F639" s="27" t="n"/>
      <c r="G639" s="27" t="n"/>
    </row>
    <row r="640">
      <c r="F640" s="27" t="n"/>
      <c r="G640" s="27" t="n"/>
    </row>
    <row r="641">
      <c r="F641" s="27" t="n"/>
      <c r="G641" s="27" t="n"/>
    </row>
    <row r="642">
      <c r="F642" s="27" t="n"/>
      <c r="G642" s="27" t="n"/>
    </row>
    <row r="643">
      <c r="F643" s="27" t="n"/>
      <c r="G643" s="27" t="n"/>
    </row>
    <row r="644">
      <c r="F644" s="27" t="n"/>
      <c r="G644" s="27" t="n"/>
    </row>
    <row r="645">
      <c r="F645" s="27" t="n"/>
      <c r="G645" s="27" t="n"/>
    </row>
    <row r="646">
      <c r="F646" s="27" t="n"/>
      <c r="G646" s="27" t="n"/>
    </row>
    <row r="647">
      <c r="F647" s="27" t="n"/>
      <c r="G647" s="27" t="n"/>
    </row>
    <row r="648">
      <c r="F648" s="27" t="n"/>
      <c r="G648" s="27" t="n"/>
    </row>
    <row r="649">
      <c r="F649" s="27" t="n"/>
      <c r="G649" s="27" t="n"/>
    </row>
    <row r="650">
      <c r="F650" s="27" t="n"/>
      <c r="G650" s="27" t="n"/>
    </row>
    <row r="651">
      <c r="F651" s="27" t="n"/>
      <c r="G651" s="27" t="n"/>
    </row>
    <row r="652">
      <c r="F652" s="27" t="n"/>
      <c r="G652" s="27" t="n"/>
    </row>
    <row r="653">
      <c r="F653" s="27" t="n"/>
      <c r="G653" s="27" t="n"/>
    </row>
    <row r="654">
      <c r="F654" s="27" t="n"/>
      <c r="G654" s="27" t="n"/>
    </row>
    <row r="655">
      <c r="F655" s="27" t="n"/>
      <c r="G655" s="27" t="n"/>
    </row>
    <row r="656">
      <c r="F656" s="27" t="n"/>
      <c r="G656" s="27" t="n"/>
    </row>
    <row r="657">
      <c r="F657" s="27" t="n"/>
      <c r="G657" s="27" t="n"/>
    </row>
    <row r="658">
      <c r="F658" s="27" t="n"/>
      <c r="G658" s="27" t="n"/>
    </row>
    <row r="659">
      <c r="F659" s="27" t="n"/>
      <c r="G659" s="27" t="n"/>
    </row>
    <row r="660">
      <c r="F660" s="27" t="n"/>
      <c r="G660" s="27" t="n"/>
    </row>
    <row r="661">
      <c r="F661" s="27" t="n"/>
      <c r="G661" s="27" t="n"/>
    </row>
    <row r="662">
      <c r="F662" s="27" t="n"/>
      <c r="G662" s="27" t="n"/>
    </row>
    <row r="663">
      <c r="F663" s="27" t="n"/>
      <c r="G663" s="27" t="n"/>
    </row>
    <row r="664">
      <c r="F664" s="27" t="n"/>
      <c r="G664" s="27" t="n"/>
    </row>
    <row r="665">
      <c r="F665" s="27" t="n"/>
      <c r="G665" s="27" t="n"/>
    </row>
    <row r="666">
      <c r="F666" s="27" t="n"/>
      <c r="G666" s="27" t="n"/>
    </row>
    <row r="667">
      <c r="F667" s="27" t="n"/>
      <c r="G667" s="27" t="n"/>
    </row>
    <row r="668">
      <c r="F668" s="27" t="n"/>
      <c r="G668" s="27" t="n"/>
    </row>
    <row r="669">
      <c r="F669" s="27" t="n"/>
      <c r="G669" s="27" t="n"/>
    </row>
    <row r="670">
      <c r="F670" s="27" t="n"/>
      <c r="G670" s="27" t="n"/>
    </row>
    <row r="671">
      <c r="F671" s="27" t="n"/>
      <c r="G671" s="27" t="n"/>
    </row>
    <row r="672">
      <c r="F672" s="27" t="n"/>
      <c r="G672" s="27" t="n"/>
    </row>
    <row r="673">
      <c r="F673" s="27" t="n"/>
      <c r="G673" s="27" t="n"/>
    </row>
    <row r="674">
      <c r="F674" s="27" t="n"/>
      <c r="G674" s="27" t="n"/>
    </row>
    <row r="675">
      <c r="F675" s="27" t="n"/>
      <c r="G675" s="27" t="n"/>
    </row>
    <row r="676">
      <c r="F676" s="27" t="n"/>
      <c r="G676" s="27" t="n"/>
    </row>
    <row r="677">
      <c r="F677" s="27" t="n"/>
      <c r="G677" s="27" t="n"/>
    </row>
    <row r="678">
      <c r="F678" s="27" t="n"/>
      <c r="G678" s="27" t="n"/>
    </row>
    <row r="679">
      <c r="F679" s="27" t="n"/>
      <c r="G679" s="27" t="n"/>
    </row>
    <row r="680">
      <c r="F680" s="27" t="n"/>
      <c r="G680" s="27" t="n"/>
    </row>
    <row r="681">
      <c r="F681" s="27" t="n"/>
      <c r="G681" s="27" t="n"/>
    </row>
    <row r="682">
      <c r="F682" s="27" t="n"/>
      <c r="G682" s="27" t="n"/>
    </row>
    <row r="683">
      <c r="F683" s="27" t="n"/>
      <c r="G683" s="27" t="n"/>
    </row>
    <row r="684">
      <c r="F684" s="27" t="n"/>
      <c r="G684" s="27" t="n"/>
    </row>
    <row r="685">
      <c r="F685" s="27" t="n"/>
      <c r="G685" s="27" t="n"/>
    </row>
    <row r="686">
      <c r="F686" s="27" t="n"/>
      <c r="G686" s="27" t="n"/>
    </row>
    <row r="687">
      <c r="F687" s="27" t="n"/>
      <c r="G687" s="27" t="n"/>
    </row>
    <row r="688">
      <c r="F688" s="27" t="n"/>
      <c r="G688" s="27" t="n"/>
    </row>
    <row r="689">
      <c r="F689" s="27" t="n"/>
      <c r="G689" s="27" t="n"/>
    </row>
    <row r="690">
      <c r="F690" s="27" t="n"/>
      <c r="G690" s="27" t="n"/>
    </row>
    <row r="691">
      <c r="F691" s="27" t="n"/>
      <c r="G691" s="27" t="n"/>
    </row>
    <row r="692">
      <c r="F692" s="27" t="n"/>
      <c r="G692" s="27" t="n"/>
    </row>
    <row r="693">
      <c r="F693" s="27" t="n"/>
      <c r="G693" s="27" t="n"/>
    </row>
    <row r="694">
      <c r="F694" s="27" t="n"/>
      <c r="G694" s="27" t="n"/>
    </row>
    <row r="695">
      <c r="F695" s="27" t="n"/>
      <c r="G695" s="27" t="n"/>
    </row>
    <row r="696">
      <c r="F696" s="27" t="n"/>
      <c r="G696" s="27" t="n"/>
    </row>
    <row r="697">
      <c r="F697" s="27" t="n"/>
      <c r="G697" s="27" t="n"/>
    </row>
    <row r="698">
      <c r="F698" s="27" t="n"/>
      <c r="G698" s="27" t="n"/>
    </row>
    <row r="699">
      <c r="F699" s="27" t="n"/>
      <c r="G699" s="27" t="n"/>
    </row>
    <row r="700">
      <c r="F700" s="27" t="n"/>
      <c r="G700" s="27" t="n"/>
    </row>
  </sheetData>
  <autoFilter ref="A1:I350"/>
  <dataValidations count="3">
    <dataValidation sqref="A2:A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C2:C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0" t="inlineStr">
        <is>
          <t>CR ID</t>
        </is>
      </c>
      <c r="B1" s="10" t="inlineStr">
        <is>
          <t>Project ID</t>
        </is>
      </c>
      <c r="C1" s="10" t="inlineStr">
        <is>
          <t>Change Description</t>
        </is>
      </c>
      <c r="D1" s="10" t="inlineStr">
        <is>
          <t>Requested By</t>
        </is>
      </c>
      <c r="E1" s="10" t="inlineStr">
        <is>
          <t>Requested Date</t>
        </is>
      </c>
      <c r="F1" s="10" t="inlineStr">
        <is>
          <t>Impact Analysis</t>
        </is>
      </c>
      <c r="G1" s="10" t="inlineStr">
        <is>
          <t>Effort Estimate</t>
        </is>
      </c>
      <c r="H1" s="10" t="inlineStr">
        <is>
          <t>Approval Status</t>
        </is>
      </c>
      <c r="I1" s="10" t="inlineStr">
        <is>
          <t>Target Date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CR-001</t>
        </is>
      </c>
      <c r="B2" s="15" t="inlineStr">
        <is>
          <t>PRJ-001</t>
        </is>
      </c>
      <c r="C2" s="15" t="inlineStr">
        <is>
          <t>Add transaction nickname field</t>
        </is>
      </c>
      <c r="D2" s="15" t="inlineStr">
        <is>
          <t>Business</t>
        </is>
      </c>
      <c r="E2" s="16" t="n">
        <v>46152</v>
      </c>
      <c r="F2" s="15" t="inlineStr">
        <is>
          <t>Medium UI/API impact</t>
        </is>
      </c>
      <c r="G2" s="15" t="inlineStr">
        <is>
          <t>6 days</t>
        </is>
      </c>
      <c r="H2" s="15" t="inlineStr">
        <is>
          <t>Approved</t>
        </is>
      </c>
      <c r="I2" s="16" t="n">
        <v>46193</v>
      </c>
      <c r="J2" s="15" t="inlineStr">
        <is>
          <t>In Progress</t>
        </is>
      </c>
      <c r="K2" s="15" t="inlineStr"/>
    </row>
    <row r="3">
      <c r="A3" s="15" t="inlineStr">
        <is>
          <t>CR-002</t>
        </is>
      </c>
      <c r="B3" s="15" t="inlineStr">
        <is>
          <t>PRJ-005</t>
        </is>
      </c>
      <c r="C3" s="15" t="inlineStr">
        <is>
          <t>Add FX exposure drilldown</t>
        </is>
      </c>
      <c r="D3" s="15" t="inlineStr">
        <is>
          <t>Treasury</t>
        </is>
      </c>
      <c r="E3" s="16" t="n">
        <v>46170</v>
      </c>
      <c r="F3" s="15" t="inlineStr">
        <is>
          <t>High reporting impact</t>
        </is>
      </c>
      <c r="G3" s="15" t="inlineStr">
        <is>
          <t>12 days</t>
        </is>
      </c>
      <c r="H3" s="15" t="inlineStr">
        <is>
          <t>Pending</t>
        </is>
      </c>
      <c r="I3" s="16" t="n">
        <v>46213</v>
      </c>
      <c r="J3" s="15" t="inlineStr">
        <is>
          <t>Open</t>
        </is>
      </c>
      <c r="K3" s="15" t="inlineStr"/>
    </row>
    <row r="4">
      <c r="A4" s="15" t="n"/>
      <c r="B4" s="15" t="n"/>
      <c r="C4" s="15" t="n"/>
      <c r="D4" s="15" t="n"/>
      <c r="E4" s="16" t="n"/>
      <c r="F4" s="15" t="n"/>
      <c r="G4" s="15" t="n"/>
      <c r="H4" s="15" t="n"/>
      <c r="I4" s="16" t="n"/>
      <c r="J4" s="15" t="n"/>
      <c r="K4" s="15" t="n"/>
    </row>
    <row r="5">
      <c r="A5" s="15" t="n"/>
      <c r="B5" s="15" t="n"/>
      <c r="C5" s="15" t="n"/>
      <c r="D5" s="15" t="n"/>
      <c r="E5" s="16" t="n"/>
      <c r="F5" s="15" t="n"/>
      <c r="G5" s="15" t="n"/>
      <c r="H5" s="15" t="n"/>
      <c r="I5" s="16" t="n"/>
      <c r="J5" s="15" t="n"/>
      <c r="K5" s="15" t="n"/>
    </row>
    <row r="6">
      <c r="A6" s="15" t="n"/>
      <c r="B6" s="15" t="n"/>
      <c r="C6" s="15" t="n"/>
      <c r="D6" s="15" t="n"/>
      <c r="E6" s="16" t="n"/>
      <c r="F6" s="15" t="n"/>
      <c r="G6" s="15" t="n"/>
      <c r="H6" s="15" t="n"/>
      <c r="I6" s="16" t="n"/>
      <c r="J6" s="15" t="n"/>
      <c r="K6" s="15" t="n"/>
    </row>
    <row r="7">
      <c r="A7" s="15" t="n"/>
      <c r="B7" s="15" t="n"/>
      <c r="C7" s="15" t="n"/>
      <c r="D7" s="15" t="n"/>
      <c r="E7" s="16" t="n"/>
      <c r="F7" s="15" t="n"/>
      <c r="G7" s="15" t="n"/>
      <c r="H7" s="15" t="n"/>
      <c r="I7" s="16" t="n"/>
      <c r="J7" s="15" t="n"/>
      <c r="K7" s="15" t="n"/>
    </row>
    <row r="8">
      <c r="A8" s="15" t="n"/>
      <c r="B8" s="15" t="n"/>
      <c r="C8" s="15" t="n"/>
      <c r="D8" s="15" t="n"/>
      <c r="E8" s="16" t="n"/>
      <c r="F8" s="15" t="n"/>
      <c r="G8" s="15" t="n"/>
      <c r="H8" s="15" t="n"/>
      <c r="I8" s="16" t="n"/>
      <c r="J8" s="15" t="n"/>
      <c r="K8" s="15" t="n"/>
    </row>
    <row r="9">
      <c r="A9" s="15" t="n"/>
      <c r="B9" s="15" t="n"/>
      <c r="C9" s="15" t="n"/>
      <c r="D9" s="15" t="n"/>
      <c r="E9" s="16" t="n"/>
      <c r="F9" s="15" t="n"/>
      <c r="G9" s="15" t="n"/>
      <c r="H9" s="15" t="n"/>
      <c r="I9" s="16" t="n"/>
      <c r="J9" s="15" t="n"/>
      <c r="K9" s="15" t="n"/>
    </row>
    <row r="10">
      <c r="A10" s="15" t="n"/>
      <c r="B10" s="15" t="n"/>
      <c r="C10" s="15" t="n"/>
      <c r="D10" s="15" t="n"/>
      <c r="E10" s="16" t="n"/>
      <c r="F10" s="15" t="n"/>
      <c r="G10" s="15" t="n"/>
      <c r="H10" s="15" t="n"/>
      <c r="I10" s="16" t="n"/>
      <c r="J10" s="15" t="n"/>
      <c r="K10" s="15" t="n"/>
    </row>
    <row r="11">
      <c r="A11" s="15" t="n"/>
      <c r="B11" s="15" t="n"/>
      <c r="C11" s="15" t="n"/>
      <c r="D11" s="15" t="n"/>
      <c r="E11" s="16" t="n"/>
      <c r="F11" s="15" t="n"/>
      <c r="G11" s="15" t="n"/>
      <c r="H11" s="15" t="n"/>
      <c r="I11" s="16" t="n"/>
      <c r="J11" s="15" t="n"/>
      <c r="K11" s="15" t="n"/>
    </row>
    <row r="12">
      <c r="A12" s="15" t="n"/>
      <c r="B12" s="15" t="n"/>
      <c r="C12" s="15" t="n"/>
      <c r="D12" s="15" t="n"/>
      <c r="E12" s="16" t="n"/>
      <c r="F12" s="15" t="n"/>
      <c r="G12" s="15" t="n"/>
      <c r="H12" s="15" t="n"/>
      <c r="I12" s="16" t="n"/>
      <c r="J12" s="15" t="n"/>
      <c r="K12" s="15" t="n"/>
    </row>
    <row r="13">
      <c r="A13" s="15" t="n"/>
      <c r="B13" s="15" t="n"/>
      <c r="C13" s="15" t="n"/>
      <c r="D13" s="15" t="n"/>
      <c r="E13" s="16" t="n"/>
      <c r="F13" s="15" t="n"/>
      <c r="G13" s="15" t="n"/>
      <c r="H13" s="15" t="n"/>
      <c r="I13" s="16" t="n"/>
      <c r="J13" s="15" t="n"/>
      <c r="K13" s="15" t="n"/>
    </row>
    <row r="14">
      <c r="A14" s="15" t="n"/>
      <c r="B14" s="15" t="n"/>
      <c r="C14" s="15" t="n"/>
      <c r="D14" s="15" t="n"/>
      <c r="E14" s="16" t="n"/>
      <c r="F14" s="15" t="n"/>
      <c r="G14" s="15" t="n"/>
      <c r="H14" s="15" t="n"/>
      <c r="I14" s="16" t="n"/>
      <c r="J14" s="15" t="n"/>
      <c r="K14" s="15" t="n"/>
    </row>
    <row r="15">
      <c r="A15" s="15" t="n"/>
      <c r="B15" s="15" t="n"/>
      <c r="C15" s="15" t="n"/>
      <c r="D15" s="15" t="n"/>
      <c r="E15" s="16" t="n"/>
      <c r="F15" s="15" t="n"/>
      <c r="G15" s="15" t="n"/>
      <c r="H15" s="15" t="n"/>
      <c r="I15" s="16" t="n"/>
      <c r="J15" s="15" t="n"/>
      <c r="K15" s="15" t="n"/>
    </row>
    <row r="16">
      <c r="A16" s="15" t="n"/>
      <c r="B16" s="15" t="n"/>
      <c r="C16" s="15" t="n"/>
      <c r="D16" s="15" t="n"/>
      <c r="E16" s="16" t="n"/>
      <c r="F16" s="15" t="n"/>
      <c r="G16" s="15" t="n"/>
      <c r="H16" s="15" t="n"/>
      <c r="I16" s="16" t="n"/>
      <c r="J16" s="15" t="n"/>
      <c r="K16" s="15" t="n"/>
    </row>
    <row r="17">
      <c r="A17" s="15" t="n"/>
      <c r="B17" s="15" t="n"/>
      <c r="C17" s="15" t="n"/>
      <c r="D17" s="15" t="n"/>
      <c r="E17" s="16" t="n"/>
      <c r="F17" s="15" t="n"/>
      <c r="G17" s="15" t="n"/>
      <c r="H17" s="15" t="n"/>
      <c r="I17" s="16" t="n"/>
      <c r="J17" s="15" t="n"/>
      <c r="K17" s="15" t="n"/>
    </row>
    <row r="18">
      <c r="A18" s="15" t="n"/>
      <c r="B18" s="15" t="n"/>
      <c r="C18" s="15" t="n"/>
      <c r="D18" s="15" t="n"/>
      <c r="E18" s="16" t="n"/>
      <c r="F18" s="15" t="n"/>
      <c r="G18" s="15" t="n"/>
      <c r="H18" s="15" t="n"/>
      <c r="I18" s="16" t="n"/>
      <c r="J18" s="15" t="n"/>
      <c r="K18" s="15" t="n"/>
    </row>
    <row r="19">
      <c r="A19" s="15" t="n"/>
      <c r="B19" s="15" t="n"/>
      <c r="C19" s="15" t="n"/>
      <c r="D19" s="15" t="n"/>
      <c r="E19" s="16" t="n"/>
      <c r="F19" s="15" t="n"/>
      <c r="G19" s="15" t="n"/>
      <c r="H19" s="15" t="n"/>
      <c r="I19" s="16" t="n"/>
      <c r="J19" s="15" t="n"/>
      <c r="K19" s="15" t="n"/>
    </row>
    <row r="20">
      <c r="A20" s="15" t="n"/>
      <c r="B20" s="15" t="n"/>
      <c r="C20" s="15" t="n"/>
      <c r="D20" s="15" t="n"/>
      <c r="E20" s="16" t="n"/>
      <c r="F20" s="15" t="n"/>
      <c r="G20" s="15" t="n"/>
      <c r="H20" s="15" t="n"/>
      <c r="I20" s="16" t="n"/>
      <c r="J20" s="15" t="n"/>
      <c r="K20" s="15" t="n"/>
    </row>
    <row r="21">
      <c r="A21" s="15" t="n"/>
      <c r="B21" s="15" t="n"/>
      <c r="C21" s="15" t="n"/>
      <c r="D21" s="15" t="n"/>
      <c r="E21" s="16" t="n"/>
      <c r="F21" s="15" t="n"/>
      <c r="G21" s="15" t="n"/>
      <c r="H21" s="15" t="n"/>
      <c r="I21" s="16" t="n"/>
      <c r="J21" s="15" t="n"/>
      <c r="K21" s="15" t="n"/>
    </row>
    <row r="22">
      <c r="A22" s="15" t="n"/>
      <c r="B22" s="15" t="n"/>
      <c r="C22" s="15" t="n"/>
      <c r="D22" s="15" t="n"/>
      <c r="E22" s="16" t="n"/>
      <c r="F22" s="15" t="n"/>
      <c r="G22" s="15" t="n"/>
      <c r="H22" s="15" t="n"/>
      <c r="I22" s="16" t="n"/>
      <c r="J22" s="15" t="n"/>
      <c r="K22" s="15" t="n"/>
    </row>
    <row r="23">
      <c r="A23" s="15" t="n"/>
      <c r="B23" s="15" t="n"/>
      <c r="C23" s="15" t="n"/>
      <c r="D23" s="15" t="n"/>
      <c r="E23" s="16" t="n"/>
      <c r="F23" s="15" t="n"/>
      <c r="G23" s="15" t="n"/>
      <c r="H23" s="15" t="n"/>
      <c r="I23" s="16" t="n"/>
      <c r="J23" s="15" t="n"/>
      <c r="K23" s="15" t="n"/>
    </row>
    <row r="24">
      <c r="A24" s="15" t="n"/>
      <c r="B24" s="15" t="n"/>
      <c r="C24" s="15" t="n"/>
      <c r="D24" s="15" t="n"/>
      <c r="E24" s="16" t="n"/>
      <c r="F24" s="15" t="n"/>
      <c r="G24" s="15" t="n"/>
      <c r="H24" s="15" t="n"/>
      <c r="I24" s="16" t="n"/>
      <c r="J24" s="15" t="n"/>
      <c r="K24" s="15" t="n"/>
    </row>
    <row r="25">
      <c r="A25" s="15" t="n"/>
      <c r="B25" s="15" t="n"/>
      <c r="C25" s="15" t="n"/>
      <c r="D25" s="15" t="n"/>
      <c r="E25" s="16" t="n"/>
      <c r="F25" s="15" t="n"/>
      <c r="G25" s="15" t="n"/>
      <c r="H25" s="15" t="n"/>
      <c r="I25" s="16" t="n"/>
      <c r="J25" s="15" t="n"/>
      <c r="K25" s="15" t="n"/>
    </row>
    <row r="26">
      <c r="A26" s="15" t="n"/>
      <c r="B26" s="15" t="n"/>
      <c r="C26" s="15" t="n"/>
      <c r="D26" s="15" t="n"/>
      <c r="E26" s="16" t="n"/>
      <c r="F26" s="15" t="n"/>
      <c r="G26" s="15" t="n"/>
      <c r="H26" s="15" t="n"/>
      <c r="I26" s="16" t="n"/>
      <c r="J26" s="15" t="n"/>
      <c r="K26" s="15" t="n"/>
    </row>
    <row r="27">
      <c r="A27" s="15" t="n"/>
      <c r="B27" s="15" t="n"/>
      <c r="C27" s="15" t="n"/>
      <c r="D27" s="15" t="n"/>
      <c r="E27" s="16" t="n"/>
      <c r="F27" s="15" t="n"/>
      <c r="G27" s="15" t="n"/>
      <c r="H27" s="15" t="n"/>
      <c r="I27" s="16" t="n"/>
      <c r="J27" s="15" t="n"/>
      <c r="K27" s="15" t="n"/>
    </row>
    <row r="28">
      <c r="A28" s="15" t="n"/>
      <c r="B28" s="15" t="n"/>
      <c r="C28" s="15" t="n"/>
      <c r="D28" s="15" t="n"/>
      <c r="E28" s="16" t="n"/>
      <c r="F28" s="15" t="n"/>
      <c r="G28" s="15" t="n"/>
      <c r="H28" s="15" t="n"/>
      <c r="I28" s="16" t="n"/>
      <c r="J28" s="15" t="n"/>
      <c r="K28" s="15" t="n"/>
    </row>
    <row r="29">
      <c r="A29" s="15" t="n"/>
      <c r="B29" s="15" t="n"/>
      <c r="C29" s="15" t="n"/>
      <c r="D29" s="15" t="n"/>
      <c r="E29" s="16" t="n"/>
      <c r="F29" s="15" t="n"/>
      <c r="G29" s="15" t="n"/>
      <c r="H29" s="15" t="n"/>
      <c r="I29" s="16" t="n"/>
      <c r="J29" s="15" t="n"/>
      <c r="K29" s="15" t="n"/>
    </row>
    <row r="30">
      <c r="A30" s="15" t="n"/>
      <c r="B30" s="15" t="n"/>
      <c r="C30" s="15" t="n"/>
      <c r="D30" s="15" t="n"/>
      <c r="E30" s="16" t="n"/>
      <c r="F30" s="15" t="n"/>
      <c r="G30" s="15" t="n"/>
      <c r="H30" s="15" t="n"/>
      <c r="I30" s="16" t="n"/>
      <c r="J30" s="15" t="n"/>
      <c r="K30" s="15" t="n"/>
    </row>
    <row r="31">
      <c r="A31" s="15" t="n"/>
      <c r="B31" s="15" t="n"/>
      <c r="C31" s="15" t="n"/>
      <c r="D31" s="15" t="n"/>
      <c r="E31" s="16" t="n"/>
      <c r="F31" s="15" t="n"/>
      <c r="G31" s="15" t="n"/>
      <c r="H31" s="15" t="n"/>
      <c r="I31" s="16" t="n"/>
      <c r="J31" s="15" t="n"/>
      <c r="K31" s="15" t="n"/>
    </row>
    <row r="32">
      <c r="A32" s="15" t="n"/>
      <c r="B32" s="15" t="n"/>
      <c r="C32" s="15" t="n"/>
      <c r="D32" s="15" t="n"/>
      <c r="E32" s="16" t="n"/>
      <c r="F32" s="15" t="n"/>
      <c r="G32" s="15" t="n"/>
      <c r="H32" s="15" t="n"/>
      <c r="I32" s="16" t="n"/>
      <c r="J32" s="15" t="n"/>
      <c r="K32" s="15" t="n"/>
    </row>
    <row r="33">
      <c r="A33" s="15" t="n"/>
      <c r="B33" s="15" t="n"/>
      <c r="C33" s="15" t="n"/>
      <c r="D33" s="15" t="n"/>
      <c r="E33" s="16" t="n"/>
      <c r="F33" s="15" t="n"/>
      <c r="G33" s="15" t="n"/>
      <c r="H33" s="15" t="n"/>
      <c r="I33" s="16" t="n"/>
      <c r="J33" s="15" t="n"/>
      <c r="K33" s="15" t="n"/>
    </row>
    <row r="34">
      <c r="A34" s="15" t="n"/>
      <c r="B34" s="15" t="n"/>
      <c r="C34" s="15" t="n"/>
      <c r="D34" s="15" t="n"/>
      <c r="E34" s="16" t="n"/>
      <c r="F34" s="15" t="n"/>
      <c r="G34" s="15" t="n"/>
      <c r="H34" s="15" t="n"/>
      <c r="I34" s="16" t="n"/>
      <c r="J34" s="15" t="n"/>
      <c r="K34" s="15" t="n"/>
    </row>
    <row r="35">
      <c r="A35" s="15" t="n"/>
      <c r="B35" s="15" t="n"/>
      <c r="C35" s="15" t="n"/>
      <c r="D35" s="15" t="n"/>
      <c r="E35" s="16" t="n"/>
      <c r="F35" s="15" t="n"/>
      <c r="G35" s="15" t="n"/>
      <c r="H35" s="15" t="n"/>
      <c r="I35" s="16" t="n"/>
      <c r="J35" s="15" t="n"/>
      <c r="K35" s="15" t="n"/>
    </row>
    <row r="36">
      <c r="A36" s="15" t="n"/>
      <c r="B36" s="15" t="n"/>
      <c r="C36" s="15" t="n"/>
      <c r="D36" s="15" t="n"/>
      <c r="E36" s="16" t="n"/>
      <c r="F36" s="15" t="n"/>
      <c r="G36" s="15" t="n"/>
      <c r="H36" s="15" t="n"/>
      <c r="I36" s="16" t="n"/>
      <c r="J36" s="15" t="n"/>
      <c r="K36" s="15" t="n"/>
    </row>
    <row r="37">
      <c r="A37" s="15" t="n"/>
      <c r="B37" s="15" t="n"/>
      <c r="C37" s="15" t="n"/>
      <c r="D37" s="15" t="n"/>
      <c r="E37" s="16" t="n"/>
      <c r="F37" s="15" t="n"/>
      <c r="G37" s="15" t="n"/>
      <c r="H37" s="15" t="n"/>
      <c r="I37" s="16" t="n"/>
      <c r="J37" s="15" t="n"/>
      <c r="K37" s="15" t="n"/>
    </row>
    <row r="38">
      <c r="A38" s="15" t="n"/>
      <c r="B38" s="15" t="n"/>
      <c r="C38" s="15" t="n"/>
      <c r="D38" s="15" t="n"/>
      <c r="E38" s="16" t="n"/>
      <c r="F38" s="15" t="n"/>
      <c r="G38" s="15" t="n"/>
      <c r="H38" s="15" t="n"/>
      <c r="I38" s="16" t="n"/>
      <c r="J38" s="15" t="n"/>
      <c r="K38" s="15" t="n"/>
    </row>
    <row r="39">
      <c r="A39" s="15" t="n"/>
      <c r="B39" s="15" t="n"/>
      <c r="C39" s="15" t="n"/>
      <c r="D39" s="15" t="n"/>
      <c r="E39" s="16" t="n"/>
      <c r="F39" s="15" t="n"/>
      <c r="G39" s="15" t="n"/>
      <c r="H39" s="15" t="n"/>
      <c r="I39" s="16" t="n"/>
      <c r="J39" s="15" t="n"/>
      <c r="K39" s="15" t="n"/>
    </row>
    <row r="40">
      <c r="A40" s="15" t="n"/>
      <c r="B40" s="15" t="n"/>
      <c r="C40" s="15" t="n"/>
      <c r="D40" s="15" t="n"/>
      <c r="E40" s="16" t="n"/>
      <c r="F40" s="15" t="n"/>
      <c r="G40" s="15" t="n"/>
      <c r="H40" s="15" t="n"/>
      <c r="I40" s="16" t="n"/>
      <c r="J40" s="15" t="n"/>
      <c r="K40" s="15" t="n"/>
    </row>
    <row r="41">
      <c r="A41" s="15" t="n"/>
      <c r="B41" s="15" t="n"/>
      <c r="C41" s="15" t="n"/>
      <c r="D41" s="15" t="n"/>
      <c r="E41" s="16" t="n"/>
      <c r="F41" s="15" t="n"/>
      <c r="G41" s="15" t="n"/>
      <c r="H41" s="15" t="n"/>
      <c r="I41" s="16" t="n"/>
      <c r="J41" s="15" t="n"/>
      <c r="K41" s="15" t="n"/>
    </row>
    <row r="42">
      <c r="A42" s="15" t="n"/>
      <c r="B42" s="15" t="n"/>
      <c r="C42" s="15" t="n"/>
      <c r="D42" s="15" t="n"/>
      <c r="E42" s="16" t="n"/>
      <c r="F42" s="15" t="n"/>
      <c r="G42" s="15" t="n"/>
      <c r="H42" s="15" t="n"/>
      <c r="I42" s="16" t="n"/>
      <c r="J42" s="15" t="n"/>
      <c r="K42" s="15" t="n"/>
    </row>
    <row r="43">
      <c r="A43" s="15" t="n"/>
      <c r="B43" s="15" t="n"/>
      <c r="C43" s="15" t="n"/>
      <c r="D43" s="15" t="n"/>
      <c r="E43" s="16" t="n"/>
      <c r="F43" s="15" t="n"/>
      <c r="G43" s="15" t="n"/>
      <c r="H43" s="15" t="n"/>
      <c r="I43" s="16" t="n"/>
      <c r="J43" s="15" t="n"/>
      <c r="K43" s="15" t="n"/>
    </row>
    <row r="44">
      <c r="A44" s="15" t="n"/>
      <c r="B44" s="15" t="n"/>
      <c r="C44" s="15" t="n"/>
      <c r="D44" s="15" t="n"/>
      <c r="E44" s="16" t="n"/>
      <c r="F44" s="15" t="n"/>
      <c r="G44" s="15" t="n"/>
      <c r="H44" s="15" t="n"/>
      <c r="I44" s="16" t="n"/>
      <c r="J44" s="15" t="n"/>
      <c r="K44" s="15" t="n"/>
    </row>
    <row r="45">
      <c r="A45" s="15" t="n"/>
      <c r="B45" s="15" t="n"/>
      <c r="C45" s="15" t="n"/>
      <c r="D45" s="15" t="n"/>
      <c r="E45" s="16" t="n"/>
      <c r="F45" s="15" t="n"/>
      <c r="G45" s="15" t="n"/>
      <c r="H45" s="15" t="n"/>
      <c r="I45" s="16" t="n"/>
      <c r="J45" s="15" t="n"/>
      <c r="K45" s="15" t="n"/>
    </row>
    <row r="46">
      <c r="A46" s="15" t="n"/>
      <c r="B46" s="15" t="n"/>
      <c r="C46" s="15" t="n"/>
      <c r="D46" s="15" t="n"/>
      <c r="E46" s="16" t="n"/>
      <c r="F46" s="15" t="n"/>
      <c r="G46" s="15" t="n"/>
      <c r="H46" s="15" t="n"/>
      <c r="I46" s="16" t="n"/>
      <c r="J46" s="15" t="n"/>
      <c r="K46" s="15" t="n"/>
    </row>
    <row r="47">
      <c r="A47" s="15" t="n"/>
      <c r="B47" s="15" t="n"/>
      <c r="C47" s="15" t="n"/>
      <c r="D47" s="15" t="n"/>
      <c r="E47" s="16" t="n"/>
      <c r="F47" s="15" t="n"/>
      <c r="G47" s="15" t="n"/>
      <c r="H47" s="15" t="n"/>
      <c r="I47" s="16" t="n"/>
      <c r="J47" s="15" t="n"/>
      <c r="K47" s="15" t="n"/>
    </row>
    <row r="48">
      <c r="A48" s="15" t="n"/>
      <c r="B48" s="15" t="n"/>
      <c r="C48" s="15" t="n"/>
      <c r="D48" s="15" t="n"/>
      <c r="E48" s="16" t="n"/>
      <c r="F48" s="15" t="n"/>
      <c r="G48" s="15" t="n"/>
      <c r="H48" s="15" t="n"/>
      <c r="I48" s="16" t="n"/>
      <c r="J48" s="15" t="n"/>
      <c r="K48" s="15" t="n"/>
    </row>
    <row r="49">
      <c r="A49" s="15" t="n"/>
      <c r="B49" s="15" t="n"/>
      <c r="C49" s="15" t="n"/>
      <c r="D49" s="15" t="n"/>
      <c r="E49" s="16" t="n"/>
      <c r="F49" s="15" t="n"/>
      <c r="G49" s="15" t="n"/>
      <c r="H49" s="15" t="n"/>
      <c r="I49" s="16" t="n"/>
      <c r="J49" s="15" t="n"/>
      <c r="K49" s="15" t="n"/>
    </row>
    <row r="50">
      <c r="A50" s="15" t="n"/>
      <c r="B50" s="15" t="n"/>
      <c r="C50" s="15" t="n"/>
      <c r="D50" s="15" t="n"/>
      <c r="E50" s="16" t="n"/>
      <c r="F50" s="15" t="n"/>
      <c r="G50" s="15" t="n"/>
      <c r="H50" s="15" t="n"/>
      <c r="I50" s="16" t="n"/>
      <c r="J50" s="15" t="n"/>
      <c r="K50" s="15" t="n"/>
    </row>
    <row r="51">
      <c r="A51" s="15" t="n"/>
      <c r="B51" s="15" t="n"/>
      <c r="C51" s="15" t="n"/>
      <c r="D51" s="15" t="n"/>
      <c r="E51" s="16" t="n"/>
      <c r="F51" s="15" t="n"/>
      <c r="G51" s="15" t="n"/>
      <c r="H51" s="15" t="n"/>
      <c r="I51" s="16" t="n"/>
      <c r="J51" s="15" t="n"/>
      <c r="K51" s="15" t="n"/>
    </row>
    <row r="52">
      <c r="A52" s="15" t="n"/>
      <c r="B52" s="15" t="n"/>
      <c r="C52" s="15" t="n"/>
      <c r="D52" s="15" t="n"/>
      <c r="E52" s="16" t="n"/>
      <c r="F52" s="15" t="n"/>
      <c r="G52" s="15" t="n"/>
      <c r="H52" s="15" t="n"/>
      <c r="I52" s="16" t="n"/>
      <c r="J52" s="15" t="n"/>
      <c r="K52" s="15" t="n"/>
    </row>
    <row r="53">
      <c r="A53" s="15" t="n"/>
      <c r="B53" s="15" t="n"/>
      <c r="C53" s="15" t="n"/>
      <c r="D53" s="15" t="n"/>
      <c r="E53" s="16" t="n"/>
      <c r="F53" s="15" t="n"/>
      <c r="G53" s="15" t="n"/>
      <c r="H53" s="15" t="n"/>
      <c r="I53" s="16" t="n"/>
      <c r="J53" s="15" t="n"/>
      <c r="K53" s="15" t="n"/>
    </row>
    <row r="54">
      <c r="A54" s="15" t="n"/>
      <c r="B54" s="15" t="n"/>
      <c r="C54" s="15" t="n"/>
      <c r="D54" s="15" t="n"/>
      <c r="E54" s="16" t="n"/>
      <c r="F54" s="15" t="n"/>
      <c r="G54" s="15" t="n"/>
      <c r="H54" s="15" t="n"/>
      <c r="I54" s="16" t="n"/>
      <c r="J54" s="15" t="n"/>
      <c r="K54" s="15" t="n"/>
    </row>
    <row r="55">
      <c r="A55" s="15" t="n"/>
      <c r="B55" s="15" t="n"/>
      <c r="C55" s="15" t="n"/>
      <c r="D55" s="15" t="n"/>
      <c r="E55" s="16" t="n"/>
      <c r="F55" s="15" t="n"/>
      <c r="G55" s="15" t="n"/>
      <c r="H55" s="15" t="n"/>
      <c r="I55" s="16" t="n"/>
      <c r="J55" s="15" t="n"/>
      <c r="K55" s="15" t="n"/>
    </row>
    <row r="56">
      <c r="A56" s="15" t="n"/>
      <c r="B56" s="15" t="n"/>
      <c r="C56" s="15" t="n"/>
      <c r="D56" s="15" t="n"/>
      <c r="E56" s="16" t="n"/>
      <c r="F56" s="15" t="n"/>
      <c r="G56" s="15" t="n"/>
      <c r="H56" s="15" t="n"/>
      <c r="I56" s="16" t="n"/>
      <c r="J56" s="15" t="n"/>
      <c r="K56" s="15" t="n"/>
    </row>
    <row r="57">
      <c r="A57" s="15" t="n"/>
      <c r="B57" s="15" t="n"/>
      <c r="C57" s="15" t="n"/>
      <c r="D57" s="15" t="n"/>
      <c r="E57" s="16" t="n"/>
      <c r="F57" s="15" t="n"/>
      <c r="G57" s="15" t="n"/>
      <c r="H57" s="15" t="n"/>
      <c r="I57" s="16" t="n"/>
      <c r="J57" s="15" t="n"/>
      <c r="K57" s="15" t="n"/>
    </row>
    <row r="58">
      <c r="A58" s="15" t="n"/>
      <c r="B58" s="15" t="n"/>
      <c r="C58" s="15" t="n"/>
      <c r="D58" s="15" t="n"/>
      <c r="E58" s="16" t="n"/>
      <c r="F58" s="15" t="n"/>
      <c r="G58" s="15" t="n"/>
      <c r="H58" s="15" t="n"/>
      <c r="I58" s="16" t="n"/>
      <c r="J58" s="15" t="n"/>
      <c r="K58" s="15" t="n"/>
    </row>
    <row r="59">
      <c r="A59" s="15" t="n"/>
      <c r="B59" s="15" t="n"/>
      <c r="C59" s="15" t="n"/>
      <c r="D59" s="15" t="n"/>
      <c r="E59" s="16" t="n"/>
      <c r="F59" s="15" t="n"/>
      <c r="G59" s="15" t="n"/>
      <c r="H59" s="15" t="n"/>
      <c r="I59" s="16" t="n"/>
      <c r="J59" s="15" t="n"/>
      <c r="K59" s="15" t="n"/>
    </row>
    <row r="60">
      <c r="A60" s="15" t="n"/>
      <c r="B60" s="15" t="n"/>
      <c r="C60" s="15" t="n"/>
      <c r="D60" s="15" t="n"/>
      <c r="E60" s="16" t="n"/>
      <c r="F60" s="15" t="n"/>
      <c r="G60" s="15" t="n"/>
      <c r="H60" s="15" t="n"/>
      <c r="I60" s="16" t="n"/>
      <c r="J60" s="15" t="n"/>
      <c r="K60" s="15" t="n"/>
    </row>
    <row r="61">
      <c r="A61" s="15" t="n"/>
      <c r="B61" s="15" t="n"/>
      <c r="C61" s="15" t="n"/>
      <c r="D61" s="15" t="n"/>
      <c r="E61" s="16" t="n"/>
      <c r="F61" s="15" t="n"/>
      <c r="G61" s="15" t="n"/>
      <c r="H61" s="15" t="n"/>
      <c r="I61" s="16" t="n"/>
      <c r="J61" s="15" t="n"/>
      <c r="K61" s="15" t="n"/>
    </row>
    <row r="62">
      <c r="A62" s="15" t="n"/>
      <c r="B62" s="15" t="n"/>
      <c r="C62" s="15" t="n"/>
      <c r="D62" s="15" t="n"/>
      <c r="E62" s="16" t="n"/>
      <c r="F62" s="15" t="n"/>
      <c r="G62" s="15" t="n"/>
      <c r="H62" s="15" t="n"/>
      <c r="I62" s="16" t="n"/>
      <c r="J62" s="15" t="n"/>
      <c r="K62" s="15" t="n"/>
    </row>
    <row r="63">
      <c r="A63" s="15" t="n"/>
      <c r="B63" s="15" t="n"/>
      <c r="C63" s="15" t="n"/>
      <c r="D63" s="15" t="n"/>
      <c r="E63" s="16" t="n"/>
      <c r="F63" s="15" t="n"/>
      <c r="G63" s="15" t="n"/>
      <c r="H63" s="15" t="n"/>
      <c r="I63" s="16" t="n"/>
      <c r="J63" s="15" t="n"/>
      <c r="K63" s="15" t="n"/>
    </row>
    <row r="64">
      <c r="A64" s="15" t="n"/>
      <c r="B64" s="15" t="n"/>
      <c r="C64" s="15" t="n"/>
      <c r="D64" s="15" t="n"/>
      <c r="E64" s="16" t="n"/>
      <c r="F64" s="15" t="n"/>
      <c r="G64" s="15" t="n"/>
      <c r="H64" s="15" t="n"/>
      <c r="I64" s="16" t="n"/>
      <c r="J64" s="15" t="n"/>
      <c r="K64" s="15" t="n"/>
    </row>
    <row r="65">
      <c r="A65" s="15" t="n"/>
      <c r="B65" s="15" t="n"/>
      <c r="C65" s="15" t="n"/>
      <c r="D65" s="15" t="n"/>
      <c r="E65" s="16" t="n"/>
      <c r="F65" s="15" t="n"/>
      <c r="G65" s="15" t="n"/>
      <c r="H65" s="15" t="n"/>
      <c r="I65" s="16" t="n"/>
      <c r="J65" s="15" t="n"/>
      <c r="K65" s="15" t="n"/>
    </row>
    <row r="66">
      <c r="A66" s="15" t="n"/>
      <c r="B66" s="15" t="n"/>
      <c r="C66" s="15" t="n"/>
      <c r="D66" s="15" t="n"/>
      <c r="E66" s="16" t="n"/>
      <c r="F66" s="15" t="n"/>
      <c r="G66" s="15" t="n"/>
      <c r="H66" s="15" t="n"/>
      <c r="I66" s="16" t="n"/>
      <c r="J66" s="15" t="n"/>
      <c r="K66" s="15" t="n"/>
    </row>
    <row r="67">
      <c r="A67" s="15" t="n"/>
      <c r="B67" s="15" t="n"/>
      <c r="C67" s="15" t="n"/>
      <c r="D67" s="15" t="n"/>
      <c r="E67" s="16" t="n"/>
      <c r="F67" s="15" t="n"/>
      <c r="G67" s="15" t="n"/>
      <c r="H67" s="15" t="n"/>
      <c r="I67" s="16" t="n"/>
      <c r="J67" s="15" t="n"/>
      <c r="K67" s="15" t="n"/>
    </row>
    <row r="68">
      <c r="A68" s="15" t="n"/>
      <c r="B68" s="15" t="n"/>
      <c r="C68" s="15" t="n"/>
      <c r="D68" s="15" t="n"/>
      <c r="E68" s="16" t="n"/>
      <c r="F68" s="15" t="n"/>
      <c r="G68" s="15" t="n"/>
      <c r="H68" s="15" t="n"/>
      <c r="I68" s="16" t="n"/>
      <c r="J68" s="15" t="n"/>
      <c r="K68" s="15" t="n"/>
    </row>
    <row r="69">
      <c r="A69" s="15" t="n"/>
      <c r="B69" s="15" t="n"/>
      <c r="C69" s="15" t="n"/>
      <c r="D69" s="15" t="n"/>
      <c r="E69" s="16" t="n"/>
      <c r="F69" s="15" t="n"/>
      <c r="G69" s="15" t="n"/>
      <c r="H69" s="15" t="n"/>
      <c r="I69" s="16" t="n"/>
      <c r="J69" s="15" t="n"/>
      <c r="K69" s="15" t="n"/>
    </row>
    <row r="70">
      <c r="A70" s="15" t="n"/>
      <c r="B70" s="15" t="n"/>
      <c r="C70" s="15" t="n"/>
      <c r="D70" s="15" t="n"/>
      <c r="E70" s="16" t="n"/>
      <c r="F70" s="15" t="n"/>
      <c r="G70" s="15" t="n"/>
      <c r="H70" s="15" t="n"/>
      <c r="I70" s="16" t="n"/>
      <c r="J70" s="15" t="n"/>
      <c r="K70" s="15" t="n"/>
    </row>
    <row r="71">
      <c r="A71" s="15" t="n"/>
      <c r="B71" s="15" t="n"/>
      <c r="C71" s="15" t="n"/>
      <c r="D71" s="15" t="n"/>
      <c r="E71" s="16" t="n"/>
      <c r="F71" s="15" t="n"/>
      <c r="G71" s="15" t="n"/>
      <c r="H71" s="15" t="n"/>
      <c r="I71" s="16" t="n"/>
      <c r="J71" s="15" t="n"/>
      <c r="K71" s="15" t="n"/>
    </row>
    <row r="72">
      <c r="A72" s="15" t="n"/>
      <c r="B72" s="15" t="n"/>
      <c r="C72" s="15" t="n"/>
      <c r="D72" s="15" t="n"/>
      <c r="E72" s="16" t="n"/>
      <c r="F72" s="15" t="n"/>
      <c r="G72" s="15" t="n"/>
      <c r="H72" s="15" t="n"/>
      <c r="I72" s="16" t="n"/>
      <c r="J72" s="15" t="n"/>
      <c r="K72" s="15" t="n"/>
    </row>
    <row r="73">
      <c r="A73" s="15" t="n"/>
      <c r="B73" s="15" t="n"/>
      <c r="C73" s="15" t="n"/>
      <c r="D73" s="15" t="n"/>
      <c r="E73" s="16" t="n"/>
      <c r="F73" s="15" t="n"/>
      <c r="G73" s="15" t="n"/>
      <c r="H73" s="15" t="n"/>
      <c r="I73" s="16" t="n"/>
      <c r="J73" s="15" t="n"/>
      <c r="K73" s="15" t="n"/>
    </row>
    <row r="74">
      <c r="A74" s="15" t="n"/>
      <c r="B74" s="15" t="n"/>
      <c r="C74" s="15" t="n"/>
      <c r="D74" s="15" t="n"/>
      <c r="E74" s="16" t="n"/>
      <c r="F74" s="15" t="n"/>
      <c r="G74" s="15" t="n"/>
      <c r="H74" s="15" t="n"/>
      <c r="I74" s="16" t="n"/>
      <c r="J74" s="15" t="n"/>
      <c r="K74" s="15" t="n"/>
    </row>
    <row r="75">
      <c r="A75" s="15" t="n"/>
      <c r="B75" s="15" t="n"/>
      <c r="C75" s="15" t="n"/>
      <c r="D75" s="15" t="n"/>
      <c r="E75" s="16" t="n"/>
      <c r="F75" s="15" t="n"/>
      <c r="G75" s="15" t="n"/>
      <c r="H75" s="15" t="n"/>
      <c r="I75" s="16" t="n"/>
      <c r="J75" s="15" t="n"/>
      <c r="K75" s="15" t="n"/>
    </row>
    <row r="76">
      <c r="A76" s="15" t="n"/>
      <c r="B76" s="15" t="n"/>
      <c r="C76" s="15" t="n"/>
      <c r="D76" s="15" t="n"/>
      <c r="E76" s="16" t="n"/>
      <c r="F76" s="15" t="n"/>
      <c r="G76" s="15" t="n"/>
      <c r="H76" s="15" t="n"/>
      <c r="I76" s="16" t="n"/>
      <c r="J76" s="15" t="n"/>
      <c r="K76" s="15" t="n"/>
    </row>
    <row r="77">
      <c r="A77" s="15" t="n"/>
      <c r="B77" s="15" t="n"/>
      <c r="C77" s="15" t="n"/>
      <c r="D77" s="15" t="n"/>
      <c r="E77" s="16" t="n"/>
      <c r="F77" s="15" t="n"/>
      <c r="G77" s="15" t="n"/>
      <c r="H77" s="15" t="n"/>
      <c r="I77" s="16" t="n"/>
      <c r="J77" s="15" t="n"/>
      <c r="K77" s="15" t="n"/>
    </row>
    <row r="78">
      <c r="A78" s="15" t="n"/>
      <c r="B78" s="15" t="n"/>
      <c r="C78" s="15" t="n"/>
      <c r="D78" s="15" t="n"/>
      <c r="E78" s="16" t="n"/>
      <c r="F78" s="15" t="n"/>
      <c r="G78" s="15" t="n"/>
      <c r="H78" s="15" t="n"/>
      <c r="I78" s="16" t="n"/>
      <c r="J78" s="15" t="n"/>
      <c r="K78" s="15" t="n"/>
    </row>
    <row r="79">
      <c r="A79" s="15" t="n"/>
      <c r="B79" s="15" t="n"/>
      <c r="C79" s="15" t="n"/>
      <c r="D79" s="15" t="n"/>
      <c r="E79" s="16" t="n"/>
      <c r="F79" s="15" t="n"/>
      <c r="G79" s="15" t="n"/>
      <c r="H79" s="15" t="n"/>
      <c r="I79" s="16" t="n"/>
      <c r="J79" s="15" t="n"/>
      <c r="K79" s="15" t="n"/>
    </row>
    <row r="80">
      <c r="A80" s="15" t="n"/>
      <c r="B80" s="15" t="n"/>
      <c r="C80" s="15" t="n"/>
      <c r="D80" s="15" t="n"/>
      <c r="E80" s="16" t="n"/>
      <c r="F80" s="15" t="n"/>
      <c r="G80" s="15" t="n"/>
      <c r="H80" s="15" t="n"/>
      <c r="I80" s="16" t="n"/>
      <c r="J80" s="15" t="n"/>
      <c r="K80" s="15" t="n"/>
    </row>
    <row r="81">
      <c r="A81" s="15" t="n"/>
      <c r="B81" s="15" t="n"/>
      <c r="C81" s="15" t="n"/>
      <c r="D81" s="15" t="n"/>
      <c r="E81" s="16" t="n"/>
      <c r="F81" s="15" t="n"/>
      <c r="G81" s="15" t="n"/>
      <c r="H81" s="15" t="n"/>
      <c r="I81" s="16" t="n"/>
      <c r="J81" s="15" t="n"/>
      <c r="K81" s="15" t="n"/>
    </row>
    <row r="82">
      <c r="A82" s="15" t="n"/>
      <c r="B82" s="15" t="n"/>
      <c r="C82" s="15" t="n"/>
      <c r="D82" s="15" t="n"/>
      <c r="E82" s="16" t="n"/>
      <c r="F82" s="15" t="n"/>
      <c r="G82" s="15" t="n"/>
      <c r="H82" s="15" t="n"/>
      <c r="I82" s="16" t="n"/>
      <c r="J82" s="15" t="n"/>
      <c r="K82" s="15" t="n"/>
    </row>
    <row r="83">
      <c r="A83" s="15" t="n"/>
      <c r="B83" s="15" t="n"/>
      <c r="C83" s="15" t="n"/>
      <c r="D83" s="15" t="n"/>
      <c r="E83" s="16" t="n"/>
      <c r="F83" s="15" t="n"/>
      <c r="G83" s="15" t="n"/>
      <c r="H83" s="15" t="n"/>
      <c r="I83" s="16" t="n"/>
      <c r="J83" s="15" t="n"/>
      <c r="K83" s="15" t="n"/>
    </row>
    <row r="84">
      <c r="A84" s="15" t="n"/>
      <c r="B84" s="15" t="n"/>
      <c r="C84" s="15" t="n"/>
      <c r="D84" s="15" t="n"/>
      <c r="E84" s="16" t="n"/>
      <c r="F84" s="15" t="n"/>
      <c r="G84" s="15" t="n"/>
      <c r="H84" s="15" t="n"/>
      <c r="I84" s="16" t="n"/>
      <c r="J84" s="15" t="n"/>
      <c r="K84" s="15" t="n"/>
    </row>
    <row r="85">
      <c r="A85" s="15" t="n"/>
      <c r="B85" s="15" t="n"/>
      <c r="C85" s="15" t="n"/>
      <c r="D85" s="15" t="n"/>
      <c r="E85" s="16" t="n"/>
      <c r="F85" s="15" t="n"/>
      <c r="G85" s="15" t="n"/>
      <c r="H85" s="15" t="n"/>
      <c r="I85" s="16" t="n"/>
      <c r="J85" s="15" t="n"/>
      <c r="K85" s="15" t="n"/>
    </row>
    <row r="86">
      <c r="A86" s="15" t="n"/>
      <c r="B86" s="15" t="n"/>
      <c r="C86" s="15" t="n"/>
      <c r="D86" s="15" t="n"/>
      <c r="E86" s="16" t="n"/>
      <c r="F86" s="15" t="n"/>
      <c r="G86" s="15" t="n"/>
      <c r="H86" s="15" t="n"/>
      <c r="I86" s="16" t="n"/>
      <c r="J86" s="15" t="n"/>
      <c r="K86" s="15" t="n"/>
    </row>
    <row r="87">
      <c r="A87" s="15" t="n"/>
      <c r="B87" s="15" t="n"/>
      <c r="C87" s="15" t="n"/>
      <c r="D87" s="15" t="n"/>
      <c r="E87" s="16" t="n"/>
      <c r="F87" s="15" t="n"/>
      <c r="G87" s="15" t="n"/>
      <c r="H87" s="15" t="n"/>
      <c r="I87" s="16" t="n"/>
      <c r="J87" s="15" t="n"/>
      <c r="K87" s="15" t="n"/>
    </row>
    <row r="88">
      <c r="A88" s="15" t="n"/>
      <c r="B88" s="15" t="n"/>
      <c r="C88" s="15" t="n"/>
      <c r="D88" s="15" t="n"/>
      <c r="E88" s="16" t="n"/>
      <c r="F88" s="15" t="n"/>
      <c r="G88" s="15" t="n"/>
      <c r="H88" s="15" t="n"/>
      <c r="I88" s="16" t="n"/>
      <c r="J88" s="15" t="n"/>
      <c r="K88" s="15" t="n"/>
    </row>
    <row r="89">
      <c r="A89" s="15" t="n"/>
      <c r="B89" s="15" t="n"/>
      <c r="C89" s="15" t="n"/>
      <c r="D89" s="15" t="n"/>
      <c r="E89" s="16" t="n"/>
      <c r="F89" s="15" t="n"/>
      <c r="G89" s="15" t="n"/>
      <c r="H89" s="15" t="n"/>
      <c r="I89" s="16" t="n"/>
      <c r="J89" s="15" t="n"/>
      <c r="K89" s="15" t="n"/>
    </row>
    <row r="90">
      <c r="A90" s="15" t="n"/>
      <c r="B90" s="15" t="n"/>
      <c r="C90" s="15" t="n"/>
      <c r="D90" s="15" t="n"/>
      <c r="E90" s="16" t="n"/>
      <c r="F90" s="15" t="n"/>
      <c r="G90" s="15" t="n"/>
      <c r="H90" s="15" t="n"/>
      <c r="I90" s="16" t="n"/>
      <c r="J90" s="15" t="n"/>
      <c r="K90" s="15" t="n"/>
    </row>
    <row r="91">
      <c r="A91" s="15" t="n"/>
      <c r="B91" s="15" t="n"/>
      <c r="C91" s="15" t="n"/>
      <c r="D91" s="15" t="n"/>
      <c r="E91" s="16" t="n"/>
      <c r="F91" s="15" t="n"/>
      <c r="G91" s="15" t="n"/>
      <c r="H91" s="15" t="n"/>
      <c r="I91" s="16" t="n"/>
      <c r="J91" s="15" t="n"/>
      <c r="K91" s="15" t="n"/>
    </row>
    <row r="92">
      <c r="A92" s="15" t="n"/>
      <c r="B92" s="15" t="n"/>
      <c r="C92" s="15" t="n"/>
      <c r="D92" s="15" t="n"/>
      <c r="E92" s="16" t="n"/>
      <c r="F92" s="15" t="n"/>
      <c r="G92" s="15" t="n"/>
      <c r="H92" s="15" t="n"/>
      <c r="I92" s="16" t="n"/>
      <c r="J92" s="15" t="n"/>
      <c r="K92" s="15" t="n"/>
    </row>
    <row r="93">
      <c r="A93" s="15" t="n"/>
      <c r="B93" s="15" t="n"/>
      <c r="C93" s="15" t="n"/>
      <c r="D93" s="15" t="n"/>
      <c r="E93" s="16" t="n"/>
      <c r="F93" s="15" t="n"/>
      <c r="G93" s="15" t="n"/>
      <c r="H93" s="15" t="n"/>
      <c r="I93" s="16" t="n"/>
      <c r="J93" s="15" t="n"/>
      <c r="K93" s="15" t="n"/>
    </row>
    <row r="94">
      <c r="A94" s="15" t="n"/>
      <c r="B94" s="15" t="n"/>
      <c r="C94" s="15" t="n"/>
      <c r="D94" s="15" t="n"/>
      <c r="E94" s="16" t="n"/>
      <c r="F94" s="15" t="n"/>
      <c r="G94" s="15" t="n"/>
      <c r="H94" s="15" t="n"/>
      <c r="I94" s="16" t="n"/>
      <c r="J94" s="15" t="n"/>
      <c r="K94" s="15" t="n"/>
    </row>
    <row r="95">
      <c r="A95" s="15" t="n"/>
      <c r="B95" s="15" t="n"/>
      <c r="C95" s="15" t="n"/>
      <c r="D95" s="15" t="n"/>
      <c r="E95" s="16" t="n"/>
      <c r="F95" s="15" t="n"/>
      <c r="G95" s="15" t="n"/>
      <c r="H95" s="15" t="n"/>
      <c r="I95" s="16" t="n"/>
      <c r="J95" s="15" t="n"/>
      <c r="K95" s="15" t="n"/>
    </row>
    <row r="96">
      <c r="A96" s="15" t="n"/>
      <c r="B96" s="15" t="n"/>
      <c r="C96" s="15" t="n"/>
      <c r="D96" s="15" t="n"/>
      <c r="E96" s="16" t="n"/>
      <c r="F96" s="15" t="n"/>
      <c r="G96" s="15" t="n"/>
      <c r="H96" s="15" t="n"/>
      <c r="I96" s="16" t="n"/>
      <c r="J96" s="15" t="n"/>
      <c r="K96" s="15" t="n"/>
    </row>
    <row r="97">
      <c r="A97" s="15" t="n"/>
      <c r="B97" s="15" t="n"/>
      <c r="C97" s="15" t="n"/>
      <c r="D97" s="15" t="n"/>
      <c r="E97" s="16" t="n"/>
      <c r="F97" s="15" t="n"/>
      <c r="G97" s="15" t="n"/>
      <c r="H97" s="15" t="n"/>
      <c r="I97" s="16" t="n"/>
      <c r="J97" s="15" t="n"/>
      <c r="K97" s="15" t="n"/>
    </row>
    <row r="98">
      <c r="A98" s="15" t="n"/>
      <c r="B98" s="15" t="n"/>
      <c r="C98" s="15" t="n"/>
      <c r="D98" s="15" t="n"/>
      <c r="E98" s="16" t="n"/>
      <c r="F98" s="15" t="n"/>
      <c r="G98" s="15" t="n"/>
      <c r="H98" s="15" t="n"/>
      <c r="I98" s="16" t="n"/>
      <c r="J98" s="15" t="n"/>
      <c r="K98" s="15" t="n"/>
    </row>
    <row r="99">
      <c r="A99" s="15" t="n"/>
      <c r="B99" s="15" t="n"/>
      <c r="C99" s="15" t="n"/>
      <c r="D99" s="15" t="n"/>
      <c r="E99" s="16" t="n"/>
      <c r="F99" s="15" t="n"/>
      <c r="G99" s="15" t="n"/>
      <c r="H99" s="15" t="n"/>
      <c r="I99" s="16" t="n"/>
      <c r="J99" s="15" t="n"/>
      <c r="K99" s="15" t="n"/>
    </row>
    <row r="100">
      <c r="A100" s="15" t="n"/>
      <c r="B100" s="15" t="n"/>
      <c r="C100" s="15" t="n"/>
      <c r="D100" s="15" t="n"/>
      <c r="E100" s="16" t="n"/>
      <c r="F100" s="15" t="n"/>
      <c r="G100" s="15" t="n"/>
      <c r="H100" s="15" t="n"/>
      <c r="I100" s="16" t="n"/>
      <c r="J100" s="15" t="n"/>
      <c r="K100" s="15" t="n"/>
    </row>
    <row r="101">
      <c r="A101" s="15" t="n"/>
      <c r="B101" s="15" t="n"/>
      <c r="C101" s="15" t="n"/>
      <c r="D101" s="15" t="n"/>
      <c r="E101" s="16" t="n"/>
      <c r="F101" s="15" t="n"/>
      <c r="G101" s="15" t="n"/>
      <c r="H101" s="15" t="n"/>
      <c r="I101" s="16" t="n"/>
      <c r="J101" s="15" t="n"/>
      <c r="K101" s="15" t="n"/>
    </row>
    <row r="102">
      <c r="A102" s="15" t="n"/>
      <c r="B102" s="15" t="n"/>
      <c r="C102" s="15" t="n"/>
      <c r="D102" s="15" t="n"/>
      <c r="E102" s="16" t="n"/>
      <c r="F102" s="15" t="n"/>
      <c r="G102" s="15" t="n"/>
      <c r="H102" s="15" t="n"/>
      <c r="I102" s="16" t="n"/>
      <c r="J102" s="15" t="n"/>
      <c r="K102" s="15" t="n"/>
    </row>
    <row r="103">
      <c r="A103" s="15" t="n"/>
      <c r="B103" s="15" t="n"/>
      <c r="C103" s="15" t="n"/>
      <c r="D103" s="15" t="n"/>
      <c r="E103" s="16" t="n"/>
      <c r="F103" s="15" t="n"/>
      <c r="G103" s="15" t="n"/>
      <c r="H103" s="15" t="n"/>
      <c r="I103" s="16" t="n"/>
      <c r="J103" s="15" t="n"/>
      <c r="K103" s="15" t="n"/>
    </row>
    <row r="104">
      <c r="A104" s="15" t="n"/>
      <c r="B104" s="15" t="n"/>
      <c r="C104" s="15" t="n"/>
      <c r="D104" s="15" t="n"/>
      <c r="E104" s="16" t="n"/>
      <c r="F104" s="15" t="n"/>
      <c r="G104" s="15" t="n"/>
      <c r="H104" s="15" t="n"/>
      <c r="I104" s="16" t="n"/>
      <c r="J104" s="15" t="n"/>
      <c r="K104" s="15" t="n"/>
    </row>
    <row r="105">
      <c r="A105" s="15" t="n"/>
      <c r="B105" s="15" t="n"/>
      <c r="C105" s="15" t="n"/>
      <c r="D105" s="15" t="n"/>
      <c r="E105" s="16" t="n"/>
      <c r="F105" s="15" t="n"/>
      <c r="G105" s="15" t="n"/>
      <c r="H105" s="15" t="n"/>
      <c r="I105" s="16" t="n"/>
      <c r="J105" s="15" t="n"/>
      <c r="K105" s="15" t="n"/>
    </row>
    <row r="106">
      <c r="A106" s="15" t="n"/>
      <c r="B106" s="15" t="n"/>
      <c r="C106" s="15" t="n"/>
      <c r="D106" s="15" t="n"/>
      <c r="E106" s="16" t="n"/>
      <c r="F106" s="15" t="n"/>
      <c r="G106" s="15" t="n"/>
      <c r="H106" s="15" t="n"/>
      <c r="I106" s="16" t="n"/>
      <c r="J106" s="15" t="n"/>
      <c r="K106" s="15" t="n"/>
    </row>
    <row r="107">
      <c r="A107" s="15" t="n"/>
      <c r="B107" s="15" t="n"/>
      <c r="C107" s="15" t="n"/>
      <c r="D107" s="15" t="n"/>
      <c r="E107" s="16" t="n"/>
      <c r="F107" s="15" t="n"/>
      <c r="G107" s="15" t="n"/>
      <c r="H107" s="15" t="n"/>
      <c r="I107" s="16" t="n"/>
      <c r="J107" s="15" t="n"/>
      <c r="K107" s="15" t="n"/>
    </row>
    <row r="108">
      <c r="A108" s="15" t="n"/>
      <c r="B108" s="15" t="n"/>
      <c r="C108" s="15" t="n"/>
      <c r="D108" s="15" t="n"/>
      <c r="E108" s="16" t="n"/>
      <c r="F108" s="15" t="n"/>
      <c r="G108" s="15" t="n"/>
      <c r="H108" s="15" t="n"/>
      <c r="I108" s="16" t="n"/>
      <c r="J108" s="15" t="n"/>
      <c r="K108" s="15" t="n"/>
    </row>
    <row r="109">
      <c r="A109" s="15" t="n"/>
      <c r="B109" s="15" t="n"/>
      <c r="C109" s="15" t="n"/>
      <c r="D109" s="15" t="n"/>
      <c r="E109" s="16" t="n"/>
      <c r="F109" s="15" t="n"/>
      <c r="G109" s="15" t="n"/>
      <c r="H109" s="15" t="n"/>
      <c r="I109" s="16" t="n"/>
      <c r="J109" s="15" t="n"/>
      <c r="K109" s="15" t="n"/>
    </row>
    <row r="110">
      <c r="A110" s="15" t="n"/>
      <c r="B110" s="15" t="n"/>
      <c r="C110" s="15" t="n"/>
      <c r="D110" s="15" t="n"/>
      <c r="E110" s="16" t="n"/>
      <c r="F110" s="15" t="n"/>
      <c r="G110" s="15" t="n"/>
      <c r="H110" s="15" t="n"/>
      <c r="I110" s="16" t="n"/>
      <c r="J110" s="15" t="n"/>
      <c r="K110" s="15" t="n"/>
    </row>
    <row r="111">
      <c r="A111" s="15" t="n"/>
      <c r="B111" s="15" t="n"/>
      <c r="C111" s="15" t="n"/>
      <c r="D111" s="15" t="n"/>
      <c r="E111" s="16" t="n"/>
      <c r="F111" s="15" t="n"/>
      <c r="G111" s="15" t="n"/>
      <c r="H111" s="15" t="n"/>
      <c r="I111" s="16" t="n"/>
      <c r="J111" s="15" t="n"/>
      <c r="K111" s="15" t="n"/>
    </row>
    <row r="112">
      <c r="A112" s="15" t="n"/>
      <c r="B112" s="15" t="n"/>
      <c r="C112" s="15" t="n"/>
      <c r="D112" s="15" t="n"/>
      <c r="E112" s="16" t="n"/>
      <c r="F112" s="15" t="n"/>
      <c r="G112" s="15" t="n"/>
      <c r="H112" s="15" t="n"/>
      <c r="I112" s="16" t="n"/>
      <c r="J112" s="15" t="n"/>
      <c r="K112" s="15" t="n"/>
    </row>
    <row r="113">
      <c r="A113" s="15" t="n"/>
      <c r="B113" s="15" t="n"/>
      <c r="C113" s="15" t="n"/>
      <c r="D113" s="15" t="n"/>
      <c r="E113" s="16" t="n"/>
      <c r="F113" s="15" t="n"/>
      <c r="G113" s="15" t="n"/>
      <c r="H113" s="15" t="n"/>
      <c r="I113" s="16" t="n"/>
      <c r="J113" s="15" t="n"/>
      <c r="K113" s="15" t="n"/>
    </row>
    <row r="114">
      <c r="A114" s="15" t="n"/>
      <c r="B114" s="15" t="n"/>
      <c r="C114" s="15" t="n"/>
      <c r="D114" s="15" t="n"/>
      <c r="E114" s="16" t="n"/>
      <c r="F114" s="15" t="n"/>
      <c r="G114" s="15" t="n"/>
      <c r="H114" s="15" t="n"/>
      <c r="I114" s="16" t="n"/>
      <c r="J114" s="15" t="n"/>
      <c r="K114" s="15" t="n"/>
    </row>
    <row r="115">
      <c r="A115" s="15" t="n"/>
      <c r="B115" s="15" t="n"/>
      <c r="C115" s="15" t="n"/>
      <c r="D115" s="15" t="n"/>
      <c r="E115" s="16" t="n"/>
      <c r="F115" s="15" t="n"/>
      <c r="G115" s="15" t="n"/>
      <c r="H115" s="15" t="n"/>
      <c r="I115" s="16" t="n"/>
      <c r="J115" s="15" t="n"/>
      <c r="K115" s="15" t="n"/>
    </row>
    <row r="116">
      <c r="A116" s="15" t="n"/>
      <c r="B116" s="15" t="n"/>
      <c r="C116" s="15" t="n"/>
      <c r="D116" s="15" t="n"/>
      <c r="E116" s="16" t="n"/>
      <c r="F116" s="15" t="n"/>
      <c r="G116" s="15" t="n"/>
      <c r="H116" s="15" t="n"/>
      <c r="I116" s="16" t="n"/>
      <c r="J116" s="15" t="n"/>
      <c r="K116" s="15" t="n"/>
    </row>
    <row r="117">
      <c r="A117" s="15" t="n"/>
      <c r="B117" s="15" t="n"/>
      <c r="C117" s="15" t="n"/>
      <c r="D117" s="15" t="n"/>
      <c r="E117" s="16" t="n"/>
      <c r="F117" s="15" t="n"/>
      <c r="G117" s="15" t="n"/>
      <c r="H117" s="15" t="n"/>
      <c r="I117" s="16" t="n"/>
      <c r="J117" s="15" t="n"/>
      <c r="K117" s="15" t="n"/>
    </row>
    <row r="118">
      <c r="A118" s="15" t="n"/>
      <c r="B118" s="15" t="n"/>
      <c r="C118" s="15" t="n"/>
      <c r="D118" s="15" t="n"/>
      <c r="E118" s="16" t="n"/>
      <c r="F118" s="15" t="n"/>
      <c r="G118" s="15" t="n"/>
      <c r="H118" s="15" t="n"/>
      <c r="I118" s="16" t="n"/>
      <c r="J118" s="15" t="n"/>
      <c r="K118" s="15" t="n"/>
    </row>
    <row r="119">
      <c r="A119" s="15" t="n"/>
      <c r="B119" s="15" t="n"/>
      <c r="C119" s="15" t="n"/>
      <c r="D119" s="15" t="n"/>
      <c r="E119" s="16" t="n"/>
      <c r="F119" s="15" t="n"/>
      <c r="G119" s="15" t="n"/>
      <c r="H119" s="15" t="n"/>
      <c r="I119" s="16" t="n"/>
      <c r="J119" s="15" t="n"/>
      <c r="K119" s="15" t="n"/>
    </row>
    <row r="120">
      <c r="A120" s="15" t="n"/>
      <c r="B120" s="15" t="n"/>
      <c r="C120" s="15" t="n"/>
      <c r="D120" s="15" t="n"/>
      <c r="E120" s="16" t="n"/>
      <c r="F120" s="15" t="n"/>
      <c r="G120" s="15" t="n"/>
      <c r="H120" s="15" t="n"/>
      <c r="I120" s="16" t="n"/>
      <c r="J120" s="15" t="n"/>
      <c r="K120" s="15" t="n"/>
    </row>
    <row r="121">
      <c r="A121" s="15" t="n"/>
      <c r="B121" s="15" t="n"/>
      <c r="C121" s="15" t="n"/>
      <c r="D121" s="15" t="n"/>
      <c r="E121" s="16" t="n"/>
      <c r="F121" s="15" t="n"/>
      <c r="G121" s="15" t="n"/>
      <c r="H121" s="15" t="n"/>
      <c r="I121" s="16" t="n"/>
      <c r="J121" s="15" t="n"/>
      <c r="K121" s="15" t="n"/>
    </row>
    <row r="122">
      <c r="A122" s="15" t="n"/>
      <c r="B122" s="15" t="n"/>
      <c r="C122" s="15" t="n"/>
      <c r="D122" s="15" t="n"/>
      <c r="E122" s="16" t="n"/>
      <c r="F122" s="15" t="n"/>
      <c r="G122" s="15" t="n"/>
      <c r="H122" s="15" t="n"/>
      <c r="I122" s="16" t="n"/>
      <c r="J122" s="15" t="n"/>
      <c r="K122" s="15" t="n"/>
    </row>
    <row r="123">
      <c r="A123" s="15" t="n"/>
      <c r="B123" s="15" t="n"/>
      <c r="C123" s="15" t="n"/>
      <c r="D123" s="15" t="n"/>
      <c r="E123" s="16" t="n"/>
      <c r="F123" s="15" t="n"/>
      <c r="G123" s="15" t="n"/>
      <c r="H123" s="15" t="n"/>
      <c r="I123" s="16" t="n"/>
      <c r="J123" s="15" t="n"/>
      <c r="K123" s="15" t="n"/>
    </row>
    <row r="124">
      <c r="A124" s="15" t="n"/>
      <c r="B124" s="15" t="n"/>
      <c r="C124" s="15" t="n"/>
      <c r="D124" s="15" t="n"/>
      <c r="E124" s="16" t="n"/>
      <c r="F124" s="15" t="n"/>
      <c r="G124" s="15" t="n"/>
      <c r="H124" s="15" t="n"/>
      <c r="I124" s="16" t="n"/>
      <c r="J124" s="15" t="n"/>
      <c r="K124" s="15" t="n"/>
    </row>
    <row r="125">
      <c r="A125" s="15" t="n"/>
      <c r="B125" s="15" t="n"/>
      <c r="C125" s="15" t="n"/>
      <c r="D125" s="15" t="n"/>
      <c r="E125" s="16" t="n"/>
      <c r="F125" s="15" t="n"/>
      <c r="G125" s="15" t="n"/>
      <c r="H125" s="15" t="n"/>
      <c r="I125" s="16" t="n"/>
      <c r="J125" s="15" t="n"/>
      <c r="K125" s="15" t="n"/>
    </row>
    <row r="126">
      <c r="A126" s="15" t="n"/>
      <c r="B126" s="15" t="n"/>
      <c r="C126" s="15" t="n"/>
      <c r="D126" s="15" t="n"/>
      <c r="E126" s="16" t="n"/>
      <c r="F126" s="15" t="n"/>
      <c r="G126" s="15" t="n"/>
      <c r="H126" s="15" t="n"/>
      <c r="I126" s="16" t="n"/>
      <c r="J126" s="15" t="n"/>
      <c r="K126" s="15" t="n"/>
    </row>
    <row r="127">
      <c r="A127" s="15" t="n"/>
      <c r="B127" s="15" t="n"/>
      <c r="C127" s="15" t="n"/>
      <c r="D127" s="15" t="n"/>
      <c r="E127" s="16" t="n"/>
      <c r="F127" s="15" t="n"/>
      <c r="G127" s="15" t="n"/>
      <c r="H127" s="15" t="n"/>
      <c r="I127" s="16" t="n"/>
      <c r="J127" s="15" t="n"/>
      <c r="K127" s="15" t="n"/>
    </row>
    <row r="128">
      <c r="A128" s="15" t="n"/>
      <c r="B128" s="15" t="n"/>
      <c r="C128" s="15" t="n"/>
      <c r="D128" s="15" t="n"/>
      <c r="E128" s="16" t="n"/>
      <c r="F128" s="15" t="n"/>
      <c r="G128" s="15" t="n"/>
      <c r="H128" s="15" t="n"/>
      <c r="I128" s="16" t="n"/>
      <c r="J128" s="15" t="n"/>
      <c r="K128" s="15" t="n"/>
    </row>
    <row r="129">
      <c r="A129" s="15" t="n"/>
      <c r="B129" s="15" t="n"/>
      <c r="C129" s="15" t="n"/>
      <c r="D129" s="15" t="n"/>
      <c r="E129" s="16" t="n"/>
      <c r="F129" s="15" t="n"/>
      <c r="G129" s="15" t="n"/>
      <c r="H129" s="15" t="n"/>
      <c r="I129" s="16" t="n"/>
      <c r="J129" s="15" t="n"/>
      <c r="K129" s="15" t="n"/>
    </row>
    <row r="130">
      <c r="A130" s="15" t="n"/>
      <c r="B130" s="15" t="n"/>
      <c r="C130" s="15" t="n"/>
      <c r="D130" s="15" t="n"/>
      <c r="E130" s="16" t="n"/>
      <c r="F130" s="15" t="n"/>
      <c r="G130" s="15" t="n"/>
      <c r="H130" s="15" t="n"/>
      <c r="I130" s="16" t="n"/>
      <c r="J130" s="15" t="n"/>
      <c r="K130" s="15" t="n"/>
    </row>
    <row r="131">
      <c r="A131" s="15" t="n"/>
      <c r="B131" s="15" t="n"/>
      <c r="C131" s="15" t="n"/>
      <c r="D131" s="15" t="n"/>
      <c r="E131" s="16" t="n"/>
      <c r="F131" s="15" t="n"/>
      <c r="G131" s="15" t="n"/>
      <c r="H131" s="15" t="n"/>
      <c r="I131" s="16" t="n"/>
      <c r="J131" s="15" t="n"/>
      <c r="K131" s="15" t="n"/>
    </row>
    <row r="132">
      <c r="A132" s="15" t="n"/>
      <c r="B132" s="15" t="n"/>
      <c r="C132" s="15" t="n"/>
      <c r="D132" s="15" t="n"/>
      <c r="E132" s="16" t="n"/>
      <c r="F132" s="15" t="n"/>
      <c r="G132" s="15" t="n"/>
      <c r="H132" s="15" t="n"/>
      <c r="I132" s="16" t="n"/>
      <c r="J132" s="15" t="n"/>
      <c r="K132" s="15" t="n"/>
    </row>
    <row r="133">
      <c r="A133" s="15" t="n"/>
      <c r="B133" s="15" t="n"/>
      <c r="C133" s="15" t="n"/>
      <c r="D133" s="15" t="n"/>
      <c r="E133" s="16" t="n"/>
      <c r="F133" s="15" t="n"/>
      <c r="G133" s="15" t="n"/>
      <c r="H133" s="15" t="n"/>
      <c r="I133" s="16" t="n"/>
      <c r="J133" s="15" t="n"/>
      <c r="K133" s="15" t="n"/>
    </row>
    <row r="134">
      <c r="A134" s="15" t="n"/>
      <c r="B134" s="15" t="n"/>
      <c r="C134" s="15" t="n"/>
      <c r="D134" s="15" t="n"/>
      <c r="E134" s="16" t="n"/>
      <c r="F134" s="15" t="n"/>
      <c r="G134" s="15" t="n"/>
      <c r="H134" s="15" t="n"/>
      <c r="I134" s="16" t="n"/>
      <c r="J134" s="15" t="n"/>
      <c r="K134" s="15" t="n"/>
    </row>
    <row r="135">
      <c r="A135" s="15" t="n"/>
      <c r="B135" s="15" t="n"/>
      <c r="C135" s="15" t="n"/>
      <c r="D135" s="15" t="n"/>
      <c r="E135" s="16" t="n"/>
      <c r="F135" s="15" t="n"/>
      <c r="G135" s="15" t="n"/>
      <c r="H135" s="15" t="n"/>
      <c r="I135" s="16" t="n"/>
      <c r="J135" s="15" t="n"/>
      <c r="K135" s="15" t="n"/>
    </row>
    <row r="136">
      <c r="A136" s="15" t="n"/>
      <c r="B136" s="15" t="n"/>
      <c r="C136" s="15" t="n"/>
      <c r="D136" s="15" t="n"/>
      <c r="E136" s="16" t="n"/>
      <c r="F136" s="15" t="n"/>
      <c r="G136" s="15" t="n"/>
      <c r="H136" s="15" t="n"/>
      <c r="I136" s="16" t="n"/>
      <c r="J136" s="15" t="n"/>
      <c r="K136" s="15" t="n"/>
    </row>
    <row r="137">
      <c r="A137" s="15" t="n"/>
      <c r="B137" s="15" t="n"/>
      <c r="C137" s="15" t="n"/>
      <c r="D137" s="15" t="n"/>
      <c r="E137" s="16" t="n"/>
      <c r="F137" s="15" t="n"/>
      <c r="G137" s="15" t="n"/>
      <c r="H137" s="15" t="n"/>
      <c r="I137" s="16" t="n"/>
      <c r="J137" s="15" t="n"/>
      <c r="K137" s="15" t="n"/>
    </row>
    <row r="138">
      <c r="A138" s="15" t="n"/>
      <c r="B138" s="15" t="n"/>
      <c r="C138" s="15" t="n"/>
      <c r="D138" s="15" t="n"/>
      <c r="E138" s="16" t="n"/>
      <c r="F138" s="15" t="n"/>
      <c r="G138" s="15" t="n"/>
      <c r="H138" s="15" t="n"/>
      <c r="I138" s="16" t="n"/>
      <c r="J138" s="15" t="n"/>
      <c r="K138" s="15" t="n"/>
    </row>
    <row r="139">
      <c r="A139" s="15" t="n"/>
      <c r="B139" s="15" t="n"/>
      <c r="C139" s="15" t="n"/>
      <c r="D139" s="15" t="n"/>
      <c r="E139" s="16" t="n"/>
      <c r="F139" s="15" t="n"/>
      <c r="G139" s="15" t="n"/>
      <c r="H139" s="15" t="n"/>
      <c r="I139" s="16" t="n"/>
      <c r="J139" s="15" t="n"/>
      <c r="K139" s="15" t="n"/>
    </row>
    <row r="140">
      <c r="A140" s="15" t="n"/>
      <c r="B140" s="15" t="n"/>
      <c r="C140" s="15" t="n"/>
      <c r="D140" s="15" t="n"/>
      <c r="E140" s="16" t="n"/>
      <c r="F140" s="15" t="n"/>
      <c r="G140" s="15" t="n"/>
      <c r="H140" s="15" t="n"/>
      <c r="I140" s="16" t="n"/>
      <c r="J140" s="15" t="n"/>
      <c r="K140" s="15" t="n"/>
    </row>
    <row r="141">
      <c r="A141" s="15" t="n"/>
      <c r="B141" s="15" t="n"/>
      <c r="C141" s="15" t="n"/>
      <c r="D141" s="15" t="n"/>
      <c r="E141" s="16" t="n"/>
      <c r="F141" s="15" t="n"/>
      <c r="G141" s="15" t="n"/>
      <c r="H141" s="15" t="n"/>
      <c r="I141" s="16" t="n"/>
      <c r="J141" s="15" t="n"/>
      <c r="K141" s="15" t="n"/>
    </row>
    <row r="142">
      <c r="A142" s="15" t="n"/>
      <c r="B142" s="15" t="n"/>
      <c r="C142" s="15" t="n"/>
      <c r="D142" s="15" t="n"/>
      <c r="E142" s="16" t="n"/>
      <c r="F142" s="15" t="n"/>
      <c r="G142" s="15" t="n"/>
      <c r="H142" s="15" t="n"/>
      <c r="I142" s="16" t="n"/>
      <c r="J142" s="15" t="n"/>
      <c r="K142" s="15" t="n"/>
    </row>
    <row r="143">
      <c r="A143" s="15" t="n"/>
      <c r="B143" s="15" t="n"/>
      <c r="C143" s="15" t="n"/>
      <c r="D143" s="15" t="n"/>
      <c r="E143" s="16" t="n"/>
      <c r="F143" s="15" t="n"/>
      <c r="G143" s="15" t="n"/>
      <c r="H143" s="15" t="n"/>
      <c r="I143" s="16" t="n"/>
      <c r="J143" s="15" t="n"/>
      <c r="K143" s="15" t="n"/>
    </row>
    <row r="144">
      <c r="A144" s="15" t="n"/>
      <c r="B144" s="15" t="n"/>
      <c r="C144" s="15" t="n"/>
      <c r="D144" s="15" t="n"/>
      <c r="E144" s="16" t="n"/>
      <c r="F144" s="15" t="n"/>
      <c r="G144" s="15" t="n"/>
      <c r="H144" s="15" t="n"/>
      <c r="I144" s="16" t="n"/>
      <c r="J144" s="15" t="n"/>
      <c r="K144" s="15" t="n"/>
    </row>
    <row r="145">
      <c r="A145" s="15" t="n"/>
      <c r="B145" s="15" t="n"/>
      <c r="C145" s="15" t="n"/>
      <c r="D145" s="15" t="n"/>
      <c r="E145" s="16" t="n"/>
      <c r="F145" s="15" t="n"/>
      <c r="G145" s="15" t="n"/>
      <c r="H145" s="15" t="n"/>
      <c r="I145" s="16" t="n"/>
      <c r="J145" s="15" t="n"/>
      <c r="K145" s="15" t="n"/>
    </row>
    <row r="146">
      <c r="A146" s="15" t="n"/>
      <c r="B146" s="15" t="n"/>
      <c r="C146" s="15" t="n"/>
      <c r="D146" s="15" t="n"/>
      <c r="E146" s="16" t="n"/>
      <c r="F146" s="15" t="n"/>
      <c r="G146" s="15" t="n"/>
      <c r="H146" s="15" t="n"/>
      <c r="I146" s="16" t="n"/>
      <c r="J146" s="15" t="n"/>
      <c r="K146" s="15" t="n"/>
    </row>
    <row r="147">
      <c r="A147" s="15" t="n"/>
      <c r="B147" s="15" t="n"/>
      <c r="C147" s="15" t="n"/>
      <c r="D147" s="15" t="n"/>
      <c r="E147" s="16" t="n"/>
      <c r="F147" s="15" t="n"/>
      <c r="G147" s="15" t="n"/>
      <c r="H147" s="15" t="n"/>
      <c r="I147" s="16" t="n"/>
      <c r="J147" s="15" t="n"/>
      <c r="K147" s="15" t="n"/>
    </row>
    <row r="148">
      <c r="A148" s="15" t="n"/>
      <c r="B148" s="15" t="n"/>
      <c r="C148" s="15" t="n"/>
      <c r="D148" s="15" t="n"/>
      <c r="E148" s="16" t="n"/>
      <c r="F148" s="15" t="n"/>
      <c r="G148" s="15" t="n"/>
      <c r="H148" s="15" t="n"/>
      <c r="I148" s="16" t="n"/>
      <c r="J148" s="15" t="n"/>
      <c r="K148" s="15" t="n"/>
    </row>
    <row r="149">
      <c r="A149" s="15" t="n"/>
      <c r="B149" s="15" t="n"/>
      <c r="C149" s="15" t="n"/>
      <c r="D149" s="15" t="n"/>
      <c r="E149" s="16" t="n"/>
      <c r="F149" s="15" t="n"/>
      <c r="G149" s="15" t="n"/>
      <c r="H149" s="15" t="n"/>
      <c r="I149" s="16" t="n"/>
      <c r="J149" s="15" t="n"/>
      <c r="K149" s="15" t="n"/>
    </row>
    <row r="150">
      <c r="A150" s="15" t="n"/>
      <c r="B150" s="15" t="n"/>
      <c r="C150" s="15" t="n"/>
      <c r="D150" s="15" t="n"/>
      <c r="E150" s="16" t="n"/>
      <c r="F150" s="15" t="n"/>
      <c r="G150" s="15" t="n"/>
      <c r="H150" s="15" t="n"/>
      <c r="I150" s="16" t="n"/>
      <c r="J150" s="15" t="n"/>
      <c r="K150" s="15" t="n"/>
    </row>
    <row r="151">
      <c r="A151" s="15" t="n"/>
      <c r="B151" s="15" t="n"/>
      <c r="C151" s="15" t="n"/>
      <c r="D151" s="15" t="n"/>
      <c r="E151" s="16" t="n"/>
      <c r="F151" s="15" t="n"/>
      <c r="G151" s="15" t="n"/>
      <c r="H151" s="15" t="n"/>
      <c r="I151" s="16" t="n"/>
      <c r="J151" s="15" t="n"/>
      <c r="K151" s="15" t="n"/>
    </row>
    <row r="152">
      <c r="A152" s="15" t="n"/>
      <c r="B152" s="15" t="n"/>
      <c r="C152" s="15" t="n"/>
      <c r="D152" s="15" t="n"/>
      <c r="E152" s="16" t="n"/>
      <c r="F152" s="15" t="n"/>
      <c r="G152" s="15" t="n"/>
      <c r="H152" s="15" t="n"/>
      <c r="I152" s="16" t="n"/>
      <c r="J152" s="15" t="n"/>
      <c r="K152" s="15" t="n"/>
    </row>
    <row r="153">
      <c r="A153" s="15" t="n"/>
      <c r="B153" s="15" t="n"/>
      <c r="C153" s="15" t="n"/>
      <c r="D153" s="15" t="n"/>
      <c r="E153" s="16" t="n"/>
      <c r="F153" s="15" t="n"/>
      <c r="G153" s="15" t="n"/>
      <c r="H153" s="15" t="n"/>
      <c r="I153" s="16" t="n"/>
      <c r="J153" s="15" t="n"/>
      <c r="K153" s="15" t="n"/>
    </row>
    <row r="154">
      <c r="A154" s="15" t="n"/>
      <c r="B154" s="15" t="n"/>
      <c r="C154" s="15" t="n"/>
      <c r="D154" s="15" t="n"/>
      <c r="E154" s="16" t="n"/>
      <c r="F154" s="15" t="n"/>
      <c r="G154" s="15" t="n"/>
      <c r="H154" s="15" t="n"/>
      <c r="I154" s="16" t="n"/>
      <c r="J154" s="15" t="n"/>
      <c r="K154" s="15" t="n"/>
    </row>
    <row r="155">
      <c r="A155" s="15" t="n"/>
      <c r="B155" s="15" t="n"/>
      <c r="C155" s="15" t="n"/>
      <c r="D155" s="15" t="n"/>
      <c r="E155" s="16" t="n"/>
      <c r="F155" s="15" t="n"/>
      <c r="G155" s="15" t="n"/>
      <c r="H155" s="15" t="n"/>
      <c r="I155" s="16" t="n"/>
      <c r="J155" s="15" t="n"/>
      <c r="K155" s="15" t="n"/>
    </row>
    <row r="156">
      <c r="A156" s="15" t="n"/>
      <c r="B156" s="15" t="n"/>
      <c r="C156" s="15" t="n"/>
      <c r="D156" s="15" t="n"/>
      <c r="E156" s="16" t="n"/>
      <c r="F156" s="15" t="n"/>
      <c r="G156" s="15" t="n"/>
      <c r="H156" s="15" t="n"/>
      <c r="I156" s="16" t="n"/>
      <c r="J156" s="15" t="n"/>
      <c r="K156" s="15" t="n"/>
    </row>
    <row r="157">
      <c r="A157" s="15" t="n"/>
      <c r="B157" s="15" t="n"/>
      <c r="C157" s="15" t="n"/>
      <c r="D157" s="15" t="n"/>
      <c r="E157" s="16" t="n"/>
      <c r="F157" s="15" t="n"/>
      <c r="G157" s="15" t="n"/>
      <c r="H157" s="15" t="n"/>
      <c r="I157" s="16" t="n"/>
      <c r="J157" s="15" t="n"/>
      <c r="K157" s="15" t="n"/>
    </row>
    <row r="158">
      <c r="A158" s="15" t="n"/>
      <c r="B158" s="15" t="n"/>
      <c r="C158" s="15" t="n"/>
      <c r="D158" s="15" t="n"/>
      <c r="E158" s="16" t="n"/>
      <c r="F158" s="15" t="n"/>
      <c r="G158" s="15" t="n"/>
      <c r="H158" s="15" t="n"/>
      <c r="I158" s="16" t="n"/>
      <c r="J158" s="15" t="n"/>
      <c r="K158" s="15" t="n"/>
    </row>
    <row r="159">
      <c r="A159" s="15" t="n"/>
      <c r="B159" s="15" t="n"/>
      <c r="C159" s="15" t="n"/>
      <c r="D159" s="15" t="n"/>
      <c r="E159" s="16" t="n"/>
      <c r="F159" s="15" t="n"/>
      <c r="G159" s="15" t="n"/>
      <c r="H159" s="15" t="n"/>
      <c r="I159" s="16" t="n"/>
      <c r="J159" s="15" t="n"/>
      <c r="K159" s="15" t="n"/>
    </row>
    <row r="160">
      <c r="A160" s="15" t="n"/>
      <c r="B160" s="15" t="n"/>
      <c r="C160" s="15" t="n"/>
      <c r="D160" s="15" t="n"/>
      <c r="E160" s="16" t="n"/>
      <c r="F160" s="15" t="n"/>
      <c r="G160" s="15" t="n"/>
      <c r="H160" s="15" t="n"/>
      <c r="I160" s="16" t="n"/>
      <c r="J160" s="15" t="n"/>
      <c r="K160" s="15" t="n"/>
    </row>
    <row r="161">
      <c r="A161" s="15" t="n"/>
      <c r="B161" s="15" t="n"/>
      <c r="C161" s="15" t="n"/>
      <c r="D161" s="15" t="n"/>
      <c r="E161" s="16" t="n"/>
      <c r="F161" s="15" t="n"/>
      <c r="G161" s="15" t="n"/>
      <c r="H161" s="15" t="n"/>
      <c r="I161" s="16" t="n"/>
      <c r="J161" s="15" t="n"/>
      <c r="K161" s="15" t="n"/>
    </row>
    <row r="162">
      <c r="A162" s="15" t="n"/>
      <c r="B162" s="15" t="n"/>
      <c r="C162" s="15" t="n"/>
      <c r="D162" s="15" t="n"/>
      <c r="E162" s="16" t="n"/>
      <c r="F162" s="15" t="n"/>
      <c r="G162" s="15" t="n"/>
      <c r="H162" s="15" t="n"/>
      <c r="I162" s="16" t="n"/>
      <c r="J162" s="15" t="n"/>
      <c r="K162" s="15" t="n"/>
    </row>
    <row r="163">
      <c r="A163" s="15" t="n"/>
      <c r="B163" s="15" t="n"/>
      <c r="C163" s="15" t="n"/>
      <c r="D163" s="15" t="n"/>
      <c r="E163" s="16" t="n"/>
      <c r="F163" s="15" t="n"/>
      <c r="G163" s="15" t="n"/>
      <c r="H163" s="15" t="n"/>
      <c r="I163" s="16" t="n"/>
      <c r="J163" s="15" t="n"/>
      <c r="K163" s="15" t="n"/>
    </row>
    <row r="164">
      <c r="A164" s="15" t="n"/>
      <c r="B164" s="15" t="n"/>
      <c r="C164" s="15" t="n"/>
      <c r="D164" s="15" t="n"/>
      <c r="E164" s="16" t="n"/>
      <c r="F164" s="15" t="n"/>
      <c r="G164" s="15" t="n"/>
      <c r="H164" s="15" t="n"/>
      <c r="I164" s="16" t="n"/>
      <c r="J164" s="15" t="n"/>
      <c r="K164" s="15" t="n"/>
    </row>
    <row r="165">
      <c r="A165" s="15" t="n"/>
      <c r="B165" s="15" t="n"/>
      <c r="C165" s="15" t="n"/>
      <c r="D165" s="15" t="n"/>
      <c r="E165" s="16" t="n"/>
      <c r="F165" s="15" t="n"/>
      <c r="G165" s="15" t="n"/>
      <c r="H165" s="15" t="n"/>
      <c r="I165" s="16" t="n"/>
      <c r="J165" s="15" t="n"/>
      <c r="K165" s="15" t="n"/>
    </row>
    <row r="166">
      <c r="A166" s="15" t="n"/>
      <c r="B166" s="15" t="n"/>
      <c r="C166" s="15" t="n"/>
      <c r="D166" s="15" t="n"/>
      <c r="E166" s="16" t="n"/>
      <c r="F166" s="15" t="n"/>
      <c r="G166" s="15" t="n"/>
      <c r="H166" s="15" t="n"/>
      <c r="I166" s="16" t="n"/>
      <c r="J166" s="15" t="n"/>
      <c r="K166" s="15" t="n"/>
    </row>
    <row r="167">
      <c r="A167" s="15" t="n"/>
      <c r="B167" s="15" t="n"/>
      <c r="C167" s="15" t="n"/>
      <c r="D167" s="15" t="n"/>
      <c r="E167" s="16" t="n"/>
      <c r="F167" s="15" t="n"/>
      <c r="G167" s="15" t="n"/>
      <c r="H167" s="15" t="n"/>
      <c r="I167" s="16" t="n"/>
      <c r="J167" s="15" t="n"/>
      <c r="K167" s="15" t="n"/>
    </row>
    <row r="168">
      <c r="A168" s="15" t="n"/>
      <c r="B168" s="15" t="n"/>
      <c r="C168" s="15" t="n"/>
      <c r="D168" s="15" t="n"/>
      <c r="E168" s="16" t="n"/>
      <c r="F168" s="15" t="n"/>
      <c r="G168" s="15" t="n"/>
      <c r="H168" s="15" t="n"/>
      <c r="I168" s="16" t="n"/>
      <c r="J168" s="15" t="n"/>
      <c r="K168" s="15" t="n"/>
    </row>
    <row r="169">
      <c r="A169" s="15" t="n"/>
      <c r="B169" s="15" t="n"/>
      <c r="C169" s="15" t="n"/>
      <c r="D169" s="15" t="n"/>
      <c r="E169" s="16" t="n"/>
      <c r="F169" s="15" t="n"/>
      <c r="G169" s="15" t="n"/>
      <c r="H169" s="15" t="n"/>
      <c r="I169" s="16" t="n"/>
      <c r="J169" s="15" t="n"/>
      <c r="K169" s="15" t="n"/>
    </row>
    <row r="170">
      <c r="A170" s="15" t="n"/>
      <c r="B170" s="15" t="n"/>
      <c r="C170" s="15" t="n"/>
      <c r="D170" s="15" t="n"/>
      <c r="E170" s="16" t="n"/>
      <c r="F170" s="15" t="n"/>
      <c r="G170" s="15" t="n"/>
      <c r="H170" s="15" t="n"/>
      <c r="I170" s="16" t="n"/>
      <c r="J170" s="15" t="n"/>
      <c r="K170" s="15" t="n"/>
    </row>
    <row r="171">
      <c r="A171" s="15" t="n"/>
      <c r="B171" s="15" t="n"/>
      <c r="C171" s="15" t="n"/>
      <c r="D171" s="15" t="n"/>
      <c r="E171" s="16" t="n"/>
      <c r="F171" s="15" t="n"/>
      <c r="G171" s="15" t="n"/>
      <c r="H171" s="15" t="n"/>
      <c r="I171" s="16" t="n"/>
      <c r="J171" s="15" t="n"/>
      <c r="K171" s="15" t="n"/>
    </row>
    <row r="172">
      <c r="A172" s="15" t="n"/>
      <c r="B172" s="15" t="n"/>
      <c r="C172" s="15" t="n"/>
      <c r="D172" s="15" t="n"/>
      <c r="E172" s="16" t="n"/>
      <c r="F172" s="15" t="n"/>
      <c r="G172" s="15" t="n"/>
      <c r="H172" s="15" t="n"/>
      <c r="I172" s="16" t="n"/>
      <c r="J172" s="15" t="n"/>
      <c r="K172" s="15" t="n"/>
    </row>
    <row r="173">
      <c r="A173" s="15" t="n"/>
      <c r="B173" s="15" t="n"/>
      <c r="C173" s="15" t="n"/>
      <c r="D173" s="15" t="n"/>
      <c r="E173" s="16" t="n"/>
      <c r="F173" s="15" t="n"/>
      <c r="G173" s="15" t="n"/>
      <c r="H173" s="15" t="n"/>
      <c r="I173" s="16" t="n"/>
      <c r="J173" s="15" t="n"/>
      <c r="K173" s="15" t="n"/>
    </row>
    <row r="174">
      <c r="A174" s="15" t="n"/>
      <c r="B174" s="15" t="n"/>
      <c r="C174" s="15" t="n"/>
      <c r="D174" s="15" t="n"/>
      <c r="E174" s="16" t="n"/>
      <c r="F174" s="15" t="n"/>
      <c r="G174" s="15" t="n"/>
      <c r="H174" s="15" t="n"/>
      <c r="I174" s="16" t="n"/>
      <c r="J174" s="15" t="n"/>
      <c r="K174" s="15" t="n"/>
    </row>
    <row r="175">
      <c r="A175" s="15" t="n"/>
      <c r="B175" s="15" t="n"/>
      <c r="C175" s="15" t="n"/>
      <c r="D175" s="15" t="n"/>
      <c r="E175" s="16" t="n"/>
      <c r="F175" s="15" t="n"/>
      <c r="G175" s="15" t="n"/>
      <c r="H175" s="15" t="n"/>
      <c r="I175" s="16" t="n"/>
      <c r="J175" s="15" t="n"/>
      <c r="K175" s="15" t="n"/>
    </row>
    <row r="176">
      <c r="A176" s="15" t="n"/>
      <c r="B176" s="15" t="n"/>
      <c r="C176" s="15" t="n"/>
      <c r="D176" s="15" t="n"/>
      <c r="E176" s="16" t="n"/>
      <c r="F176" s="15" t="n"/>
      <c r="G176" s="15" t="n"/>
      <c r="H176" s="15" t="n"/>
      <c r="I176" s="16" t="n"/>
      <c r="J176" s="15" t="n"/>
      <c r="K176" s="15" t="n"/>
    </row>
    <row r="177">
      <c r="A177" s="15" t="n"/>
      <c r="B177" s="15" t="n"/>
      <c r="C177" s="15" t="n"/>
      <c r="D177" s="15" t="n"/>
      <c r="E177" s="16" t="n"/>
      <c r="F177" s="15" t="n"/>
      <c r="G177" s="15" t="n"/>
      <c r="H177" s="15" t="n"/>
      <c r="I177" s="16" t="n"/>
      <c r="J177" s="15" t="n"/>
      <c r="K177" s="15" t="n"/>
    </row>
    <row r="178">
      <c r="A178" s="15" t="n"/>
      <c r="B178" s="15" t="n"/>
      <c r="C178" s="15" t="n"/>
      <c r="D178" s="15" t="n"/>
      <c r="E178" s="16" t="n"/>
      <c r="F178" s="15" t="n"/>
      <c r="G178" s="15" t="n"/>
      <c r="H178" s="15" t="n"/>
      <c r="I178" s="16" t="n"/>
      <c r="J178" s="15" t="n"/>
      <c r="K178" s="15" t="n"/>
    </row>
    <row r="179">
      <c r="A179" s="15" t="n"/>
      <c r="B179" s="15" t="n"/>
      <c r="C179" s="15" t="n"/>
      <c r="D179" s="15" t="n"/>
      <c r="E179" s="16" t="n"/>
      <c r="F179" s="15" t="n"/>
      <c r="G179" s="15" t="n"/>
      <c r="H179" s="15" t="n"/>
      <c r="I179" s="16" t="n"/>
      <c r="J179" s="15" t="n"/>
      <c r="K179" s="15" t="n"/>
    </row>
    <row r="180">
      <c r="A180" s="15" t="n"/>
      <c r="B180" s="15" t="n"/>
      <c r="C180" s="15" t="n"/>
      <c r="D180" s="15" t="n"/>
      <c r="E180" s="16" t="n"/>
      <c r="F180" s="15" t="n"/>
      <c r="G180" s="15" t="n"/>
      <c r="H180" s="15" t="n"/>
      <c r="I180" s="16" t="n"/>
      <c r="J180" s="15" t="n"/>
      <c r="K180" s="15" t="n"/>
    </row>
    <row r="181">
      <c r="A181" s="15" t="n"/>
      <c r="B181" s="15" t="n"/>
      <c r="C181" s="15" t="n"/>
      <c r="D181" s="15" t="n"/>
      <c r="E181" s="16" t="n"/>
      <c r="F181" s="15" t="n"/>
      <c r="G181" s="15" t="n"/>
      <c r="H181" s="15" t="n"/>
      <c r="I181" s="16" t="n"/>
      <c r="J181" s="15" t="n"/>
      <c r="K181" s="15" t="n"/>
    </row>
    <row r="182">
      <c r="A182" s="15" t="n"/>
      <c r="B182" s="15" t="n"/>
      <c r="C182" s="15" t="n"/>
      <c r="D182" s="15" t="n"/>
      <c r="E182" s="16" t="n"/>
      <c r="F182" s="15" t="n"/>
      <c r="G182" s="15" t="n"/>
      <c r="H182" s="15" t="n"/>
      <c r="I182" s="16" t="n"/>
      <c r="J182" s="15" t="n"/>
      <c r="K182" s="15" t="n"/>
    </row>
    <row r="183">
      <c r="A183" s="15" t="n"/>
      <c r="B183" s="15" t="n"/>
      <c r="C183" s="15" t="n"/>
      <c r="D183" s="15" t="n"/>
      <c r="E183" s="16" t="n"/>
      <c r="F183" s="15" t="n"/>
      <c r="G183" s="15" t="n"/>
      <c r="H183" s="15" t="n"/>
      <c r="I183" s="16" t="n"/>
      <c r="J183" s="15" t="n"/>
      <c r="K183" s="15" t="n"/>
    </row>
    <row r="184">
      <c r="A184" s="15" t="n"/>
      <c r="B184" s="15" t="n"/>
      <c r="C184" s="15" t="n"/>
      <c r="D184" s="15" t="n"/>
      <c r="E184" s="16" t="n"/>
      <c r="F184" s="15" t="n"/>
      <c r="G184" s="15" t="n"/>
      <c r="H184" s="15" t="n"/>
      <c r="I184" s="16" t="n"/>
      <c r="J184" s="15" t="n"/>
      <c r="K184" s="15" t="n"/>
    </row>
    <row r="185">
      <c r="A185" s="15" t="n"/>
      <c r="B185" s="15" t="n"/>
      <c r="C185" s="15" t="n"/>
      <c r="D185" s="15" t="n"/>
      <c r="E185" s="16" t="n"/>
      <c r="F185" s="15" t="n"/>
      <c r="G185" s="15" t="n"/>
      <c r="H185" s="15" t="n"/>
      <c r="I185" s="16" t="n"/>
      <c r="J185" s="15" t="n"/>
      <c r="K185" s="15" t="n"/>
    </row>
    <row r="186">
      <c r="A186" s="15" t="n"/>
      <c r="B186" s="15" t="n"/>
      <c r="C186" s="15" t="n"/>
      <c r="D186" s="15" t="n"/>
      <c r="E186" s="16" t="n"/>
      <c r="F186" s="15" t="n"/>
      <c r="G186" s="15" t="n"/>
      <c r="H186" s="15" t="n"/>
      <c r="I186" s="16" t="n"/>
      <c r="J186" s="15" t="n"/>
      <c r="K186" s="15" t="n"/>
    </row>
    <row r="187">
      <c r="A187" s="15" t="n"/>
      <c r="B187" s="15" t="n"/>
      <c r="C187" s="15" t="n"/>
      <c r="D187" s="15" t="n"/>
      <c r="E187" s="16" t="n"/>
      <c r="F187" s="15" t="n"/>
      <c r="G187" s="15" t="n"/>
      <c r="H187" s="15" t="n"/>
      <c r="I187" s="16" t="n"/>
      <c r="J187" s="15" t="n"/>
      <c r="K187" s="15" t="n"/>
    </row>
    <row r="188">
      <c r="A188" s="15" t="n"/>
      <c r="B188" s="15" t="n"/>
      <c r="C188" s="15" t="n"/>
      <c r="D188" s="15" t="n"/>
      <c r="E188" s="16" t="n"/>
      <c r="F188" s="15" t="n"/>
      <c r="G188" s="15" t="n"/>
      <c r="H188" s="15" t="n"/>
      <c r="I188" s="16" t="n"/>
      <c r="J188" s="15" t="n"/>
      <c r="K188" s="15" t="n"/>
    </row>
    <row r="189">
      <c r="A189" s="15" t="n"/>
      <c r="B189" s="15" t="n"/>
      <c r="C189" s="15" t="n"/>
      <c r="D189" s="15" t="n"/>
      <c r="E189" s="16" t="n"/>
      <c r="F189" s="15" t="n"/>
      <c r="G189" s="15" t="n"/>
      <c r="H189" s="15" t="n"/>
      <c r="I189" s="16" t="n"/>
      <c r="J189" s="15" t="n"/>
      <c r="K189" s="15" t="n"/>
    </row>
    <row r="190">
      <c r="A190" s="15" t="n"/>
      <c r="B190" s="15" t="n"/>
      <c r="C190" s="15" t="n"/>
      <c r="D190" s="15" t="n"/>
      <c r="E190" s="16" t="n"/>
      <c r="F190" s="15" t="n"/>
      <c r="G190" s="15" t="n"/>
      <c r="H190" s="15" t="n"/>
      <c r="I190" s="16" t="n"/>
      <c r="J190" s="15" t="n"/>
      <c r="K190" s="15" t="n"/>
    </row>
    <row r="191">
      <c r="A191" s="15" t="n"/>
      <c r="B191" s="15" t="n"/>
      <c r="C191" s="15" t="n"/>
      <c r="D191" s="15" t="n"/>
      <c r="E191" s="16" t="n"/>
      <c r="F191" s="15" t="n"/>
      <c r="G191" s="15" t="n"/>
      <c r="H191" s="15" t="n"/>
      <c r="I191" s="16" t="n"/>
      <c r="J191" s="15" t="n"/>
      <c r="K191" s="15" t="n"/>
    </row>
    <row r="192">
      <c r="A192" s="15" t="n"/>
      <c r="B192" s="15" t="n"/>
      <c r="C192" s="15" t="n"/>
      <c r="D192" s="15" t="n"/>
      <c r="E192" s="16" t="n"/>
      <c r="F192" s="15" t="n"/>
      <c r="G192" s="15" t="n"/>
      <c r="H192" s="15" t="n"/>
      <c r="I192" s="16" t="n"/>
      <c r="J192" s="15" t="n"/>
      <c r="K192" s="15" t="n"/>
    </row>
    <row r="193">
      <c r="A193" s="15" t="n"/>
      <c r="B193" s="15" t="n"/>
      <c r="C193" s="15" t="n"/>
      <c r="D193" s="15" t="n"/>
      <c r="E193" s="16" t="n"/>
      <c r="F193" s="15" t="n"/>
      <c r="G193" s="15" t="n"/>
      <c r="H193" s="15" t="n"/>
      <c r="I193" s="16" t="n"/>
      <c r="J193" s="15" t="n"/>
      <c r="K193" s="15" t="n"/>
    </row>
    <row r="194">
      <c r="A194" s="15" t="n"/>
      <c r="B194" s="15" t="n"/>
      <c r="C194" s="15" t="n"/>
      <c r="D194" s="15" t="n"/>
      <c r="E194" s="16" t="n"/>
      <c r="F194" s="15" t="n"/>
      <c r="G194" s="15" t="n"/>
      <c r="H194" s="15" t="n"/>
      <c r="I194" s="16" t="n"/>
      <c r="J194" s="15" t="n"/>
      <c r="K194" s="15" t="n"/>
    </row>
    <row r="195">
      <c r="A195" s="15" t="n"/>
      <c r="B195" s="15" t="n"/>
      <c r="C195" s="15" t="n"/>
      <c r="D195" s="15" t="n"/>
      <c r="E195" s="16" t="n"/>
      <c r="F195" s="15" t="n"/>
      <c r="G195" s="15" t="n"/>
      <c r="H195" s="15" t="n"/>
      <c r="I195" s="16" t="n"/>
      <c r="J195" s="15" t="n"/>
      <c r="K195" s="15" t="n"/>
    </row>
    <row r="196">
      <c r="A196" s="15" t="n"/>
      <c r="B196" s="15" t="n"/>
      <c r="C196" s="15" t="n"/>
      <c r="D196" s="15" t="n"/>
      <c r="E196" s="16" t="n"/>
      <c r="F196" s="15" t="n"/>
      <c r="G196" s="15" t="n"/>
      <c r="H196" s="15" t="n"/>
      <c r="I196" s="16" t="n"/>
      <c r="J196" s="15" t="n"/>
      <c r="K196" s="15" t="n"/>
    </row>
    <row r="197">
      <c r="A197" s="15" t="n"/>
      <c r="B197" s="15" t="n"/>
      <c r="C197" s="15" t="n"/>
      <c r="D197" s="15" t="n"/>
      <c r="E197" s="16" t="n"/>
      <c r="F197" s="15" t="n"/>
      <c r="G197" s="15" t="n"/>
      <c r="H197" s="15" t="n"/>
      <c r="I197" s="16" t="n"/>
      <c r="J197" s="15" t="n"/>
      <c r="K197" s="15" t="n"/>
    </row>
    <row r="198">
      <c r="A198" s="15" t="n"/>
      <c r="B198" s="15" t="n"/>
      <c r="C198" s="15" t="n"/>
      <c r="D198" s="15" t="n"/>
      <c r="E198" s="16" t="n"/>
      <c r="F198" s="15" t="n"/>
      <c r="G198" s="15" t="n"/>
      <c r="H198" s="15" t="n"/>
      <c r="I198" s="16" t="n"/>
      <c r="J198" s="15" t="n"/>
      <c r="K198" s="15" t="n"/>
    </row>
    <row r="199">
      <c r="A199" s="15" t="n"/>
      <c r="B199" s="15" t="n"/>
      <c r="C199" s="15" t="n"/>
      <c r="D199" s="15" t="n"/>
      <c r="E199" s="16" t="n"/>
      <c r="F199" s="15" t="n"/>
      <c r="G199" s="15" t="n"/>
      <c r="H199" s="15" t="n"/>
      <c r="I199" s="16" t="n"/>
      <c r="J199" s="15" t="n"/>
      <c r="K199" s="15" t="n"/>
    </row>
    <row r="200">
      <c r="A200" s="15" t="n"/>
      <c r="B200" s="15" t="n"/>
      <c r="C200" s="15" t="n"/>
      <c r="D200" s="15" t="n"/>
      <c r="E200" s="16" t="n"/>
      <c r="F200" s="15" t="n"/>
      <c r="G200" s="15" t="n"/>
      <c r="H200" s="15" t="n"/>
      <c r="I200" s="16" t="n"/>
      <c r="J200" s="15" t="n"/>
      <c r="K200" s="15" t="n"/>
    </row>
    <row r="201">
      <c r="A201" s="15" t="n"/>
      <c r="B201" s="15" t="n"/>
      <c r="C201" s="15" t="n"/>
      <c r="D201" s="15" t="n"/>
      <c r="E201" s="16" t="n"/>
      <c r="F201" s="15" t="n"/>
      <c r="G201" s="15" t="n"/>
      <c r="H201" s="15" t="n"/>
      <c r="I201" s="16" t="n"/>
      <c r="J201" s="15" t="n"/>
      <c r="K201" s="15" t="n"/>
    </row>
    <row r="202">
      <c r="A202" s="15" t="n"/>
      <c r="B202" s="15" t="n"/>
      <c r="C202" s="15" t="n"/>
      <c r="D202" s="15" t="n"/>
      <c r="E202" s="16" t="n"/>
      <c r="F202" s="15" t="n"/>
      <c r="G202" s="15" t="n"/>
      <c r="H202" s="15" t="n"/>
      <c r="I202" s="16" t="n"/>
      <c r="J202" s="15" t="n"/>
      <c r="K202" s="15" t="n"/>
    </row>
    <row r="203">
      <c r="A203" s="15" t="n"/>
      <c r="B203" s="15" t="n"/>
      <c r="C203" s="15" t="n"/>
      <c r="D203" s="15" t="n"/>
      <c r="E203" s="16" t="n"/>
      <c r="F203" s="15" t="n"/>
      <c r="G203" s="15" t="n"/>
      <c r="H203" s="15" t="n"/>
      <c r="I203" s="16" t="n"/>
      <c r="J203" s="15" t="n"/>
      <c r="K203" s="15" t="n"/>
    </row>
    <row r="204">
      <c r="A204" s="15" t="n"/>
      <c r="B204" s="15" t="n"/>
      <c r="C204" s="15" t="n"/>
      <c r="D204" s="15" t="n"/>
      <c r="E204" s="16" t="n"/>
      <c r="F204" s="15" t="n"/>
      <c r="G204" s="15" t="n"/>
      <c r="H204" s="15" t="n"/>
      <c r="I204" s="16" t="n"/>
      <c r="J204" s="15" t="n"/>
      <c r="K204" s="15" t="n"/>
    </row>
    <row r="205">
      <c r="A205" s="15" t="n"/>
      <c r="B205" s="15" t="n"/>
      <c r="C205" s="15" t="n"/>
      <c r="D205" s="15" t="n"/>
      <c r="E205" s="16" t="n"/>
      <c r="F205" s="15" t="n"/>
      <c r="G205" s="15" t="n"/>
      <c r="H205" s="15" t="n"/>
      <c r="I205" s="16" t="n"/>
      <c r="J205" s="15" t="n"/>
      <c r="K205" s="15" t="n"/>
    </row>
    <row r="206">
      <c r="A206" s="15" t="n"/>
      <c r="B206" s="15" t="n"/>
      <c r="C206" s="15" t="n"/>
      <c r="D206" s="15" t="n"/>
      <c r="E206" s="16" t="n"/>
      <c r="F206" s="15" t="n"/>
      <c r="G206" s="15" t="n"/>
      <c r="H206" s="15" t="n"/>
      <c r="I206" s="16" t="n"/>
      <c r="J206" s="15" t="n"/>
      <c r="K206" s="15" t="n"/>
    </row>
    <row r="207">
      <c r="A207" s="15" t="n"/>
      <c r="B207" s="15" t="n"/>
      <c r="C207" s="15" t="n"/>
      <c r="D207" s="15" t="n"/>
      <c r="E207" s="16" t="n"/>
      <c r="F207" s="15" t="n"/>
      <c r="G207" s="15" t="n"/>
      <c r="H207" s="15" t="n"/>
      <c r="I207" s="16" t="n"/>
      <c r="J207" s="15" t="n"/>
      <c r="K207" s="15" t="n"/>
    </row>
    <row r="208">
      <c r="A208" s="15" t="n"/>
      <c r="B208" s="15" t="n"/>
      <c r="C208" s="15" t="n"/>
      <c r="D208" s="15" t="n"/>
      <c r="E208" s="16" t="n"/>
      <c r="F208" s="15" t="n"/>
      <c r="G208" s="15" t="n"/>
      <c r="H208" s="15" t="n"/>
      <c r="I208" s="16" t="n"/>
      <c r="J208" s="15" t="n"/>
      <c r="K208" s="15" t="n"/>
    </row>
    <row r="209">
      <c r="A209" s="15" t="n"/>
      <c r="B209" s="15" t="n"/>
      <c r="C209" s="15" t="n"/>
      <c r="D209" s="15" t="n"/>
      <c r="E209" s="16" t="n"/>
      <c r="F209" s="15" t="n"/>
      <c r="G209" s="15" t="n"/>
      <c r="H209" s="15" t="n"/>
      <c r="I209" s="16" t="n"/>
      <c r="J209" s="15" t="n"/>
      <c r="K209" s="15" t="n"/>
    </row>
    <row r="210">
      <c r="A210" s="15" t="n"/>
      <c r="B210" s="15" t="n"/>
      <c r="C210" s="15" t="n"/>
      <c r="D210" s="15" t="n"/>
      <c r="E210" s="16" t="n"/>
      <c r="F210" s="15" t="n"/>
      <c r="G210" s="15" t="n"/>
      <c r="H210" s="15" t="n"/>
      <c r="I210" s="16" t="n"/>
      <c r="J210" s="15" t="n"/>
      <c r="K210" s="15" t="n"/>
    </row>
    <row r="211">
      <c r="A211" s="15" t="n"/>
      <c r="B211" s="15" t="n"/>
      <c r="C211" s="15" t="n"/>
      <c r="D211" s="15" t="n"/>
      <c r="E211" s="16" t="n"/>
      <c r="F211" s="15" t="n"/>
      <c r="G211" s="15" t="n"/>
      <c r="H211" s="15" t="n"/>
      <c r="I211" s="16" t="n"/>
      <c r="J211" s="15" t="n"/>
      <c r="K211" s="15" t="n"/>
    </row>
    <row r="212">
      <c r="A212" s="15" t="n"/>
      <c r="B212" s="15" t="n"/>
      <c r="C212" s="15" t="n"/>
      <c r="D212" s="15" t="n"/>
      <c r="E212" s="16" t="n"/>
      <c r="F212" s="15" t="n"/>
      <c r="G212" s="15" t="n"/>
      <c r="H212" s="15" t="n"/>
      <c r="I212" s="16" t="n"/>
      <c r="J212" s="15" t="n"/>
      <c r="K212" s="15" t="n"/>
    </row>
    <row r="213">
      <c r="A213" s="15" t="n"/>
      <c r="B213" s="15" t="n"/>
      <c r="C213" s="15" t="n"/>
      <c r="D213" s="15" t="n"/>
      <c r="E213" s="16" t="n"/>
      <c r="F213" s="15" t="n"/>
      <c r="G213" s="15" t="n"/>
      <c r="H213" s="15" t="n"/>
      <c r="I213" s="16" t="n"/>
      <c r="J213" s="15" t="n"/>
      <c r="K213" s="15" t="n"/>
    </row>
    <row r="214">
      <c r="A214" s="15" t="n"/>
      <c r="B214" s="15" t="n"/>
      <c r="C214" s="15" t="n"/>
      <c r="D214" s="15" t="n"/>
      <c r="E214" s="16" t="n"/>
      <c r="F214" s="15" t="n"/>
      <c r="G214" s="15" t="n"/>
      <c r="H214" s="15" t="n"/>
      <c r="I214" s="16" t="n"/>
      <c r="J214" s="15" t="n"/>
      <c r="K214" s="15" t="n"/>
    </row>
    <row r="215">
      <c r="A215" s="15" t="n"/>
      <c r="B215" s="15" t="n"/>
      <c r="C215" s="15" t="n"/>
      <c r="D215" s="15" t="n"/>
      <c r="E215" s="16" t="n"/>
      <c r="F215" s="15" t="n"/>
      <c r="G215" s="15" t="n"/>
      <c r="H215" s="15" t="n"/>
      <c r="I215" s="16" t="n"/>
      <c r="J215" s="15" t="n"/>
      <c r="K215" s="15" t="n"/>
    </row>
    <row r="216">
      <c r="A216" s="15" t="n"/>
      <c r="B216" s="15" t="n"/>
      <c r="C216" s="15" t="n"/>
      <c r="D216" s="15" t="n"/>
      <c r="E216" s="16" t="n"/>
      <c r="F216" s="15" t="n"/>
      <c r="G216" s="15" t="n"/>
      <c r="H216" s="15" t="n"/>
      <c r="I216" s="16" t="n"/>
      <c r="J216" s="15" t="n"/>
      <c r="K216" s="15" t="n"/>
    </row>
    <row r="217">
      <c r="A217" s="15" t="n"/>
      <c r="B217" s="15" t="n"/>
      <c r="C217" s="15" t="n"/>
      <c r="D217" s="15" t="n"/>
      <c r="E217" s="16" t="n"/>
      <c r="F217" s="15" t="n"/>
      <c r="G217" s="15" t="n"/>
      <c r="H217" s="15" t="n"/>
      <c r="I217" s="16" t="n"/>
      <c r="J217" s="15" t="n"/>
      <c r="K217" s="15" t="n"/>
    </row>
    <row r="218">
      <c r="A218" s="15" t="n"/>
      <c r="B218" s="15" t="n"/>
      <c r="C218" s="15" t="n"/>
      <c r="D218" s="15" t="n"/>
      <c r="E218" s="16" t="n"/>
      <c r="F218" s="15" t="n"/>
      <c r="G218" s="15" t="n"/>
      <c r="H218" s="15" t="n"/>
      <c r="I218" s="16" t="n"/>
      <c r="J218" s="15" t="n"/>
      <c r="K218" s="15" t="n"/>
    </row>
    <row r="219">
      <c r="A219" s="15" t="n"/>
      <c r="B219" s="15" t="n"/>
      <c r="C219" s="15" t="n"/>
      <c r="D219" s="15" t="n"/>
      <c r="E219" s="16" t="n"/>
      <c r="F219" s="15" t="n"/>
      <c r="G219" s="15" t="n"/>
      <c r="H219" s="15" t="n"/>
      <c r="I219" s="16" t="n"/>
      <c r="J219" s="15" t="n"/>
      <c r="K219" s="15" t="n"/>
    </row>
    <row r="220">
      <c r="A220" s="15" t="n"/>
      <c r="B220" s="15" t="n"/>
      <c r="C220" s="15" t="n"/>
      <c r="D220" s="15" t="n"/>
      <c r="E220" s="16" t="n"/>
      <c r="F220" s="15" t="n"/>
      <c r="G220" s="15" t="n"/>
      <c r="H220" s="15" t="n"/>
      <c r="I220" s="16" t="n"/>
      <c r="J220" s="15" t="n"/>
      <c r="K220" s="15" t="n"/>
    </row>
    <row r="221">
      <c r="A221" s="15" t="n"/>
      <c r="B221" s="15" t="n"/>
      <c r="C221" s="15" t="n"/>
      <c r="D221" s="15" t="n"/>
      <c r="E221" s="16" t="n"/>
      <c r="F221" s="15" t="n"/>
      <c r="G221" s="15" t="n"/>
      <c r="H221" s="15" t="n"/>
      <c r="I221" s="16" t="n"/>
      <c r="J221" s="15" t="n"/>
      <c r="K221" s="15" t="n"/>
    </row>
    <row r="222">
      <c r="A222" s="15" t="n"/>
      <c r="B222" s="15" t="n"/>
      <c r="C222" s="15" t="n"/>
      <c r="D222" s="15" t="n"/>
      <c r="E222" s="16" t="n"/>
      <c r="F222" s="15" t="n"/>
      <c r="G222" s="15" t="n"/>
      <c r="H222" s="15" t="n"/>
      <c r="I222" s="16" t="n"/>
      <c r="J222" s="15" t="n"/>
      <c r="K222" s="15" t="n"/>
    </row>
    <row r="223">
      <c r="A223" s="15" t="n"/>
      <c r="B223" s="15" t="n"/>
      <c r="C223" s="15" t="n"/>
      <c r="D223" s="15" t="n"/>
      <c r="E223" s="16" t="n"/>
      <c r="F223" s="15" t="n"/>
      <c r="G223" s="15" t="n"/>
      <c r="H223" s="15" t="n"/>
      <c r="I223" s="16" t="n"/>
      <c r="J223" s="15" t="n"/>
      <c r="K223" s="15" t="n"/>
    </row>
    <row r="224">
      <c r="A224" s="15" t="n"/>
      <c r="B224" s="15" t="n"/>
      <c r="C224" s="15" t="n"/>
      <c r="D224" s="15" t="n"/>
      <c r="E224" s="16" t="n"/>
      <c r="F224" s="15" t="n"/>
      <c r="G224" s="15" t="n"/>
      <c r="H224" s="15" t="n"/>
      <c r="I224" s="16" t="n"/>
      <c r="J224" s="15" t="n"/>
      <c r="K224" s="15" t="n"/>
    </row>
    <row r="225">
      <c r="A225" s="15" t="n"/>
      <c r="B225" s="15" t="n"/>
      <c r="C225" s="15" t="n"/>
      <c r="D225" s="15" t="n"/>
      <c r="E225" s="16" t="n"/>
      <c r="F225" s="15" t="n"/>
      <c r="G225" s="15" t="n"/>
      <c r="H225" s="15" t="n"/>
      <c r="I225" s="16" t="n"/>
      <c r="J225" s="15" t="n"/>
      <c r="K225" s="15" t="n"/>
    </row>
    <row r="226">
      <c r="A226" s="15" t="n"/>
      <c r="B226" s="15" t="n"/>
      <c r="C226" s="15" t="n"/>
      <c r="D226" s="15" t="n"/>
      <c r="E226" s="16" t="n"/>
      <c r="F226" s="15" t="n"/>
      <c r="G226" s="15" t="n"/>
      <c r="H226" s="15" t="n"/>
      <c r="I226" s="16" t="n"/>
      <c r="J226" s="15" t="n"/>
      <c r="K226" s="15" t="n"/>
    </row>
    <row r="227">
      <c r="A227" s="15" t="n"/>
      <c r="B227" s="15" t="n"/>
      <c r="C227" s="15" t="n"/>
      <c r="D227" s="15" t="n"/>
      <c r="E227" s="16" t="n"/>
      <c r="F227" s="15" t="n"/>
      <c r="G227" s="15" t="n"/>
      <c r="H227" s="15" t="n"/>
      <c r="I227" s="16" t="n"/>
      <c r="J227" s="15" t="n"/>
      <c r="K227" s="15" t="n"/>
    </row>
    <row r="228">
      <c r="A228" s="15" t="n"/>
      <c r="B228" s="15" t="n"/>
      <c r="C228" s="15" t="n"/>
      <c r="D228" s="15" t="n"/>
      <c r="E228" s="16" t="n"/>
      <c r="F228" s="15" t="n"/>
      <c r="G228" s="15" t="n"/>
      <c r="H228" s="15" t="n"/>
      <c r="I228" s="16" t="n"/>
      <c r="J228" s="15" t="n"/>
      <c r="K228" s="15" t="n"/>
    </row>
    <row r="229">
      <c r="A229" s="15" t="n"/>
      <c r="B229" s="15" t="n"/>
      <c r="C229" s="15" t="n"/>
      <c r="D229" s="15" t="n"/>
      <c r="E229" s="16" t="n"/>
      <c r="F229" s="15" t="n"/>
      <c r="G229" s="15" t="n"/>
      <c r="H229" s="15" t="n"/>
      <c r="I229" s="16" t="n"/>
      <c r="J229" s="15" t="n"/>
      <c r="K229" s="15" t="n"/>
    </row>
    <row r="230">
      <c r="A230" s="15" t="n"/>
      <c r="B230" s="15" t="n"/>
      <c r="C230" s="15" t="n"/>
      <c r="D230" s="15" t="n"/>
      <c r="E230" s="16" t="n"/>
      <c r="F230" s="15" t="n"/>
      <c r="G230" s="15" t="n"/>
      <c r="H230" s="15" t="n"/>
      <c r="I230" s="16" t="n"/>
      <c r="J230" s="15" t="n"/>
      <c r="K230" s="15" t="n"/>
    </row>
    <row r="231">
      <c r="A231" s="15" t="n"/>
      <c r="B231" s="15" t="n"/>
      <c r="C231" s="15" t="n"/>
      <c r="D231" s="15" t="n"/>
      <c r="E231" s="16" t="n"/>
      <c r="F231" s="15" t="n"/>
      <c r="G231" s="15" t="n"/>
      <c r="H231" s="15" t="n"/>
      <c r="I231" s="16" t="n"/>
      <c r="J231" s="15" t="n"/>
      <c r="K231" s="15" t="n"/>
    </row>
    <row r="232">
      <c r="A232" s="15" t="n"/>
      <c r="B232" s="15" t="n"/>
      <c r="C232" s="15" t="n"/>
      <c r="D232" s="15" t="n"/>
      <c r="E232" s="16" t="n"/>
      <c r="F232" s="15" t="n"/>
      <c r="G232" s="15" t="n"/>
      <c r="H232" s="15" t="n"/>
      <c r="I232" s="16" t="n"/>
      <c r="J232" s="15" t="n"/>
      <c r="K232" s="15" t="n"/>
    </row>
    <row r="233">
      <c r="A233" s="15" t="n"/>
      <c r="B233" s="15" t="n"/>
      <c r="C233" s="15" t="n"/>
      <c r="D233" s="15" t="n"/>
      <c r="E233" s="16" t="n"/>
      <c r="F233" s="15" t="n"/>
      <c r="G233" s="15" t="n"/>
      <c r="H233" s="15" t="n"/>
      <c r="I233" s="16" t="n"/>
      <c r="J233" s="15" t="n"/>
      <c r="K233" s="15" t="n"/>
    </row>
    <row r="234">
      <c r="A234" s="15" t="n"/>
      <c r="B234" s="15" t="n"/>
      <c r="C234" s="15" t="n"/>
      <c r="D234" s="15" t="n"/>
      <c r="E234" s="16" t="n"/>
      <c r="F234" s="15" t="n"/>
      <c r="G234" s="15" t="n"/>
      <c r="H234" s="15" t="n"/>
      <c r="I234" s="16" t="n"/>
      <c r="J234" s="15" t="n"/>
      <c r="K234" s="15" t="n"/>
    </row>
    <row r="235">
      <c r="A235" s="15" t="n"/>
      <c r="B235" s="15" t="n"/>
      <c r="C235" s="15" t="n"/>
      <c r="D235" s="15" t="n"/>
      <c r="E235" s="16" t="n"/>
      <c r="F235" s="15" t="n"/>
      <c r="G235" s="15" t="n"/>
      <c r="H235" s="15" t="n"/>
      <c r="I235" s="16" t="n"/>
      <c r="J235" s="15" t="n"/>
      <c r="K235" s="15" t="n"/>
    </row>
    <row r="236">
      <c r="A236" s="15" t="n"/>
      <c r="B236" s="15" t="n"/>
      <c r="C236" s="15" t="n"/>
      <c r="D236" s="15" t="n"/>
      <c r="E236" s="16" t="n"/>
      <c r="F236" s="15" t="n"/>
      <c r="G236" s="15" t="n"/>
      <c r="H236" s="15" t="n"/>
      <c r="I236" s="16" t="n"/>
      <c r="J236" s="15" t="n"/>
      <c r="K236" s="15" t="n"/>
    </row>
    <row r="237">
      <c r="A237" s="15" t="n"/>
      <c r="B237" s="15" t="n"/>
      <c r="C237" s="15" t="n"/>
      <c r="D237" s="15" t="n"/>
      <c r="E237" s="16" t="n"/>
      <c r="F237" s="15" t="n"/>
      <c r="G237" s="15" t="n"/>
      <c r="H237" s="15" t="n"/>
      <c r="I237" s="16" t="n"/>
      <c r="J237" s="15" t="n"/>
      <c r="K237" s="15" t="n"/>
    </row>
    <row r="238">
      <c r="A238" s="15" t="n"/>
      <c r="B238" s="15" t="n"/>
      <c r="C238" s="15" t="n"/>
      <c r="D238" s="15" t="n"/>
      <c r="E238" s="16" t="n"/>
      <c r="F238" s="15" t="n"/>
      <c r="G238" s="15" t="n"/>
      <c r="H238" s="15" t="n"/>
      <c r="I238" s="16" t="n"/>
      <c r="J238" s="15" t="n"/>
      <c r="K238" s="15" t="n"/>
    </row>
    <row r="239">
      <c r="A239" s="15" t="n"/>
      <c r="B239" s="15" t="n"/>
      <c r="C239" s="15" t="n"/>
      <c r="D239" s="15" t="n"/>
      <c r="E239" s="16" t="n"/>
      <c r="F239" s="15" t="n"/>
      <c r="G239" s="15" t="n"/>
      <c r="H239" s="15" t="n"/>
      <c r="I239" s="16" t="n"/>
      <c r="J239" s="15" t="n"/>
      <c r="K239" s="15" t="n"/>
    </row>
    <row r="240">
      <c r="A240" s="15" t="n"/>
      <c r="B240" s="15" t="n"/>
      <c r="C240" s="15" t="n"/>
      <c r="D240" s="15" t="n"/>
      <c r="E240" s="16" t="n"/>
      <c r="F240" s="15" t="n"/>
      <c r="G240" s="15" t="n"/>
      <c r="H240" s="15" t="n"/>
      <c r="I240" s="16" t="n"/>
      <c r="J240" s="15" t="n"/>
      <c r="K240" s="15" t="n"/>
    </row>
    <row r="241">
      <c r="A241" s="15" t="n"/>
      <c r="B241" s="15" t="n"/>
      <c r="C241" s="15" t="n"/>
      <c r="D241" s="15" t="n"/>
      <c r="E241" s="16" t="n"/>
      <c r="F241" s="15" t="n"/>
      <c r="G241" s="15" t="n"/>
      <c r="H241" s="15" t="n"/>
      <c r="I241" s="16" t="n"/>
      <c r="J241" s="15" t="n"/>
      <c r="K241" s="15" t="n"/>
    </row>
    <row r="242">
      <c r="A242" s="15" t="n"/>
      <c r="B242" s="15" t="n"/>
      <c r="C242" s="15" t="n"/>
      <c r="D242" s="15" t="n"/>
      <c r="E242" s="16" t="n"/>
      <c r="F242" s="15" t="n"/>
      <c r="G242" s="15" t="n"/>
      <c r="H242" s="15" t="n"/>
      <c r="I242" s="16" t="n"/>
      <c r="J242" s="15" t="n"/>
      <c r="K242" s="15" t="n"/>
    </row>
    <row r="243">
      <c r="A243" s="15" t="n"/>
      <c r="B243" s="15" t="n"/>
      <c r="C243" s="15" t="n"/>
      <c r="D243" s="15" t="n"/>
      <c r="E243" s="16" t="n"/>
      <c r="F243" s="15" t="n"/>
      <c r="G243" s="15" t="n"/>
      <c r="H243" s="15" t="n"/>
      <c r="I243" s="16" t="n"/>
      <c r="J243" s="15" t="n"/>
      <c r="K243" s="15" t="n"/>
    </row>
    <row r="244">
      <c r="A244" s="15" t="n"/>
      <c r="B244" s="15" t="n"/>
      <c r="C244" s="15" t="n"/>
      <c r="D244" s="15" t="n"/>
      <c r="E244" s="16" t="n"/>
      <c r="F244" s="15" t="n"/>
      <c r="G244" s="15" t="n"/>
      <c r="H244" s="15" t="n"/>
      <c r="I244" s="16" t="n"/>
      <c r="J244" s="15" t="n"/>
      <c r="K244" s="15" t="n"/>
    </row>
    <row r="245">
      <c r="A245" s="15" t="n"/>
      <c r="B245" s="15" t="n"/>
      <c r="C245" s="15" t="n"/>
      <c r="D245" s="15" t="n"/>
      <c r="E245" s="16" t="n"/>
      <c r="F245" s="15" t="n"/>
      <c r="G245" s="15" t="n"/>
      <c r="H245" s="15" t="n"/>
      <c r="I245" s="16" t="n"/>
      <c r="J245" s="15" t="n"/>
      <c r="K245" s="15" t="n"/>
    </row>
    <row r="246">
      <c r="A246" s="15" t="n"/>
      <c r="B246" s="15" t="n"/>
      <c r="C246" s="15" t="n"/>
      <c r="D246" s="15" t="n"/>
      <c r="E246" s="16" t="n"/>
      <c r="F246" s="15" t="n"/>
      <c r="G246" s="15" t="n"/>
      <c r="H246" s="15" t="n"/>
      <c r="I246" s="16" t="n"/>
      <c r="J246" s="15" t="n"/>
      <c r="K246" s="15" t="n"/>
    </row>
    <row r="247">
      <c r="A247" s="15" t="n"/>
      <c r="B247" s="15" t="n"/>
      <c r="C247" s="15" t="n"/>
      <c r="D247" s="15" t="n"/>
      <c r="E247" s="16" t="n"/>
      <c r="F247" s="15" t="n"/>
      <c r="G247" s="15" t="n"/>
      <c r="H247" s="15" t="n"/>
      <c r="I247" s="16" t="n"/>
      <c r="J247" s="15" t="n"/>
      <c r="K247" s="15" t="n"/>
    </row>
    <row r="248">
      <c r="A248" s="15" t="n"/>
      <c r="B248" s="15" t="n"/>
      <c r="C248" s="15" t="n"/>
      <c r="D248" s="15" t="n"/>
      <c r="E248" s="16" t="n"/>
      <c r="F248" s="15" t="n"/>
      <c r="G248" s="15" t="n"/>
      <c r="H248" s="15" t="n"/>
      <c r="I248" s="16" t="n"/>
      <c r="J248" s="15" t="n"/>
      <c r="K248" s="15" t="n"/>
    </row>
    <row r="249">
      <c r="A249" s="15" t="n"/>
      <c r="B249" s="15" t="n"/>
      <c r="C249" s="15" t="n"/>
      <c r="D249" s="15" t="n"/>
      <c r="E249" s="16" t="n"/>
      <c r="F249" s="15" t="n"/>
      <c r="G249" s="15" t="n"/>
      <c r="H249" s="15" t="n"/>
      <c r="I249" s="16" t="n"/>
      <c r="J249" s="15" t="n"/>
      <c r="K249" s="15" t="n"/>
    </row>
    <row r="250">
      <c r="A250" s="15" t="n"/>
      <c r="B250" s="15" t="n"/>
      <c r="C250" s="15" t="n"/>
      <c r="D250" s="15" t="n"/>
      <c r="E250" s="16" t="n"/>
      <c r="F250" s="15" t="n"/>
      <c r="G250" s="15" t="n"/>
      <c r="H250" s="15" t="n"/>
      <c r="I250" s="16" t="n"/>
      <c r="J250" s="15" t="n"/>
      <c r="K250" s="15" t="n"/>
    </row>
    <row r="251">
      <c r="A251" s="15" t="n"/>
      <c r="B251" s="15" t="n"/>
      <c r="C251" s="15" t="n"/>
      <c r="D251" s="15" t="n"/>
      <c r="E251" s="16" t="n"/>
      <c r="F251" s="15" t="n"/>
      <c r="G251" s="15" t="n"/>
      <c r="H251" s="15" t="n"/>
      <c r="I251" s="16" t="n"/>
      <c r="J251" s="15" t="n"/>
      <c r="K251" s="15" t="n"/>
    </row>
    <row r="252">
      <c r="A252" s="15" t="n"/>
      <c r="B252" s="15" t="n"/>
      <c r="C252" s="15" t="n"/>
      <c r="D252" s="15" t="n"/>
      <c r="E252" s="16" t="n"/>
      <c r="F252" s="15" t="n"/>
      <c r="G252" s="15" t="n"/>
      <c r="H252" s="15" t="n"/>
      <c r="I252" s="16" t="n"/>
      <c r="J252" s="15" t="n"/>
      <c r="K252" s="15" t="n"/>
    </row>
    <row r="253">
      <c r="A253" s="15" t="n"/>
      <c r="B253" s="15" t="n"/>
      <c r="C253" s="15" t="n"/>
      <c r="D253" s="15" t="n"/>
      <c r="E253" s="16" t="n"/>
      <c r="F253" s="15" t="n"/>
      <c r="G253" s="15" t="n"/>
      <c r="H253" s="15" t="n"/>
      <c r="I253" s="16" t="n"/>
      <c r="J253" s="15" t="n"/>
      <c r="K253" s="15" t="n"/>
    </row>
    <row r="254">
      <c r="A254" s="15" t="n"/>
      <c r="B254" s="15" t="n"/>
      <c r="C254" s="15" t="n"/>
      <c r="D254" s="15" t="n"/>
      <c r="E254" s="16" t="n"/>
      <c r="F254" s="15" t="n"/>
      <c r="G254" s="15" t="n"/>
      <c r="H254" s="15" t="n"/>
      <c r="I254" s="16" t="n"/>
      <c r="J254" s="15" t="n"/>
      <c r="K254" s="15" t="n"/>
    </row>
    <row r="255">
      <c r="A255" s="15" t="n"/>
      <c r="B255" s="15" t="n"/>
      <c r="C255" s="15" t="n"/>
      <c r="D255" s="15" t="n"/>
      <c r="E255" s="16" t="n"/>
      <c r="F255" s="15" t="n"/>
      <c r="G255" s="15" t="n"/>
      <c r="H255" s="15" t="n"/>
      <c r="I255" s="16" t="n"/>
      <c r="J255" s="15" t="n"/>
      <c r="K255" s="15" t="n"/>
    </row>
    <row r="256">
      <c r="A256" s="15" t="n"/>
      <c r="B256" s="15" t="n"/>
      <c r="C256" s="15" t="n"/>
      <c r="D256" s="15" t="n"/>
      <c r="E256" s="16" t="n"/>
      <c r="F256" s="15" t="n"/>
      <c r="G256" s="15" t="n"/>
      <c r="H256" s="15" t="n"/>
      <c r="I256" s="16" t="n"/>
      <c r="J256" s="15" t="n"/>
      <c r="K256" s="15" t="n"/>
    </row>
    <row r="257">
      <c r="A257" s="15" t="n"/>
      <c r="B257" s="15" t="n"/>
      <c r="C257" s="15" t="n"/>
      <c r="D257" s="15" t="n"/>
      <c r="E257" s="16" t="n"/>
      <c r="F257" s="15" t="n"/>
      <c r="G257" s="15" t="n"/>
      <c r="H257" s="15" t="n"/>
      <c r="I257" s="16" t="n"/>
      <c r="J257" s="15" t="n"/>
      <c r="K257" s="15" t="n"/>
    </row>
    <row r="258">
      <c r="A258" s="15" t="n"/>
      <c r="B258" s="15" t="n"/>
      <c r="C258" s="15" t="n"/>
      <c r="D258" s="15" t="n"/>
      <c r="E258" s="16" t="n"/>
      <c r="F258" s="15" t="n"/>
      <c r="G258" s="15" t="n"/>
      <c r="H258" s="15" t="n"/>
      <c r="I258" s="16" t="n"/>
      <c r="J258" s="15" t="n"/>
      <c r="K258" s="15" t="n"/>
    </row>
    <row r="259">
      <c r="A259" s="15" t="n"/>
      <c r="B259" s="15" t="n"/>
      <c r="C259" s="15" t="n"/>
      <c r="D259" s="15" t="n"/>
      <c r="E259" s="16" t="n"/>
      <c r="F259" s="15" t="n"/>
      <c r="G259" s="15" t="n"/>
      <c r="H259" s="15" t="n"/>
      <c r="I259" s="16" t="n"/>
      <c r="J259" s="15" t="n"/>
      <c r="K259" s="15" t="n"/>
    </row>
    <row r="260">
      <c r="A260" s="15" t="n"/>
      <c r="B260" s="15" t="n"/>
      <c r="C260" s="15" t="n"/>
      <c r="D260" s="15" t="n"/>
      <c r="E260" s="16" t="n"/>
      <c r="F260" s="15" t="n"/>
      <c r="G260" s="15" t="n"/>
      <c r="H260" s="15" t="n"/>
      <c r="I260" s="16" t="n"/>
      <c r="J260" s="15" t="n"/>
      <c r="K260" s="15" t="n"/>
    </row>
    <row r="261">
      <c r="A261" s="15" t="n"/>
      <c r="B261" s="15" t="n"/>
      <c r="C261" s="15" t="n"/>
      <c r="D261" s="15" t="n"/>
      <c r="E261" s="16" t="n"/>
      <c r="F261" s="15" t="n"/>
      <c r="G261" s="15" t="n"/>
      <c r="H261" s="15" t="n"/>
      <c r="I261" s="16" t="n"/>
      <c r="J261" s="15" t="n"/>
      <c r="K261" s="15" t="n"/>
    </row>
    <row r="262">
      <c r="A262" s="15" t="n"/>
      <c r="B262" s="15" t="n"/>
      <c r="C262" s="15" t="n"/>
      <c r="D262" s="15" t="n"/>
      <c r="E262" s="16" t="n"/>
      <c r="F262" s="15" t="n"/>
      <c r="G262" s="15" t="n"/>
      <c r="H262" s="15" t="n"/>
      <c r="I262" s="16" t="n"/>
      <c r="J262" s="15" t="n"/>
      <c r="K262" s="15" t="n"/>
    </row>
    <row r="263">
      <c r="A263" s="15" t="n"/>
      <c r="B263" s="15" t="n"/>
      <c r="C263" s="15" t="n"/>
      <c r="D263" s="15" t="n"/>
      <c r="E263" s="16" t="n"/>
      <c r="F263" s="15" t="n"/>
      <c r="G263" s="15" t="n"/>
      <c r="H263" s="15" t="n"/>
      <c r="I263" s="16" t="n"/>
      <c r="J263" s="15" t="n"/>
      <c r="K263" s="15" t="n"/>
    </row>
    <row r="264">
      <c r="A264" s="15" t="n"/>
      <c r="B264" s="15" t="n"/>
      <c r="C264" s="15" t="n"/>
      <c r="D264" s="15" t="n"/>
      <c r="E264" s="16" t="n"/>
      <c r="F264" s="15" t="n"/>
      <c r="G264" s="15" t="n"/>
      <c r="H264" s="15" t="n"/>
      <c r="I264" s="16" t="n"/>
      <c r="J264" s="15" t="n"/>
      <c r="K264" s="15" t="n"/>
    </row>
    <row r="265">
      <c r="A265" s="15" t="n"/>
      <c r="B265" s="15" t="n"/>
      <c r="C265" s="15" t="n"/>
      <c r="D265" s="15" t="n"/>
      <c r="E265" s="16" t="n"/>
      <c r="F265" s="15" t="n"/>
      <c r="G265" s="15" t="n"/>
      <c r="H265" s="15" t="n"/>
      <c r="I265" s="16" t="n"/>
      <c r="J265" s="15" t="n"/>
      <c r="K265" s="15" t="n"/>
    </row>
    <row r="266">
      <c r="A266" s="15" t="n"/>
      <c r="B266" s="15" t="n"/>
      <c r="C266" s="15" t="n"/>
      <c r="D266" s="15" t="n"/>
      <c r="E266" s="16" t="n"/>
      <c r="F266" s="15" t="n"/>
      <c r="G266" s="15" t="n"/>
      <c r="H266" s="15" t="n"/>
      <c r="I266" s="16" t="n"/>
      <c r="J266" s="15" t="n"/>
      <c r="K266" s="15" t="n"/>
    </row>
    <row r="267">
      <c r="A267" s="15" t="n"/>
      <c r="B267" s="15" t="n"/>
      <c r="C267" s="15" t="n"/>
      <c r="D267" s="15" t="n"/>
      <c r="E267" s="16" t="n"/>
      <c r="F267" s="15" t="n"/>
      <c r="G267" s="15" t="n"/>
      <c r="H267" s="15" t="n"/>
      <c r="I267" s="16" t="n"/>
      <c r="J267" s="15" t="n"/>
      <c r="K267" s="15" t="n"/>
    </row>
    <row r="268">
      <c r="A268" s="15" t="n"/>
      <c r="B268" s="15" t="n"/>
      <c r="C268" s="15" t="n"/>
      <c r="D268" s="15" t="n"/>
      <c r="E268" s="16" t="n"/>
      <c r="F268" s="15" t="n"/>
      <c r="G268" s="15" t="n"/>
      <c r="H268" s="15" t="n"/>
      <c r="I268" s="16" t="n"/>
      <c r="J268" s="15" t="n"/>
      <c r="K268" s="15" t="n"/>
    </row>
    <row r="269">
      <c r="A269" s="15" t="n"/>
      <c r="B269" s="15" t="n"/>
      <c r="C269" s="15" t="n"/>
      <c r="D269" s="15" t="n"/>
      <c r="E269" s="16" t="n"/>
      <c r="F269" s="15" t="n"/>
      <c r="G269" s="15" t="n"/>
      <c r="H269" s="15" t="n"/>
      <c r="I269" s="16" t="n"/>
      <c r="J269" s="15" t="n"/>
      <c r="K269" s="15" t="n"/>
    </row>
    <row r="270">
      <c r="A270" s="15" t="n"/>
      <c r="B270" s="15" t="n"/>
      <c r="C270" s="15" t="n"/>
      <c r="D270" s="15" t="n"/>
      <c r="E270" s="16" t="n"/>
      <c r="F270" s="15" t="n"/>
      <c r="G270" s="15" t="n"/>
      <c r="H270" s="15" t="n"/>
      <c r="I270" s="16" t="n"/>
      <c r="J270" s="15" t="n"/>
      <c r="K270" s="15" t="n"/>
    </row>
    <row r="271">
      <c r="A271" s="15" t="n"/>
      <c r="B271" s="15" t="n"/>
      <c r="C271" s="15" t="n"/>
      <c r="D271" s="15" t="n"/>
      <c r="E271" s="16" t="n"/>
      <c r="F271" s="15" t="n"/>
      <c r="G271" s="15" t="n"/>
      <c r="H271" s="15" t="n"/>
      <c r="I271" s="16" t="n"/>
      <c r="J271" s="15" t="n"/>
      <c r="K271" s="15" t="n"/>
    </row>
    <row r="272">
      <c r="A272" s="15" t="n"/>
      <c r="B272" s="15" t="n"/>
      <c r="C272" s="15" t="n"/>
      <c r="D272" s="15" t="n"/>
      <c r="E272" s="16" t="n"/>
      <c r="F272" s="15" t="n"/>
      <c r="G272" s="15" t="n"/>
      <c r="H272" s="15" t="n"/>
      <c r="I272" s="16" t="n"/>
      <c r="J272" s="15" t="n"/>
      <c r="K272" s="15" t="n"/>
    </row>
    <row r="273">
      <c r="A273" s="15" t="n"/>
      <c r="B273" s="15" t="n"/>
      <c r="C273" s="15" t="n"/>
      <c r="D273" s="15" t="n"/>
      <c r="E273" s="16" t="n"/>
      <c r="F273" s="15" t="n"/>
      <c r="G273" s="15" t="n"/>
      <c r="H273" s="15" t="n"/>
      <c r="I273" s="16" t="n"/>
      <c r="J273" s="15" t="n"/>
      <c r="K273" s="15" t="n"/>
    </row>
    <row r="274">
      <c r="A274" s="15" t="n"/>
      <c r="B274" s="15" t="n"/>
      <c r="C274" s="15" t="n"/>
      <c r="D274" s="15" t="n"/>
      <c r="E274" s="16" t="n"/>
      <c r="F274" s="15" t="n"/>
      <c r="G274" s="15" t="n"/>
      <c r="H274" s="15" t="n"/>
      <c r="I274" s="16" t="n"/>
      <c r="J274" s="15" t="n"/>
      <c r="K274" s="15" t="n"/>
    </row>
    <row r="275">
      <c r="A275" s="15" t="n"/>
      <c r="B275" s="15" t="n"/>
      <c r="C275" s="15" t="n"/>
      <c r="D275" s="15" t="n"/>
      <c r="E275" s="16" t="n"/>
      <c r="F275" s="15" t="n"/>
      <c r="G275" s="15" t="n"/>
      <c r="H275" s="15" t="n"/>
      <c r="I275" s="16" t="n"/>
      <c r="J275" s="15" t="n"/>
      <c r="K275" s="15" t="n"/>
    </row>
    <row r="276">
      <c r="A276" s="15" t="n"/>
      <c r="B276" s="15" t="n"/>
      <c r="C276" s="15" t="n"/>
      <c r="D276" s="15" t="n"/>
      <c r="E276" s="16" t="n"/>
      <c r="F276" s="15" t="n"/>
      <c r="G276" s="15" t="n"/>
      <c r="H276" s="15" t="n"/>
      <c r="I276" s="16" t="n"/>
      <c r="J276" s="15" t="n"/>
      <c r="K276" s="15" t="n"/>
    </row>
    <row r="277">
      <c r="A277" s="15" t="n"/>
      <c r="B277" s="15" t="n"/>
      <c r="C277" s="15" t="n"/>
      <c r="D277" s="15" t="n"/>
      <c r="E277" s="16" t="n"/>
      <c r="F277" s="15" t="n"/>
      <c r="G277" s="15" t="n"/>
      <c r="H277" s="15" t="n"/>
      <c r="I277" s="16" t="n"/>
      <c r="J277" s="15" t="n"/>
      <c r="K277" s="15" t="n"/>
    </row>
    <row r="278">
      <c r="A278" s="15" t="n"/>
      <c r="B278" s="15" t="n"/>
      <c r="C278" s="15" t="n"/>
      <c r="D278" s="15" t="n"/>
      <c r="E278" s="16" t="n"/>
      <c r="F278" s="15" t="n"/>
      <c r="G278" s="15" t="n"/>
      <c r="H278" s="15" t="n"/>
      <c r="I278" s="16" t="n"/>
      <c r="J278" s="15" t="n"/>
      <c r="K278" s="15" t="n"/>
    </row>
    <row r="279">
      <c r="A279" s="15" t="n"/>
      <c r="B279" s="15" t="n"/>
      <c r="C279" s="15" t="n"/>
      <c r="D279" s="15" t="n"/>
      <c r="E279" s="16" t="n"/>
      <c r="F279" s="15" t="n"/>
      <c r="G279" s="15" t="n"/>
      <c r="H279" s="15" t="n"/>
      <c r="I279" s="16" t="n"/>
      <c r="J279" s="15" t="n"/>
      <c r="K279" s="15" t="n"/>
    </row>
    <row r="280">
      <c r="A280" s="15" t="n"/>
      <c r="B280" s="15" t="n"/>
      <c r="C280" s="15" t="n"/>
      <c r="D280" s="15" t="n"/>
      <c r="E280" s="16" t="n"/>
      <c r="F280" s="15" t="n"/>
      <c r="G280" s="15" t="n"/>
      <c r="H280" s="15" t="n"/>
      <c r="I280" s="16" t="n"/>
      <c r="J280" s="15" t="n"/>
      <c r="K280" s="15" t="n"/>
    </row>
    <row r="281">
      <c r="A281" s="15" t="n"/>
      <c r="B281" s="15" t="n"/>
      <c r="C281" s="15" t="n"/>
      <c r="D281" s="15" t="n"/>
      <c r="E281" s="16" t="n"/>
      <c r="F281" s="15" t="n"/>
      <c r="G281" s="15" t="n"/>
      <c r="H281" s="15" t="n"/>
      <c r="I281" s="16" t="n"/>
      <c r="J281" s="15" t="n"/>
      <c r="K281" s="15" t="n"/>
    </row>
    <row r="282">
      <c r="A282" s="15" t="n"/>
      <c r="B282" s="15" t="n"/>
      <c r="C282" s="15" t="n"/>
      <c r="D282" s="15" t="n"/>
      <c r="E282" s="16" t="n"/>
      <c r="F282" s="15" t="n"/>
      <c r="G282" s="15" t="n"/>
      <c r="H282" s="15" t="n"/>
      <c r="I282" s="16" t="n"/>
      <c r="J282" s="15" t="n"/>
      <c r="K282" s="15" t="n"/>
    </row>
    <row r="283">
      <c r="A283" s="15" t="n"/>
      <c r="B283" s="15" t="n"/>
      <c r="C283" s="15" t="n"/>
      <c r="D283" s="15" t="n"/>
      <c r="E283" s="16" t="n"/>
      <c r="F283" s="15" t="n"/>
      <c r="G283" s="15" t="n"/>
      <c r="H283" s="15" t="n"/>
      <c r="I283" s="16" t="n"/>
      <c r="J283" s="15" t="n"/>
      <c r="K283" s="15" t="n"/>
    </row>
    <row r="284">
      <c r="A284" s="15" t="n"/>
      <c r="B284" s="15" t="n"/>
      <c r="C284" s="15" t="n"/>
      <c r="D284" s="15" t="n"/>
      <c r="E284" s="16" t="n"/>
      <c r="F284" s="15" t="n"/>
      <c r="G284" s="15" t="n"/>
      <c r="H284" s="15" t="n"/>
      <c r="I284" s="16" t="n"/>
      <c r="J284" s="15" t="n"/>
      <c r="K284" s="15" t="n"/>
    </row>
    <row r="285">
      <c r="A285" s="15" t="n"/>
      <c r="B285" s="15" t="n"/>
      <c r="C285" s="15" t="n"/>
      <c r="D285" s="15" t="n"/>
      <c r="E285" s="16" t="n"/>
      <c r="F285" s="15" t="n"/>
      <c r="G285" s="15" t="n"/>
      <c r="H285" s="15" t="n"/>
      <c r="I285" s="16" t="n"/>
      <c r="J285" s="15" t="n"/>
      <c r="K285" s="15" t="n"/>
    </row>
    <row r="286">
      <c r="A286" s="15" t="n"/>
      <c r="B286" s="15" t="n"/>
      <c r="C286" s="15" t="n"/>
      <c r="D286" s="15" t="n"/>
      <c r="E286" s="16" t="n"/>
      <c r="F286" s="15" t="n"/>
      <c r="G286" s="15" t="n"/>
      <c r="H286" s="15" t="n"/>
      <c r="I286" s="16" t="n"/>
      <c r="J286" s="15" t="n"/>
      <c r="K286" s="15" t="n"/>
    </row>
    <row r="287">
      <c r="A287" s="15" t="n"/>
      <c r="B287" s="15" t="n"/>
      <c r="C287" s="15" t="n"/>
      <c r="D287" s="15" t="n"/>
      <c r="E287" s="16" t="n"/>
      <c r="F287" s="15" t="n"/>
      <c r="G287" s="15" t="n"/>
      <c r="H287" s="15" t="n"/>
      <c r="I287" s="16" t="n"/>
      <c r="J287" s="15" t="n"/>
      <c r="K287" s="15" t="n"/>
    </row>
    <row r="288">
      <c r="A288" s="15" t="n"/>
      <c r="B288" s="15" t="n"/>
      <c r="C288" s="15" t="n"/>
      <c r="D288" s="15" t="n"/>
      <c r="E288" s="16" t="n"/>
      <c r="F288" s="15" t="n"/>
      <c r="G288" s="15" t="n"/>
      <c r="H288" s="15" t="n"/>
      <c r="I288" s="16" t="n"/>
      <c r="J288" s="15" t="n"/>
      <c r="K288" s="15" t="n"/>
    </row>
    <row r="289">
      <c r="A289" s="15" t="n"/>
      <c r="B289" s="15" t="n"/>
      <c r="C289" s="15" t="n"/>
      <c r="D289" s="15" t="n"/>
      <c r="E289" s="16" t="n"/>
      <c r="F289" s="15" t="n"/>
      <c r="G289" s="15" t="n"/>
      <c r="H289" s="15" t="n"/>
      <c r="I289" s="16" t="n"/>
      <c r="J289" s="15" t="n"/>
      <c r="K289" s="15" t="n"/>
    </row>
    <row r="290">
      <c r="A290" s="15" t="n"/>
      <c r="B290" s="15" t="n"/>
      <c r="C290" s="15" t="n"/>
      <c r="D290" s="15" t="n"/>
      <c r="E290" s="16" t="n"/>
      <c r="F290" s="15" t="n"/>
      <c r="G290" s="15" t="n"/>
      <c r="H290" s="15" t="n"/>
      <c r="I290" s="16" t="n"/>
      <c r="J290" s="15" t="n"/>
      <c r="K290" s="15" t="n"/>
    </row>
    <row r="291">
      <c r="A291" s="15" t="n"/>
      <c r="B291" s="15" t="n"/>
      <c r="C291" s="15" t="n"/>
      <c r="D291" s="15" t="n"/>
      <c r="E291" s="16" t="n"/>
      <c r="F291" s="15" t="n"/>
      <c r="G291" s="15" t="n"/>
      <c r="H291" s="15" t="n"/>
      <c r="I291" s="16" t="n"/>
      <c r="J291" s="15" t="n"/>
      <c r="K291" s="15" t="n"/>
    </row>
    <row r="292">
      <c r="A292" s="15" t="n"/>
      <c r="B292" s="15" t="n"/>
      <c r="C292" s="15" t="n"/>
      <c r="D292" s="15" t="n"/>
      <c r="E292" s="16" t="n"/>
      <c r="F292" s="15" t="n"/>
      <c r="G292" s="15" t="n"/>
      <c r="H292" s="15" t="n"/>
      <c r="I292" s="16" t="n"/>
      <c r="J292" s="15" t="n"/>
      <c r="K292" s="15" t="n"/>
    </row>
    <row r="293">
      <c r="A293" s="15" t="n"/>
      <c r="B293" s="15" t="n"/>
      <c r="C293" s="15" t="n"/>
      <c r="D293" s="15" t="n"/>
      <c r="E293" s="16" t="n"/>
      <c r="F293" s="15" t="n"/>
      <c r="G293" s="15" t="n"/>
      <c r="H293" s="15" t="n"/>
      <c r="I293" s="16" t="n"/>
      <c r="J293" s="15" t="n"/>
      <c r="K293" s="15" t="n"/>
    </row>
    <row r="294">
      <c r="A294" s="15" t="n"/>
      <c r="B294" s="15" t="n"/>
      <c r="C294" s="15" t="n"/>
      <c r="D294" s="15" t="n"/>
      <c r="E294" s="16" t="n"/>
      <c r="F294" s="15" t="n"/>
      <c r="G294" s="15" t="n"/>
      <c r="H294" s="15" t="n"/>
      <c r="I294" s="16" t="n"/>
      <c r="J294" s="15" t="n"/>
      <c r="K294" s="15" t="n"/>
    </row>
    <row r="295">
      <c r="A295" s="15" t="n"/>
      <c r="B295" s="15" t="n"/>
      <c r="C295" s="15" t="n"/>
      <c r="D295" s="15" t="n"/>
      <c r="E295" s="16" t="n"/>
      <c r="F295" s="15" t="n"/>
      <c r="G295" s="15" t="n"/>
      <c r="H295" s="15" t="n"/>
      <c r="I295" s="16" t="n"/>
      <c r="J295" s="15" t="n"/>
      <c r="K295" s="15" t="n"/>
    </row>
    <row r="296">
      <c r="A296" s="15" t="n"/>
      <c r="B296" s="15" t="n"/>
      <c r="C296" s="15" t="n"/>
      <c r="D296" s="15" t="n"/>
      <c r="E296" s="16" t="n"/>
      <c r="F296" s="15" t="n"/>
      <c r="G296" s="15" t="n"/>
      <c r="H296" s="15" t="n"/>
      <c r="I296" s="16" t="n"/>
      <c r="J296" s="15" t="n"/>
      <c r="K296" s="15" t="n"/>
    </row>
    <row r="297">
      <c r="A297" s="15" t="n"/>
      <c r="B297" s="15" t="n"/>
      <c r="C297" s="15" t="n"/>
      <c r="D297" s="15" t="n"/>
      <c r="E297" s="16" t="n"/>
      <c r="F297" s="15" t="n"/>
      <c r="G297" s="15" t="n"/>
      <c r="H297" s="15" t="n"/>
      <c r="I297" s="16" t="n"/>
      <c r="J297" s="15" t="n"/>
      <c r="K297" s="15" t="n"/>
    </row>
    <row r="298">
      <c r="A298" s="15" t="n"/>
      <c r="B298" s="15" t="n"/>
      <c r="C298" s="15" t="n"/>
      <c r="D298" s="15" t="n"/>
      <c r="E298" s="16" t="n"/>
      <c r="F298" s="15" t="n"/>
      <c r="G298" s="15" t="n"/>
      <c r="H298" s="15" t="n"/>
      <c r="I298" s="16" t="n"/>
      <c r="J298" s="15" t="n"/>
      <c r="K298" s="15" t="n"/>
    </row>
    <row r="299">
      <c r="A299" s="15" t="n"/>
      <c r="B299" s="15" t="n"/>
      <c r="C299" s="15" t="n"/>
      <c r="D299" s="15" t="n"/>
      <c r="E299" s="16" t="n"/>
      <c r="F299" s="15" t="n"/>
      <c r="G299" s="15" t="n"/>
      <c r="H299" s="15" t="n"/>
      <c r="I299" s="16" t="n"/>
      <c r="J299" s="15" t="n"/>
      <c r="K299" s="15" t="n"/>
    </row>
    <row r="300">
      <c r="A300" s="15" t="n"/>
      <c r="B300" s="15" t="n"/>
      <c r="C300" s="15" t="n"/>
      <c r="D300" s="15" t="n"/>
      <c r="E300" s="16" t="n"/>
      <c r="F300" s="15" t="n"/>
      <c r="G300" s="15" t="n"/>
      <c r="H300" s="15" t="n"/>
      <c r="I300" s="16" t="n"/>
      <c r="J300" s="15" t="n"/>
      <c r="K300" s="15" t="n"/>
    </row>
    <row r="301">
      <c r="A301" s="15" t="n"/>
      <c r="B301" s="15" t="n"/>
      <c r="C301" s="15" t="n"/>
      <c r="D301" s="15" t="n"/>
      <c r="E301" s="16" t="n"/>
      <c r="F301" s="15" t="n"/>
      <c r="G301" s="15" t="n"/>
      <c r="H301" s="15" t="n"/>
      <c r="I301" s="16" t="n"/>
      <c r="J301" s="15" t="n"/>
      <c r="K301" s="15" t="n"/>
    </row>
    <row r="302">
      <c r="A302" s="15" t="n"/>
      <c r="B302" s="15" t="n"/>
      <c r="C302" s="15" t="n"/>
      <c r="D302" s="15" t="n"/>
      <c r="E302" s="16" t="n"/>
      <c r="F302" s="15" t="n"/>
      <c r="G302" s="15" t="n"/>
      <c r="H302" s="15" t="n"/>
      <c r="I302" s="16" t="n"/>
      <c r="J302" s="15" t="n"/>
      <c r="K302" s="15" t="n"/>
    </row>
    <row r="303">
      <c r="A303" s="15" t="n"/>
      <c r="B303" s="15" t="n"/>
      <c r="C303" s="15" t="n"/>
      <c r="D303" s="15" t="n"/>
      <c r="E303" s="16" t="n"/>
      <c r="F303" s="15" t="n"/>
      <c r="G303" s="15" t="n"/>
      <c r="H303" s="15" t="n"/>
      <c r="I303" s="16" t="n"/>
      <c r="J303" s="15" t="n"/>
      <c r="K303" s="15" t="n"/>
    </row>
    <row r="304">
      <c r="A304" s="15" t="n"/>
      <c r="B304" s="15" t="n"/>
      <c r="C304" s="15" t="n"/>
      <c r="D304" s="15" t="n"/>
      <c r="E304" s="16" t="n"/>
      <c r="F304" s="15" t="n"/>
      <c r="G304" s="15" t="n"/>
      <c r="H304" s="15" t="n"/>
      <c r="I304" s="16" t="n"/>
      <c r="J304" s="15" t="n"/>
      <c r="K304" s="15" t="n"/>
    </row>
    <row r="305">
      <c r="A305" s="15" t="n"/>
      <c r="B305" s="15" t="n"/>
      <c r="C305" s="15" t="n"/>
      <c r="D305" s="15" t="n"/>
      <c r="E305" s="16" t="n"/>
      <c r="F305" s="15" t="n"/>
      <c r="G305" s="15" t="n"/>
      <c r="H305" s="15" t="n"/>
      <c r="I305" s="16" t="n"/>
      <c r="J305" s="15" t="n"/>
      <c r="K305" s="15" t="n"/>
    </row>
    <row r="306">
      <c r="A306" s="15" t="n"/>
      <c r="B306" s="15" t="n"/>
      <c r="C306" s="15" t="n"/>
      <c r="D306" s="15" t="n"/>
      <c r="E306" s="16" t="n"/>
      <c r="F306" s="15" t="n"/>
      <c r="G306" s="15" t="n"/>
      <c r="H306" s="15" t="n"/>
      <c r="I306" s="16" t="n"/>
      <c r="J306" s="15" t="n"/>
      <c r="K306" s="15" t="n"/>
    </row>
    <row r="307">
      <c r="A307" s="15" t="n"/>
      <c r="B307" s="15" t="n"/>
      <c r="C307" s="15" t="n"/>
      <c r="D307" s="15" t="n"/>
      <c r="E307" s="16" t="n"/>
      <c r="F307" s="15" t="n"/>
      <c r="G307" s="15" t="n"/>
      <c r="H307" s="15" t="n"/>
      <c r="I307" s="16" t="n"/>
      <c r="J307" s="15" t="n"/>
      <c r="K307" s="15" t="n"/>
    </row>
    <row r="308">
      <c r="A308" s="15" t="n"/>
      <c r="B308" s="15" t="n"/>
      <c r="C308" s="15" t="n"/>
      <c r="D308" s="15" t="n"/>
      <c r="E308" s="16" t="n"/>
      <c r="F308" s="15" t="n"/>
      <c r="G308" s="15" t="n"/>
      <c r="H308" s="15" t="n"/>
      <c r="I308" s="16" t="n"/>
      <c r="J308" s="15" t="n"/>
      <c r="K308" s="15" t="n"/>
    </row>
    <row r="309">
      <c r="A309" s="15" t="n"/>
      <c r="B309" s="15" t="n"/>
      <c r="C309" s="15" t="n"/>
      <c r="D309" s="15" t="n"/>
      <c r="E309" s="16" t="n"/>
      <c r="F309" s="15" t="n"/>
      <c r="G309" s="15" t="n"/>
      <c r="H309" s="15" t="n"/>
      <c r="I309" s="16" t="n"/>
      <c r="J309" s="15" t="n"/>
      <c r="K309" s="15" t="n"/>
    </row>
    <row r="310">
      <c r="A310" s="15" t="n"/>
      <c r="B310" s="15" t="n"/>
      <c r="C310" s="15" t="n"/>
      <c r="D310" s="15" t="n"/>
      <c r="E310" s="16" t="n"/>
      <c r="F310" s="15" t="n"/>
      <c r="G310" s="15" t="n"/>
      <c r="H310" s="15" t="n"/>
      <c r="I310" s="16" t="n"/>
      <c r="J310" s="15" t="n"/>
      <c r="K310" s="15" t="n"/>
    </row>
    <row r="311">
      <c r="A311" s="15" t="n"/>
      <c r="B311" s="15" t="n"/>
      <c r="C311" s="15" t="n"/>
      <c r="D311" s="15" t="n"/>
      <c r="E311" s="16" t="n"/>
      <c r="F311" s="15" t="n"/>
      <c r="G311" s="15" t="n"/>
      <c r="H311" s="15" t="n"/>
      <c r="I311" s="16" t="n"/>
      <c r="J311" s="15" t="n"/>
      <c r="K311" s="15" t="n"/>
    </row>
    <row r="312">
      <c r="A312" s="15" t="n"/>
      <c r="B312" s="15" t="n"/>
      <c r="C312" s="15" t="n"/>
      <c r="D312" s="15" t="n"/>
      <c r="E312" s="16" t="n"/>
      <c r="F312" s="15" t="n"/>
      <c r="G312" s="15" t="n"/>
      <c r="H312" s="15" t="n"/>
      <c r="I312" s="16" t="n"/>
      <c r="J312" s="15" t="n"/>
      <c r="K312" s="15" t="n"/>
    </row>
    <row r="313">
      <c r="A313" s="15" t="n"/>
      <c r="B313" s="15" t="n"/>
      <c r="C313" s="15" t="n"/>
      <c r="D313" s="15" t="n"/>
      <c r="E313" s="16" t="n"/>
      <c r="F313" s="15" t="n"/>
      <c r="G313" s="15" t="n"/>
      <c r="H313" s="15" t="n"/>
      <c r="I313" s="16" t="n"/>
      <c r="J313" s="15" t="n"/>
      <c r="K313" s="15" t="n"/>
    </row>
    <row r="314">
      <c r="A314" s="15" t="n"/>
      <c r="B314" s="15" t="n"/>
      <c r="C314" s="15" t="n"/>
      <c r="D314" s="15" t="n"/>
      <c r="E314" s="16" t="n"/>
      <c r="F314" s="15" t="n"/>
      <c r="G314" s="15" t="n"/>
      <c r="H314" s="15" t="n"/>
      <c r="I314" s="16" t="n"/>
      <c r="J314" s="15" t="n"/>
      <c r="K314" s="15" t="n"/>
    </row>
    <row r="315">
      <c r="A315" s="15" t="n"/>
      <c r="B315" s="15" t="n"/>
      <c r="C315" s="15" t="n"/>
      <c r="D315" s="15" t="n"/>
      <c r="E315" s="16" t="n"/>
      <c r="F315" s="15" t="n"/>
      <c r="G315" s="15" t="n"/>
      <c r="H315" s="15" t="n"/>
      <c r="I315" s="16" t="n"/>
      <c r="J315" s="15" t="n"/>
      <c r="K315" s="15" t="n"/>
    </row>
    <row r="316">
      <c r="A316" s="15" t="n"/>
      <c r="B316" s="15" t="n"/>
      <c r="C316" s="15" t="n"/>
      <c r="D316" s="15" t="n"/>
      <c r="E316" s="16" t="n"/>
      <c r="F316" s="15" t="n"/>
      <c r="G316" s="15" t="n"/>
      <c r="H316" s="15" t="n"/>
      <c r="I316" s="16" t="n"/>
      <c r="J316" s="15" t="n"/>
      <c r="K316" s="15" t="n"/>
    </row>
    <row r="317">
      <c r="A317" s="15" t="n"/>
      <c r="B317" s="15" t="n"/>
      <c r="C317" s="15" t="n"/>
      <c r="D317" s="15" t="n"/>
      <c r="E317" s="16" t="n"/>
      <c r="F317" s="15" t="n"/>
      <c r="G317" s="15" t="n"/>
      <c r="H317" s="15" t="n"/>
      <c r="I317" s="16" t="n"/>
      <c r="J317" s="15" t="n"/>
      <c r="K317" s="15" t="n"/>
    </row>
    <row r="318">
      <c r="A318" s="15" t="n"/>
      <c r="B318" s="15" t="n"/>
      <c r="C318" s="15" t="n"/>
      <c r="D318" s="15" t="n"/>
      <c r="E318" s="16" t="n"/>
      <c r="F318" s="15" t="n"/>
      <c r="G318" s="15" t="n"/>
      <c r="H318" s="15" t="n"/>
      <c r="I318" s="16" t="n"/>
      <c r="J318" s="15" t="n"/>
      <c r="K318" s="15" t="n"/>
    </row>
    <row r="319">
      <c r="A319" s="15" t="n"/>
      <c r="B319" s="15" t="n"/>
      <c r="C319" s="15" t="n"/>
      <c r="D319" s="15" t="n"/>
      <c r="E319" s="16" t="n"/>
      <c r="F319" s="15" t="n"/>
      <c r="G319" s="15" t="n"/>
      <c r="H319" s="15" t="n"/>
      <c r="I319" s="16" t="n"/>
      <c r="J319" s="15" t="n"/>
      <c r="K319" s="15" t="n"/>
    </row>
    <row r="320">
      <c r="A320" s="15" t="n"/>
      <c r="B320" s="15" t="n"/>
      <c r="C320" s="15" t="n"/>
      <c r="D320" s="15" t="n"/>
      <c r="E320" s="16" t="n"/>
      <c r="F320" s="15" t="n"/>
      <c r="G320" s="15" t="n"/>
      <c r="H320" s="15" t="n"/>
      <c r="I320" s="16" t="n"/>
      <c r="J320" s="15" t="n"/>
      <c r="K320" s="15" t="n"/>
    </row>
    <row r="321">
      <c r="A321" s="15" t="n"/>
      <c r="B321" s="15" t="n"/>
      <c r="C321" s="15" t="n"/>
      <c r="D321" s="15" t="n"/>
      <c r="E321" s="16" t="n"/>
      <c r="F321" s="15" t="n"/>
      <c r="G321" s="15" t="n"/>
      <c r="H321" s="15" t="n"/>
      <c r="I321" s="16" t="n"/>
      <c r="J321" s="15" t="n"/>
      <c r="K321" s="15" t="n"/>
    </row>
    <row r="322">
      <c r="A322" s="15" t="n"/>
      <c r="B322" s="15" t="n"/>
      <c r="C322" s="15" t="n"/>
      <c r="D322" s="15" t="n"/>
      <c r="E322" s="16" t="n"/>
      <c r="F322" s="15" t="n"/>
      <c r="G322" s="15" t="n"/>
      <c r="H322" s="15" t="n"/>
      <c r="I322" s="16" t="n"/>
      <c r="J322" s="15" t="n"/>
      <c r="K322" s="15" t="n"/>
    </row>
    <row r="323">
      <c r="A323" s="15" t="n"/>
      <c r="B323" s="15" t="n"/>
      <c r="C323" s="15" t="n"/>
      <c r="D323" s="15" t="n"/>
      <c r="E323" s="16" t="n"/>
      <c r="F323" s="15" t="n"/>
      <c r="G323" s="15" t="n"/>
      <c r="H323" s="15" t="n"/>
      <c r="I323" s="16" t="n"/>
      <c r="J323" s="15" t="n"/>
      <c r="K323" s="15" t="n"/>
    </row>
    <row r="324">
      <c r="A324" s="15" t="n"/>
      <c r="B324" s="15" t="n"/>
      <c r="C324" s="15" t="n"/>
      <c r="D324" s="15" t="n"/>
      <c r="E324" s="16" t="n"/>
      <c r="F324" s="15" t="n"/>
      <c r="G324" s="15" t="n"/>
      <c r="H324" s="15" t="n"/>
      <c r="I324" s="16" t="n"/>
      <c r="J324" s="15" t="n"/>
      <c r="K324" s="15" t="n"/>
    </row>
    <row r="325">
      <c r="A325" s="15" t="n"/>
      <c r="B325" s="15" t="n"/>
      <c r="C325" s="15" t="n"/>
      <c r="D325" s="15" t="n"/>
      <c r="E325" s="16" t="n"/>
      <c r="F325" s="15" t="n"/>
      <c r="G325" s="15" t="n"/>
      <c r="H325" s="15" t="n"/>
      <c r="I325" s="16" t="n"/>
      <c r="J325" s="15" t="n"/>
      <c r="K325" s="15" t="n"/>
    </row>
    <row r="326">
      <c r="A326" s="15" t="n"/>
      <c r="B326" s="15" t="n"/>
      <c r="C326" s="15" t="n"/>
      <c r="D326" s="15" t="n"/>
      <c r="E326" s="16" t="n"/>
      <c r="F326" s="15" t="n"/>
      <c r="G326" s="15" t="n"/>
      <c r="H326" s="15" t="n"/>
      <c r="I326" s="16" t="n"/>
      <c r="J326" s="15" t="n"/>
      <c r="K326" s="15" t="n"/>
    </row>
    <row r="327">
      <c r="A327" s="15" t="n"/>
      <c r="B327" s="15" t="n"/>
      <c r="C327" s="15" t="n"/>
      <c r="D327" s="15" t="n"/>
      <c r="E327" s="16" t="n"/>
      <c r="F327" s="15" t="n"/>
      <c r="G327" s="15" t="n"/>
      <c r="H327" s="15" t="n"/>
      <c r="I327" s="16" t="n"/>
      <c r="J327" s="15" t="n"/>
      <c r="K327" s="15" t="n"/>
    </row>
    <row r="328">
      <c r="A328" s="15" t="n"/>
      <c r="B328" s="15" t="n"/>
      <c r="C328" s="15" t="n"/>
      <c r="D328" s="15" t="n"/>
      <c r="E328" s="16" t="n"/>
      <c r="F328" s="15" t="n"/>
      <c r="G328" s="15" t="n"/>
      <c r="H328" s="15" t="n"/>
      <c r="I328" s="16" t="n"/>
      <c r="J328" s="15" t="n"/>
      <c r="K328" s="15" t="n"/>
    </row>
    <row r="329">
      <c r="A329" s="15" t="n"/>
      <c r="B329" s="15" t="n"/>
      <c r="C329" s="15" t="n"/>
      <c r="D329" s="15" t="n"/>
      <c r="E329" s="16" t="n"/>
      <c r="F329" s="15" t="n"/>
      <c r="G329" s="15" t="n"/>
      <c r="H329" s="15" t="n"/>
      <c r="I329" s="16" t="n"/>
      <c r="J329" s="15" t="n"/>
      <c r="K329" s="15" t="n"/>
    </row>
    <row r="330">
      <c r="A330" s="15" t="n"/>
      <c r="B330" s="15" t="n"/>
      <c r="C330" s="15" t="n"/>
      <c r="D330" s="15" t="n"/>
      <c r="E330" s="16" t="n"/>
      <c r="F330" s="15" t="n"/>
      <c r="G330" s="15" t="n"/>
      <c r="H330" s="15" t="n"/>
      <c r="I330" s="16" t="n"/>
      <c r="J330" s="15" t="n"/>
      <c r="K330" s="15" t="n"/>
    </row>
    <row r="331">
      <c r="A331" s="15" t="n"/>
      <c r="B331" s="15" t="n"/>
      <c r="C331" s="15" t="n"/>
      <c r="D331" s="15" t="n"/>
      <c r="E331" s="16" t="n"/>
      <c r="F331" s="15" t="n"/>
      <c r="G331" s="15" t="n"/>
      <c r="H331" s="15" t="n"/>
      <c r="I331" s="16" t="n"/>
      <c r="J331" s="15" t="n"/>
      <c r="K331" s="15" t="n"/>
    </row>
    <row r="332">
      <c r="A332" s="15" t="n"/>
      <c r="B332" s="15" t="n"/>
      <c r="C332" s="15" t="n"/>
      <c r="D332" s="15" t="n"/>
      <c r="E332" s="16" t="n"/>
      <c r="F332" s="15" t="n"/>
      <c r="G332" s="15" t="n"/>
      <c r="H332" s="15" t="n"/>
      <c r="I332" s="16" t="n"/>
      <c r="J332" s="15" t="n"/>
      <c r="K332" s="15" t="n"/>
    </row>
    <row r="333">
      <c r="A333" s="15" t="n"/>
      <c r="B333" s="15" t="n"/>
      <c r="C333" s="15" t="n"/>
      <c r="D333" s="15" t="n"/>
      <c r="E333" s="16" t="n"/>
      <c r="F333" s="15" t="n"/>
      <c r="G333" s="15" t="n"/>
      <c r="H333" s="15" t="n"/>
      <c r="I333" s="16" t="n"/>
      <c r="J333" s="15" t="n"/>
      <c r="K333" s="15" t="n"/>
    </row>
    <row r="334">
      <c r="A334" s="15" t="n"/>
      <c r="B334" s="15" t="n"/>
      <c r="C334" s="15" t="n"/>
      <c r="D334" s="15" t="n"/>
      <c r="E334" s="16" t="n"/>
      <c r="F334" s="15" t="n"/>
      <c r="G334" s="15" t="n"/>
      <c r="H334" s="15" t="n"/>
      <c r="I334" s="16" t="n"/>
      <c r="J334" s="15" t="n"/>
      <c r="K334" s="15" t="n"/>
    </row>
    <row r="335">
      <c r="A335" s="15" t="n"/>
      <c r="B335" s="15" t="n"/>
      <c r="C335" s="15" t="n"/>
      <c r="D335" s="15" t="n"/>
      <c r="E335" s="16" t="n"/>
      <c r="F335" s="15" t="n"/>
      <c r="G335" s="15" t="n"/>
      <c r="H335" s="15" t="n"/>
      <c r="I335" s="16" t="n"/>
      <c r="J335" s="15" t="n"/>
      <c r="K335" s="15" t="n"/>
    </row>
    <row r="336">
      <c r="A336" s="15" t="n"/>
      <c r="B336" s="15" t="n"/>
      <c r="C336" s="15" t="n"/>
      <c r="D336" s="15" t="n"/>
      <c r="E336" s="16" t="n"/>
      <c r="F336" s="15" t="n"/>
      <c r="G336" s="15" t="n"/>
      <c r="H336" s="15" t="n"/>
      <c r="I336" s="16" t="n"/>
      <c r="J336" s="15" t="n"/>
      <c r="K336" s="15" t="n"/>
    </row>
    <row r="337">
      <c r="A337" s="15" t="n"/>
      <c r="B337" s="15" t="n"/>
      <c r="C337" s="15" t="n"/>
      <c r="D337" s="15" t="n"/>
      <c r="E337" s="16" t="n"/>
      <c r="F337" s="15" t="n"/>
      <c r="G337" s="15" t="n"/>
      <c r="H337" s="15" t="n"/>
      <c r="I337" s="16" t="n"/>
      <c r="J337" s="15" t="n"/>
      <c r="K337" s="15" t="n"/>
    </row>
    <row r="338">
      <c r="A338" s="15" t="n"/>
      <c r="B338" s="15" t="n"/>
      <c r="C338" s="15" t="n"/>
      <c r="D338" s="15" t="n"/>
      <c r="E338" s="16" t="n"/>
      <c r="F338" s="15" t="n"/>
      <c r="G338" s="15" t="n"/>
      <c r="H338" s="15" t="n"/>
      <c r="I338" s="16" t="n"/>
      <c r="J338" s="15" t="n"/>
      <c r="K338" s="15" t="n"/>
    </row>
    <row r="339">
      <c r="A339" s="15" t="n"/>
      <c r="B339" s="15" t="n"/>
      <c r="C339" s="15" t="n"/>
      <c r="D339" s="15" t="n"/>
      <c r="E339" s="16" t="n"/>
      <c r="F339" s="15" t="n"/>
      <c r="G339" s="15" t="n"/>
      <c r="H339" s="15" t="n"/>
      <c r="I339" s="16" t="n"/>
      <c r="J339" s="15" t="n"/>
      <c r="K339" s="15" t="n"/>
    </row>
    <row r="340">
      <c r="A340" s="15" t="n"/>
      <c r="B340" s="15" t="n"/>
      <c r="C340" s="15" t="n"/>
      <c r="D340" s="15" t="n"/>
      <c r="E340" s="16" t="n"/>
      <c r="F340" s="15" t="n"/>
      <c r="G340" s="15" t="n"/>
      <c r="H340" s="15" t="n"/>
      <c r="I340" s="16" t="n"/>
      <c r="J340" s="15" t="n"/>
      <c r="K340" s="15" t="n"/>
    </row>
    <row r="341">
      <c r="A341" s="15" t="n"/>
      <c r="B341" s="15" t="n"/>
      <c r="C341" s="15" t="n"/>
      <c r="D341" s="15" t="n"/>
      <c r="E341" s="16" t="n"/>
      <c r="F341" s="15" t="n"/>
      <c r="G341" s="15" t="n"/>
      <c r="H341" s="15" t="n"/>
      <c r="I341" s="16" t="n"/>
      <c r="J341" s="15" t="n"/>
      <c r="K341" s="15" t="n"/>
    </row>
    <row r="342">
      <c r="A342" s="15" t="n"/>
      <c r="B342" s="15" t="n"/>
      <c r="C342" s="15" t="n"/>
      <c r="D342" s="15" t="n"/>
      <c r="E342" s="16" t="n"/>
      <c r="F342" s="15" t="n"/>
      <c r="G342" s="15" t="n"/>
      <c r="H342" s="15" t="n"/>
      <c r="I342" s="16" t="n"/>
      <c r="J342" s="15" t="n"/>
      <c r="K342" s="15" t="n"/>
    </row>
    <row r="343">
      <c r="A343" s="15" t="n"/>
      <c r="B343" s="15" t="n"/>
      <c r="C343" s="15" t="n"/>
      <c r="D343" s="15" t="n"/>
      <c r="E343" s="16" t="n"/>
      <c r="F343" s="15" t="n"/>
      <c r="G343" s="15" t="n"/>
      <c r="H343" s="15" t="n"/>
      <c r="I343" s="16" t="n"/>
      <c r="J343" s="15" t="n"/>
      <c r="K343" s="15" t="n"/>
    </row>
    <row r="344">
      <c r="A344" s="15" t="n"/>
      <c r="B344" s="15" t="n"/>
      <c r="C344" s="15" t="n"/>
      <c r="D344" s="15" t="n"/>
      <c r="E344" s="16" t="n"/>
      <c r="F344" s="15" t="n"/>
      <c r="G344" s="15" t="n"/>
      <c r="H344" s="15" t="n"/>
      <c r="I344" s="16" t="n"/>
      <c r="J344" s="15" t="n"/>
      <c r="K344" s="15" t="n"/>
    </row>
    <row r="345">
      <c r="A345" s="15" t="n"/>
      <c r="B345" s="15" t="n"/>
      <c r="C345" s="15" t="n"/>
      <c r="D345" s="15" t="n"/>
      <c r="E345" s="16" t="n"/>
      <c r="F345" s="15" t="n"/>
      <c r="G345" s="15" t="n"/>
      <c r="H345" s="15" t="n"/>
      <c r="I345" s="16" t="n"/>
      <c r="J345" s="15" t="n"/>
      <c r="K345" s="15" t="n"/>
    </row>
    <row r="346">
      <c r="A346" s="15" t="n"/>
      <c r="B346" s="15" t="n"/>
      <c r="C346" s="15" t="n"/>
      <c r="D346" s="15" t="n"/>
      <c r="E346" s="16" t="n"/>
      <c r="F346" s="15" t="n"/>
      <c r="G346" s="15" t="n"/>
      <c r="H346" s="15" t="n"/>
      <c r="I346" s="16" t="n"/>
      <c r="J346" s="15" t="n"/>
      <c r="K346" s="15" t="n"/>
    </row>
    <row r="347">
      <c r="A347" s="15" t="n"/>
      <c r="B347" s="15" t="n"/>
      <c r="C347" s="15" t="n"/>
      <c r="D347" s="15" t="n"/>
      <c r="E347" s="16" t="n"/>
      <c r="F347" s="15" t="n"/>
      <c r="G347" s="15" t="n"/>
      <c r="H347" s="15" t="n"/>
      <c r="I347" s="16" t="n"/>
      <c r="J347" s="15" t="n"/>
      <c r="K347" s="15" t="n"/>
    </row>
    <row r="348">
      <c r="A348" s="15" t="n"/>
      <c r="B348" s="15" t="n"/>
      <c r="C348" s="15" t="n"/>
      <c r="D348" s="15" t="n"/>
      <c r="E348" s="16" t="n"/>
      <c r="F348" s="15" t="n"/>
      <c r="G348" s="15" t="n"/>
      <c r="H348" s="15" t="n"/>
      <c r="I348" s="16" t="n"/>
      <c r="J348" s="15" t="n"/>
      <c r="K348" s="15" t="n"/>
    </row>
    <row r="349">
      <c r="A349" s="15" t="n"/>
      <c r="B349" s="15" t="n"/>
      <c r="C349" s="15" t="n"/>
      <c r="D349" s="15" t="n"/>
      <c r="E349" s="16" t="n"/>
      <c r="F349" s="15" t="n"/>
      <c r="G349" s="15" t="n"/>
      <c r="H349" s="15" t="n"/>
      <c r="I349" s="16" t="n"/>
      <c r="J349" s="15" t="n"/>
      <c r="K349" s="15" t="n"/>
    </row>
    <row r="350">
      <c r="A350" s="15" t="n"/>
      <c r="B350" s="15" t="n"/>
      <c r="C350" s="15" t="n"/>
      <c r="D350" s="15" t="n"/>
      <c r="E350" s="16" t="n"/>
      <c r="F350" s="15" t="n"/>
      <c r="G350" s="15" t="n"/>
      <c r="H350" s="15" t="n"/>
      <c r="I350" s="16" t="n"/>
      <c r="J350" s="15" t="n"/>
      <c r="K350" s="15" t="n"/>
    </row>
    <row r="351">
      <c r="E351" s="27" t="n"/>
      <c r="I351" s="27" t="n"/>
    </row>
    <row r="352">
      <c r="E352" s="27" t="n"/>
      <c r="I352" s="27" t="n"/>
    </row>
    <row r="353">
      <c r="E353" s="27" t="n"/>
      <c r="I353" s="27" t="n"/>
    </row>
    <row r="354">
      <c r="E354" s="27" t="n"/>
      <c r="I354" s="27" t="n"/>
    </row>
    <row r="355">
      <c r="E355" s="27" t="n"/>
      <c r="I355" s="27" t="n"/>
    </row>
    <row r="356">
      <c r="E356" s="27" t="n"/>
      <c r="I356" s="27" t="n"/>
    </row>
    <row r="357">
      <c r="E357" s="27" t="n"/>
      <c r="I357" s="27" t="n"/>
    </row>
    <row r="358">
      <c r="E358" s="27" t="n"/>
      <c r="I358" s="27" t="n"/>
    </row>
    <row r="359">
      <c r="E359" s="27" t="n"/>
      <c r="I359" s="27" t="n"/>
    </row>
    <row r="360">
      <c r="E360" s="27" t="n"/>
      <c r="I360" s="27" t="n"/>
    </row>
    <row r="361">
      <c r="E361" s="27" t="n"/>
      <c r="I361" s="27" t="n"/>
    </row>
    <row r="362">
      <c r="E362" s="27" t="n"/>
      <c r="I362" s="27" t="n"/>
    </row>
    <row r="363">
      <c r="E363" s="27" t="n"/>
      <c r="I363" s="27" t="n"/>
    </row>
    <row r="364">
      <c r="E364" s="27" t="n"/>
      <c r="I364" s="27" t="n"/>
    </row>
    <row r="365">
      <c r="E365" s="27" t="n"/>
      <c r="I365" s="27" t="n"/>
    </row>
    <row r="366">
      <c r="E366" s="27" t="n"/>
      <c r="I366" s="27" t="n"/>
    </row>
    <row r="367">
      <c r="E367" s="27" t="n"/>
      <c r="I367" s="27" t="n"/>
    </row>
    <row r="368">
      <c r="E368" s="27" t="n"/>
      <c r="I368" s="27" t="n"/>
    </row>
    <row r="369">
      <c r="E369" s="27" t="n"/>
      <c r="I369" s="27" t="n"/>
    </row>
    <row r="370">
      <c r="E370" s="27" t="n"/>
      <c r="I370" s="27" t="n"/>
    </row>
    <row r="371">
      <c r="E371" s="27" t="n"/>
      <c r="I371" s="27" t="n"/>
    </row>
    <row r="372">
      <c r="E372" s="27" t="n"/>
      <c r="I372" s="27" t="n"/>
    </row>
    <row r="373">
      <c r="E373" s="27" t="n"/>
      <c r="I373" s="27" t="n"/>
    </row>
    <row r="374">
      <c r="E374" s="27" t="n"/>
      <c r="I374" s="27" t="n"/>
    </row>
    <row r="375">
      <c r="E375" s="27" t="n"/>
      <c r="I375" s="27" t="n"/>
    </row>
    <row r="376">
      <c r="E376" s="27" t="n"/>
      <c r="I376" s="27" t="n"/>
    </row>
    <row r="377">
      <c r="E377" s="27" t="n"/>
      <c r="I377" s="27" t="n"/>
    </row>
    <row r="378">
      <c r="E378" s="27" t="n"/>
      <c r="I378" s="27" t="n"/>
    </row>
    <row r="379">
      <c r="E379" s="27" t="n"/>
      <c r="I379" s="27" t="n"/>
    </row>
    <row r="380">
      <c r="E380" s="27" t="n"/>
      <c r="I380" s="27" t="n"/>
    </row>
    <row r="381">
      <c r="E381" s="27" t="n"/>
      <c r="I381" s="27" t="n"/>
    </row>
    <row r="382">
      <c r="E382" s="27" t="n"/>
      <c r="I382" s="27" t="n"/>
    </row>
    <row r="383">
      <c r="E383" s="27" t="n"/>
      <c r="I383" s="27" t="n"/>
    </row>
    <row r="384">
      <c r="E384" s="27" t="n"/>
      <c r="I384" s="27" t="n"/>
    </row>
    <row r="385">
      <c r="E385" s="27" t="n"/>
      <c r="I385" s="27" t="n"/>
    </row>
    <row r="386">
      <c r="E386" s="27" t="n"/>
      <c r="I386" s="27" t="n"/>
    </row>
    <row r="387">
      <c r="E387" s="27" t="n"/>
      <c r="I387" s="27" t="n"/>
    </row>
    <row r="388">
      <c r="E388" s="27" t="n"/>
      <c r="I388" s="27" t="n"/>
    </row>
    <row r="389">
      <c r="E389" s="27" t="n"/>
      <c r="I389" s="27" t="n"/>
    </row>
    <row r="390">
      <c r="E390" s="27" t="n"/>
      <c r="I390" s="27" t="n"/>
    </row>
    <row r="391">
      <c r="E391" s="27" t="n"/>
      <c r="I391" s="27" t="n"/>
    </row>
    <row r="392">
      <c r="E392" s="27" t="n"/>
      <c r="I392" s="27" t="n"/>
    </row>
    <row r="393">
      <c r="E393" s="27" t="n"/>
      <c r="I393" s="27" t="n"/>
    </row>
    <row r="394">
      <c r="E394" s="27" t="n"/>
      <c r="I394" s="27" t="n"/>
    </row>
    <row r="395">
      <c r="E395" s="27" t="n"/>
      <c r="I395" s="27" t="n"/>
    </row>
    <row r="396">
      <c r="E396" s="27" t="n"/>
      <c r="I396" s="27" t="n"/>
    </row>
    <row r="397">
      <c r="E397" s="27" t="n"/>
      <c r="I397" s="27" t="n"/>
    </row>
    <row r="398">
      <c r="E398" s="27" t="n"/>
      <c r="I398" s="27" t="n"/>
    </row>
    <row r="399">
      <c r="E399" s="27" t="n"/>
      <c r="I399" s="27" t="n"/>
    </row>
    <row r="400">
      <c r="E400" s="27" t="n"/>
      <c r="I400" s="27" t="n"/>
    </row>
    <row r="401">
      <c r="E401" s="27" t="n"/>
      <c r="I401" s="27" t="n"/>
    </row>
    <row r="402">
      <c r="E402" s="27" t="n"/>
      <c r="I402" s="27" t="n"/>
    </row>
    <row r="403">
      <c r="E403" s="27" t="n"/>
      <c r="I403" s="27" t="n"/>
    </row>
    <row r="404">
      <c r="E404" s="27" t="n"/>
      <c r="I404" s="27" t="n"/>
    </row>
    <row r="405">
      <c r="E405" s="27" t="n"/>
      <c r="I405" s="27" t="n"/>
    </row>
    <row r="406">
      <c r="E406" s="27" t="n"/>
      <c r="I406" s="27" t="n"/>
    </row>
    <row r="407">
      <c r="E407" s="27" t="n"/>
      <c r="I407" s="27" t="n"/>
    </row>
    <row r="408">
      <c r="E408" s="27" t="n"/>
      <c r="I408" s="27" t="n"/>
    </row>
    <row r="409">
      <c r="E409" s="27" t="n"/>
      <c r="I409" s="27" t="n"/>
    </row>
    <row r="410">
      <c r="E410" s="27" t="n"/>
      <c r="I410" s="27" t="n"/>
    </row>
    <row r="411">
      <c r="E411" s="27" t="n"/>
      <c r="I411" s="27" t="n"/>
    </row>
    <row r="412">
      <c r="E412" s="27" t="n"/>
      <c r="I412" s="27" t="n"/>
    </row>
    <row r="413">
      <c r="E413" s="27" t="n"/>
      <c r="I413" s="27" t="n"/>
    </row>
    <row r="414">
      <c r="E414" s="27" t="n"/>
      <c r="I414" s="27" t="n"/>
    </row>
    <row r="415">
      <c r="E415" s="27" t="n"/>
      <c r="I415" s="27" t="n"/>
    </row>
    <row r="416">
      <c r="E416" s="27" t="n"/>
      <c r="I416" s="27" t="n"/>
    </row>
    <row r="417">
      <c r="E417" s="27" t="n"/>
      <c r="I417" s="27" t="n"/>
    </row>
    <row r="418">
      <c r="E418" s="27" t="n"/>
      <c r="I418" s="27" t="n"/>
    </row>
    <row r="419">
      <c r="E419" s="27" t="n"/>
      <c r="I419" s="27" t="n"/>
    </row>
    <row r="420">
      <c r="E420" s="27" t="n"/>
      <c r="I420" s="27" t="n"/>
    </row>
    <row r="421">
      <c r="E421" s="27" t="n"/>
      <c r="I421" s="27" t="n"/>
    </row>
    <row r="422">
      <c r="E422" s="27" t="n"/>
      <c r="I422" s="27" t="n"/>
    </row>
    <row r="423">
      <c r="E423" s="27" t="n"/>
      <c r="I423" s="27" t="n"/>
    </row>
    <row r="424">
      <c r="E424" s="27" t="n"/>
      <c r="I424" s="27" t="n"/>
    </row>
    <row r="425">
      <c r="E425" s="27" t="n"/>
      <c r="I425" s="27" t="n"/>
    </row>
    <row r="426">
      <c r="E426" s="27" t="n"/>
      <c r="I426" s="27" t="n"/>
    </row>
    <row r="427">
      <c r="E427" s="27" t="n"/>
      <c r="I427" s="27" t="n"/>
    </row>
    <row r="428">
      <c r="E428" s="27" t="n"/>
      <c r="I428" s="27" t="n"/>
    </row>
    <row r="429">
      <c r="E429" s="27" t="n"/>
      <c r="I429" s="27" t="n"/>
    </row>
    <row r="430">
      <c r="E430" s="27" t="n"/>
      <c r="I430" s="27" t="n"/>
    </row>
    <row r="431">
      <c r="E431" s="27" t="n"/>
      <c r="I431" s="27" t="n"/>
    </row>
    <row r="432">
      <c r="E432" s="27" t="n"/>
      <c r="I432" s="27" t="n"/>
    </row>
    <row r="433">
      <c r="E433" s="27" t="n"/>
      <c r="I433" s="27" t="n"/>
    </row>
    <row r="434">
      <c r="E434" s="27" t="n"/>
      <c r="I434" s="27" t="n"/>
    </row>
    <row r="435">
      <c r="E435" s="27" t="n"/>
      <c r="I435" s="27" t="n"/>
    </row>
    <row r="436">
      <c r="E436" s="27" t="n"/>
      <c r="I436" s="27" t="n"/>
    </row>
    <row r="437">
      <c r="E437" s="27" t="n"/>
      <c r="I437" s="27" t="n"/>
    </row>
    <row r="438">
      <c r="E438" s="27" t="n"/>
      <c r="I438" s="27" t="n"/>
    </row>
    <row r="439">
      <c r="E439" s="27" t="n"/>
      <c r="I439" s="27" t="n"/>
    </row>
    <row r="440">
      <c r="E440" s="27" t="n"/>
      <c r="I440" s="27" t="n"/>
    </row>
    <row r="441">
      <c r="E441" s="27" t="n"/>
      <c r="I441" s="27" t="n"/>
    </row>
    <row r="442">
      <c r="E442" s="27" t="n"/>
      <c r="I442" s="27" t="n"/>
    </row>
    <row r="443">
      <c r="E443" s="27" t="n"/>
      <c r="I443" s="27" t="n"/>
    </row>
    <row r="444">
      <c r="E444" s="27" t="n"/>
      <c r="I444" s="27" t="n"/>
    </row>
    <row r="445">
      <c r="E445" s="27" t="n"/>
      <c r="I445" s="27" t="n"/>
    </row>
    <row r="446">
      <c r="E446" s="27" t="n"/>
      <c r="I446" s="27" t="n"/>
    </row>
    <row r="447">
      <c r="E447" s="27" t="n"/>
      <c r="I447" s="27" t="n"/>
    </row>
    <row r="448">
      <c r="E448" s="27" t="n"/>
      <c r="I448" s="27" t="n"/>
    </row>
    <row r="449">
      <c r="E449" s="27" t="n"/>
      <c r="I449" s="27" t="n"/>
    </row>
    <row r="450">
      <c r="E450" s="27" t="n"/>
      <c r="I450" s="27" t="n"/>
    </row>
    <row r="451">
      <c r="E451" s="27" t="n"/>
      <c r="I451" s="27" t="n"/>
    </row>
    <row r="452">
      <c r="E452" s="27" t="n"/>
      <c r="I452" s="27" t="n"/>
    </row>
    <row r="453">
      <c r="E453" s="27" t="n"/>
      <c r="I453" s="27" t="n"/>
    </row>
    <row r="454">
      <c r="E454" s="27" t="n"/>
      <c r="I454" s="27" t="n"/>
    </row>
    <row r="455">
      <c r="E455" s="27" t="n"/>
      <c r="I455" s="27" t="n"/>
    </row>
    <row r="456">
      <c r="E456" s="27" t="n"/>
      <c r="I456" s="27" t="n"/>
    </row>
    <row r="457">
      <c r="E457" s="27" t="n"/>
      <c r="I457" s="27" t="n"/>
    </row>
    <row r="458">
      <c r="E458" s="27" t="n"/>
      <c r="I458" s="27" t="n"/>
    </row>
    <row r="459">
      <c r="E459" s="27" t="n"/>
      <c r="I459" s="27" t="n"/>
    </row>
    <row r="460">
      <c r="E460" s="27" t="n"/>
      <c r="I460" s="27" t="n"/>
    </row>
    <row r="461">
      <c r="E461" s="27" t="n"/>
      <c r="I461" s="27" t="n"/>
    </row>
    <row r="462">
      <c r="E462" s="27" t="n"/>
      <c r="I462" s="27" t="n"/>
    </row>
    <row r="463">
      <c r="E463" s="27" t="n"/>
      <c r="I463" s="27" t="n"/>
    </row>
    <row r="464">
      <c r="E464" s="27" t="n"/>
      <c r="I464" s="27" t="n"/>
    </row>
    <row r="465">
      <c r="E465" s="27" t="n"/>
      <c r="I465" s="27" t="n"/>
    </row>
    <row r="466">
      <c r="E466" s="27" t="n"/>
      <c r="I466" s="27" t="n"/>
    </row>
    <row r="467">
      <c r="E467" s="27" t="n"/>
      <c r="I467" s="27" t="n"/>
    </row>
    <row r="468">
      <c r="E468" s="27" t="n"/>
      <c r="I468" s="27" t="n"/>
    </row>
    <row r="469">
      <c r="E469" s="27" t="n"/>
      <c r="I469" s="27" t="n"/>
    </row>
    <row r="470">
      <c r="E470" s="27" t="n"/>
      <c r="I470" s="27" t="n"/>
    </row>
    <row r="471">
      <c r="E471" s="27" t="n"/>
      <c r="I471" s="27" t="n"/>
    </row>
    <row r="472">
      <c r="E472" s="27" t="n"/>
      <c r="I472" s="27" t="n"/>
    </row>
    <row r="473">
      <c r="E473" s="27" t="n"/>
      <c r="I473" s="27" t="n"/>
    </row>
    <row r="474">
      <c r="E474" s="27" t="n"/>
      <c r="I474" s="27" t="n"/>
    </row>
    <row r="475">
      <c r="E475" s="27" t="n"/>
      <c r="I475" s="27" t="n"/>
    </row>
    <row r="476">
      <c r="E476" s="27" t="n"/>
      <c r="I476" s="27" t="n"/>
    </row>
    <row r="477">
      <c r="E477" s="27" t="n"/>
      <c r="I477" s="27" t="n"/>
    </row>
    <row r="478">
      <c r="E478" s="27" t="n"/>
      <c r="I478" s="27" t="n"/>
    </row>
    <row r="479">
      <c r="E479" s="27" t="n"/>
      <c r="I479" s="27" t="n"/>
    </row>
    <row r="480">
      <c r="E480" s="27" t="n"/>
      <c r="I480" s="27" t="n"/>
    </row>
    <row r="481">
      <c r="E481" s="27" t="n"/>
      <c r="I481" s="27" t="n"/>
    </row>
    <row r="482">
      <c r="E482" s="27" t="n"/>
      <c r="I482" s="27" t="n"/>
    </row>
    <row r="483">
      <c r="E483" s="27" t="n"/>
      <c r="I483" s="27" t="n"/>
    </row>
    <row r="484">
      <c r="E484" s="27" t="n"/>
      <c r="I484" s="27" t="n"/>
    </row>
    <row r="485">
      <c r="E485" s="27" t="n"/>
      <c r="I485" s="27" t="n"/>
    </row>
    <row r="486">
      <c r="E486" s="27" t="n"/>
      <c r="I486" s="27" t="n"/>
    </row>
    <row r="487">
      <c r="E487" s="27" t="n"/>
      <c r="I487" s="27" t="n"/>
    </row>
    <row r="488">
      <c r="E488" s="27" t="n"/>
      <c r="I488" s="27" t="n"/>
    </row>
    <row r="489">
      <c r="E489" s="27" t="n"/>
      <c r="I489" s="27" t="n"/>
    </row>
    <row r="490">
      <c r="E490" s="27" t="n"/>
      <c r="I490" s="27" t="n"/>
    </row>
    <row r="491">
      <c r="E491" s="27" t="n"/>
      <c r="I491" s="27" t="n"/>
    </row>
    <row r="492">
      <c r="E492" s="27" t="n"/>
      <c r="I492" s="27" t="n"/>
    </row>
    <row r="493">
      <c r="E493" s="27" t="n"/>
      <c r="I493" s="27" t="n"/>
    </row>
    <row r="494">
      <c r="E494" s="27" t="n"/>
      <c r="I494" s="27" t="n"/>
    </row>
    <row r="495">
      <c r="E495" s="27" t="n"/>
      <c r="I495" s="27" t="n"/>
    </row>
    <row r="496">
      <c r="E496" s="27" t="n"/>
      <c r="I496" s="27" t="n"/>
    </row>
    <row r="497">
      <c r="E497" s="27" t="n"/>
      <c r="I497" s="27" t="n"/>
    </row>
    <row r="498">
      <c r="E498" s="27" t="n"/>
      <c r="I498" s="27" t="n"/>
    </row>
    <row r="499">
      <c r="E499" s="27" t="n"/>
      <c r="I499" s="27" t="n"/>
    </row>
    <row r="500">
      <c r="E500" s="27" t="n"/>
      <c r="I500" s="27" t="n"/>
    </row>
    <row r="501">
      <c r="E501" s="27" t="n"/>
      <c r="I501" s="27" t="n"/>
    </row>
    <row r="502">
      <c r="E502" s="27" t="n"/>
      <c r="I502" s="27" t="n"/>
    </row>
    <row r="503">
      <c r="E503" s="27" t="n"/>
      <c r="I503" s="27" t="n"/>
    </row>
    <row r="504">
      <c r="E504" s="27" t="n"/>
      <c r="I504" s="27" t="n"/>
    </row>
    <row r="505">
      <c r="E505" s="27" t="n"/>
      <c r="I505" s="27" t="n"/>
    </row>
    <row r="506">
      <c r="E506" s="27" t="n"/>
      <c r="I506" s="27" t="n"/>
    </row>
    <row r="507">
      <c r="E507" s="27" t="n"/>
      <c r="I507" s="27" t="n"/>
    </row>
    <row r="508">
      <c r="E508" s="27" t="n"/>
      <c r="I508" s="27" t="n"/>
    </row>
    <row r="509">
      <c r="E509" s="27" t="n"/>
      <c r="I509" s="27" t="n"/>
    </row>
    <row r="510">
      <c r="E510" s="27" t="n"/>
      <c r="I510" s="27" t="n"/>
    </row>
    <row r="511">
      <c r="E511" s="27" t="n"/>
      <c r="I511" s="27" t="n"/>
    </row>
    <row r="512">
      <c r="E512" s="27" t="n"/>
      <c r="I512" s="27" t="n"/>
    </row>
    <row r="513">
      <c r="E513" s="27" t="n"/>
      <c r="I513" s="27" t="n"/>
    </row>
    <row r="514">
      <c r="E514" s="27" t="n"/>
      <c r="I514" s="27" t="n"/>
    </row>
    <row r="515">
      <c r="E515" s="27" t="n"/>
      <c r="I515" s="27" t="n"/>
    </row>
    <row r="516">
      <c r="E516" s="27" t="n"/>
      <c r="I516" s="27" t="n"/>
    </row>
    <row r="517">
      <c r="E517" s="27" t="n"/>
      <c r="I517" s="27" t="n"/>
    </row>
    <row r="518">
      <c r="E518" s="27" t="n"/>
      <c r="I518" s="27" t="n"/>
    </row>
    <row r="519">
      <c r="E519" s="27" t="n"/>
      <c r="I519" s="27" t="n"/>
    </row>
    <row r="520">
      <c r="E520" s="27" t="n"/>
      <c r="I520" s="27" t="n"/>
    </row>
    <row r="521">
      <c r="E521" s="27" t="n"/>
      <c r="I521" s="27" t="n"/>
    </row>
    <row r="522">
      <c r="E522" s="27" t="n"/>
      <c r="I522" s="27" t="n"/>
    </row>
    <row r="523">
      <c r="E523" s="27" t="n"/>
      <c r="I523" s="27" t="n"/>
    </row>
    <row r="524">
      <c r="E524" s="27" t="n"/>
      <c r="I524" s="27" t="n"/>
    </row>
    <row r="525">
      <c r="E525" s="27" t="n"/>
      <c r="I525" s="27" t="n"/>
    </row>
    <row r="526">
      <c r="E526" s="27" t="n"/>
      <c r="I526" s="27" t="n"/>
    </row>
    <row r="527">
      <c r="E527" s="27" t="n"/>
      <c r="I527" s="27" t="n"/>
    </row>
    <row r="528">
      <c r="E528" s="27" t="n"/>
      <c r="I528" s="27" t="n"/>
    </row>
    <row r="529">
      <c r="E529" s="27" t="n"/>
      <c r="I529" s="27" t="n"/>
    </row>
    <row r="530">
      <c r="E530" s="27" t="n"/>
      <c r="I530" s="27" t="n"/>
    </row>
    <row r="531">
      <c r="E531" s="27" t="n"/>
      <c r="I531" s="27" t="n"/>
    </row>
    <row r="532">
      <c r="E532" s="27" t="n"/>
      <c r="I532" s="27" t="n"/>
    </row>
    <row r="533">
      <c r="E533" s="27" t="n"/>
      <c r="I533" s="27" t="n"/>
    </row>
    <row r="534">
      <c r="E534" s="27" t="n"/>
      <c r="I534" s="27" t="n"/>
    </row>
    <row r="535">
      <c r="E535" s="27" t="n"/>
      <c r="I535" s="27" t="n"/>
    </row>
    <row r="536">
      <c r="E536" s="27" t="n"/>
      <c r="I536" s="27" t="n"/>
    </row>
    <row r="537">
      <c r="E537" s="27" t="n"/>
      <c r="I537" s="27" t="n"/>
    </row>
    <row r="538">
      <c r="E538" s="27" t="n"/>
      <c r="I538" s="27" t="n"/>
    </row>
    <row r="539">
      <c r="E539" s="27" t="n"/>
      <c r="I539" s="27" t="n"/>
    </row>
    <row r="540">
      <c r="E540" s="27" t="n"/>
      <c r="I540" s="27" t="n"/>
    </row>
    <row r="541">
      <c r="E541" s="27" t="n"/>
      <c r="I541" s="27" t="n"/>
    </row>
    <row r="542">
      <c r="E542" s="27" t="n"/>
      <c r="I542" s="27" t="n"/>
    </row>
    <row r="543">
      <c r="E543" s="27" t="n"/>
      <c r="I543" s="27" t="n"/>
    </row>
    <row r="544">
      <c r="E544" s="27" t="n"/>
      <c r="I544" s="27" t="n"/>
    </row>
    <row r="545">
      <c r="E545" s="27" t="n"/>
      <c r="I545" s="27" t="n"/>
    </row>
    <row r="546">
      <c r="E546" s="27" t="n"/>
      <c r="I546" s="27" t="n"/>
    </row>
    <row r="547">
      <c r="E547" s="27" t="n"/>
      <c r="I547" s="27" t="n"/>
    </row>
    <row r="548">
      <c r="E548" s="27" t="n"/>
      <c r="I548" s="27" t="n"/>
    </row>
    <row r="549">
      <c r="E549" s="27" t="n"/>
      <c r="I549" s="27" t="n"/>
    </row>
    <row r="550">
      <c r="E550" s="27" t="n"/>
      <c r="I550" s="27" t="n"/>
    </row>
    <row r="551">
      <c r="E551" s="27" t="n"/>
      <c r="I551" s="27" t="n"/>
    </row>
    <row r="552">
      <c r="E552" s="27" t="n"/>
      <c r="I552" s="27" t="n"/>
    </row>
    <row r="553">
      <c r="E553" s="27" t="n"/>
      <c r="I553" s="27" t="n"/>
    </row>
    <row r="554">
      <c r="E554" s="27" t="n"/>
      <c r="I554" s="27" t="n"/>
    </row>
    <row r="555">
      <c r="E555" s="27" t="n"/>
      <c r="I555" s="27" t="n"/>
    </row>
    <row r="556">
      <c r="E556" s="27" t="n"/>
      <c r="I556" s="27" t="n"/>
    </row>
    <row r="557">
      <c r="E557" s="27" t="n"/>
      <c r="I557" s="27" t="n"/>
    </row>
    <row r="558">
      <c r="E558" s="27" t="n"/>
      <c r="I558" s="27" t="n"/>
    </row>
    <row r="559">
      <c r="E559" s="27" t="n"/>
      <c r="I559" s="27" t="n"/>
    </row>
    <row r="560">
      <c r="E560" s="27" t="n"/>
      <c r="I560" s="27" t="n"/>
    </row>
    <row r="561">
      <c r="E561" s="27" t="n"/>
      <c r="I561" s="27" t="n"/>
    </row>
    <row r="562">
      <c r="E562" s="27" t="n"/>
      <c r="I562" s="27" t="n"/>
    </row>
    <row r="563">
      <c r="E563" s="27" t="n"/>
      <c r="I563" s="27" t="n"/>
    </row>
    <row r="564">
      <c r="E564" s="27" t="n"/>
      <c r="I564" s="27" t="n"/>
    </row>
    <row r="565">
      <c r="E565" s="27" t="n"/>
      <c r="I565" s="27" t="n"/>
    </row>
    <row r="566">
      <c r="E566" s="27" t="n"/>
      <c r="I566" s="27" t="n"/>
    </row>
    <row r="567">
      <c r="E567" s="27" t="n"/>
      <c r="I567" s="27" t="n"/>
    </row>
    <row r="568">
      <c r="E568" s="27" t="n"/>
      <c r="I568" s="27" t="n"/>
    </row>
    <row r="569">
      <c r="E569" s="27" t="n"/>
      <c r="I569" s="27" t="n"/>
    </row>
    <row r="570">
      <c r="E570" s="27" t="n"/>
      <c r="I570" s="27" t="n"/>
    </row>
    <row r="571">
      <c r="E571" s="27" t="n"/>
      <c r="I571" s="27" t="n"/>
    </row>
    <row r="572">
      <c r="E572" s="27" t="n"/>
      <c r="I572" s="27" t="n"/>
    </row>
    <row r="573">
      <c r="E573" s="27" t="n"/>
      <c r="I573" s="27" t="n"/>
    </row>
    <row r="574">
      <c r="E574" s="27" t="n"/>
      <c r="I574" s="27" t="n"/>
    </row>
    <row r="575">
      <c r="E575" s="27" t="n"/>
      <c r="I575" s="27" t="n"/>
    </row>
    <row r="576">
      <c r="E576" s="27" t="n"/>
      <c r="I576" s="27" t="n"/>
    </row>
    <row r="577">
      <c r="E577" s="27" t="n"/>
      <c r="I577" s="27" t="n"/>
    </row>
    <row r="578">
      <c r="E578" s="27" t="n"/>
      <c r="I578" s="27" t="n"/>
    </row>
    <row r="579">
      <c r="E579" s="27" t="n"/>
      <c r="I579" s="27" t="n"/>
    </row>
    <row r="580">
      <c r="E580" s="27" t="n"/>
      <c r="I580" s="27" t="n"/>
    </row>
    <row r="581">
      <c r="E581" s="27" t="n"/>
      <c r="I581" s="27" t="n"/>
    </row>
    <row r="582">
      <c r="E582" s="27" t="n"/>
      <c r="I582" s="27" t="n"/>
    </row>
    <row r="583">
      <c r="E583" s="27" t="n"/>
      <c r="I583" s="27" t="n"/>
    </row>
    <row r="584">
      <c r="E584" s="27" t="n"/>
      <c r="I584" s="27" t="n"/>
    </row>
    <row r="585">
      <c r="E585" s="27" t="n"/>
      <c r="I585" s="27" t="n"/>
    </row>
    <row r="586">
      <c r="E586" s="27" t="n"/>
      <c r="I586" s="27" t="n"/>
    </row>
    <row r="587">
      <c r="E587" s="27" t="n"/>
      <c r="I587" s="27" t="n"/>
    </row>
    <row r="588">
      <c r="E588" s="27" t="n"/>
      <c r="I588" s="27" t="n"/>
    </row>
    <row r="589">
      <c r="E589" s="27" t="n"/>
      <c r="I589" s="27" t="n"/>
    </row>
    <row r="590">
      <c r="E590" s="27" t="n"/>
      <c r="I590" s="27" t="n"/>
    </row>
    <row r="591">
      <c r="E591" s="27" t="n"/>
      <c r="I591" s="27" t="n"/>
    </row>
    <row r="592">
      <c r="E592" s="27" t="n"/>
      <c r="I592" s="27" t="n"/>
    </row>
    <row r="593">
      <c r="E593" s="27" t="n"/>
      <c r="I593" s="27" t="n"/>
    </row>
    <row r="594">
      <c r="E594" s="27" t="n"/>
      <c r="I594" s="27" t="n"/>
    </row>
    <row r="595">
      <c r="E595" s="27" t="n"/>
      <c r="I595" s="27" t="n"/>
    </row>
    <row r="596">
      <c r="E596" s="27" t="n"/>
      <c r="I596" s="27" t="n"/>
    </row>
    <row r="597">
      <c r="E597" s="27" t="n"/>
      <c r="I597" s="27" t="n"/>
    </row>
    <row r="598">
      <c r="E598" s="27" t="n"/>
      <c r="I598" s="27" t="n"/>
    </row>
    <row r="599">
      <c r="E599" s="27" t="n"/>
      <c r="I599" s="27" t="n"/>
    </row>
    <row r="600">
      <c r="E600" s="27" t="n"/>
      <c r="I600" s="27" t="n"/>
    </row>
    <row r="601">
      <c r="E601" s="27" t="n"/>
      <c r="I601" s="27" t="n"/>
    </row>
    <row r="602">
      <c r="E602" s="27" t="n"/>
      <c r="I602" s="27" t="n"/>
    </row>
    <row r="603">
      <c r="E603" s="27" t="n"/>
      <c r="I603" s="27" t="n"/>
    </row>
    <row r="604">
      <c r="E604" s="27" t="n"/>
      <c r="I604" s="27" t="n"/>
    </row>
    <row r="605">
      <c r="E605" s="27" t="n"/>
      <c r="I605" s="27" t="n"/>
    </row>
    <row r="606">
      <c r="E606" s="27" t="n"/>
      <c r="I606" s="27" t="n"/>
    </row>
    <row r="607">
      <c r="E607" s="27" t="n"/>
      <c r="I607" s="27" t="n"/>
    </row>
    <row r="608">
      <c r="E608" s="27" t="n"/>
      <c r="I608" s="27" t="n"/>
    </row>
    <row r="609">
      <c r="E609" s="27" t="n"/>
      <c r="I609" s="27" t="n"/>
    </row>
    <row r="610">
      <c r="E610" s="27" t="n"/>
      <c r="I610" s="27" t="n"/>
    </row>
    <row r="611">
      <c r="E611" s="27" t="n"/>
      <c r="I611" s="27" t="n"/>
    </row>
    <row r="612">
      <c r="E612" s="27" t="n"/>
      <c r="I612" s="27" t="n"/>
    </row>
    <row r="613">
      <c r="E613" s="27" t="n"/>
      <c r="I613" s="27" t="n"/>
    </row>
    <row r="614">
      <c r="E614" s="27" t="n"/>
      <c r="I614" s="27" t="n"/>
    </row>
    <row r="615">
      <c r="E615" s="27" t="n"/>
      <c r="I615" s="27" t="n"/>
    </row>
    <row r="616">
      <c r="E616" s="27" t="n"/>
      <c r="I616" s="27" t="n"/>
    </row>
    <row r="617">
      <c r="E617" s="27" t="n"/>
      <c r="I617" s="27" t="n"/>
    </row>
    <row r="618">
      <c r="E618" s="27" t="n"/>
      <c r="I618" s="27" t="n"/>
    </row>
    <row r="619">
      <c r="E619" s="27" t="n"/>
      <c r="I619" s="27" t="n"/>
    </row>
    <row r="620">
      <c r="E620" s="27" t="n"/>
      <c r="I620" s="27" t="n"/>
    </row>
    <row r="621">
      <c r="E621" s="27" t="n"/>
      <c r="I621" s="27" t="n"/>
    </row>
    <row r="622">
      <c r="E622" s="27" t="n"/>
      <c r="I622" s="27" t="n"/>
    </row>
    <row r="623">
      <c r="E623" s="27" t="n"/>
      <c r="I623" s="27" t="n"/>
    </row>
    <row r="624">
      <c r="E624" s="27" t="n"/>
      <c r="I624" s="27" t="n"/>
    </row>
    <row r="625">
      <c r="E625" s="27" t="n"/>
      <c r="I625" s="27" t="n"/>
    </row>
    <row r="626">
      <c r="E626" s="27" t="n"/>
      <c r="I626" s="27" t="n"/>
    </row>
    <row r="627">
      <c r="E627" s="27" t="n"/>
      <c r="I627" s="27" t="n"/>
    </row>
    <row r="628">
      <c r="E628" s="27" t="n"/>
      <c r="I628" s="27" t="n"/>
    </row>
    <row r="629">
      <c r="E629" s="27" t="n"/>
      <c r="I629" s="27" t="n"/>
    </row>
    <row r="630">
      <c r="E630" s="27" t="n"/>
      <c r="I630" s="27" t="n"/>
    </row>
    <row r="631">
      <c r="E631" s="27" t="n"/>
      <c r="I631" s="27" t="n"/>
    </row>
    <row r="632">
      <c r="E632" s="27" t="n"/>
      <c r="I632" s="27" t="n"/>
    </row>
    <row r="633">
      <c r="E633" s="27" t="n"/>
      <c r="I633" s="27" t="n"/>
    </row>
    <row r="634">
      <c r="E634" s="27" t="n"/>
      <c r="I634" s="27" t="n"/>
    </row>
    <row r="635">
      <c r="E635" s="27" t="n"/>
      <c r="I635" s="27" t="n"/>
    </row>
    <row r="636">
      <c r="E636" s="27" t="n"/>
      <c r="I636" s="27" t="n"/>
    </row>
    <row r="637">
      <c r="E637" s="27" t="n"/>
      <c r="I637" s="27" t="n"/>
    </row>
    <row r="638">
      <c r="E638" s="27" t="n"/>
      <c r="I638" s="27" t="n"/>
    </row>
    <row r="639">
      <c r="E639" s="27" t="n"/>
      <c r="I639" s="27" t="n"/>
    </row>
    <row r="640">
      <c r="E640" s="27" t="n"/>
      <c r="I640" s="27" t="n"/>
    </row>
    <row r="641">
      <c r="E641" s="27" t="n"/>
      <c r="I641" s="27" t="n"/>
    </row>
    <row r="642">
      <c r="E642" s="27" t="n"/>
      <c r="I642" s="27" t="n"/>
    </row>
    <row r="643">
      <c r="E643" s="27" t="n"/>
      <c r="I643" s="27" t="n"/>
    </row>
    <row r="644">
      <c r="E644" s="27" t="n"/>
      <c r="I644" s="27" t="n"/>
    </row>
    <row r="645">
      <c r="E645" s="27" t="n"/>
      <c r="I645" s="27" t="n"/>
    </row>
    <row r="646">
      <c r="E646" s="27" t="n"/>
      <c r="I646" s="27" t="n"/>
    </row>
    <row r="647">
      <c r="E647" s="27" t="n"/>
      <c r="I647" s="27" t="n"/>
    </row>
    <row r="648">
      <c r="E648" s="27" t="n"/>
      <c r="I648" s="27" t="n"/>
    </row>
    <row r="649">
      <c r="E649" s="27" t="n"/>
      <c r="I649" s="27" t="n"/>
    </row>
    <row r="650">
      <c r="E650" s="27" t="n"/>
      <c r="I650" s="27" t="n"/>
    </row>
    <row r="651">
      <c r="E651" s="27" t="n"/>
      <c r="I651" s="27" t="n"/>
    </row>
    <row r="652">
      <c r="E652" s="27" t="n"/>
      <c r="I652" s="27" t="n"/>
    </row>
    <row r="653">
      <c r="E653" s="27" t="n"/>
      <c r="I653" s="27" t="n"/>
    </row>
    <row r="654">
      <c r="E654" s="27" t="n"/>
      <c r="I654" s="27" t="n"/>
    </row>
    <row r="655">
      <c r="E655" s="27" t="n"/>
      <c r="I655" s="27" t="n"/>
    </row>
    <row r="656">
      <c r="E656" s="27" t="n"/>
      <c r="I656" s="27" t="n"/>
    </row>
    <row r="657">
      <c r="E657" s="27" t="n"/>
      <c r="I657" s="27" t="n"/>
    </row>
    <row r="658">
      <c r="E658" s="27" t="n"/>
      <c r="I658" s="27" t="n"/>
    </row>
    <row r="659">
      <c r="E659" s="27" t="n"/>
      <c r="I659" s="27" t="n"/>
    </row>
    <row r="660">
      <c r="E660" s="27" t="n"/>
      <c r="I660" s="27" t="n"/>
    </row>
    <row r="661">
      <c r="E661" s="27" t="n"/>
      <c r="I661" s="27" t="n"/>
    </row>
    <row r="662">
      <c r="E662" s="27" t="n"/>
      <c r="I662" s="27" t="n"/>
    </row>
    <row r="663">
      <c r="E663" s="27" t="n"/>
      <c r="I663" s="27" t="n"/>
    </row>
    <row r="664">
      <c r="E664" s="27" t="n"/>
      <c r="I664" s="27" t="n"/>
    </row>
    <row r="665">
      <c r="E665" s="27" t="n"/>
      <c r="I665" s="27" t="n"/>
    </row>
    <row r="666">
      <c r="E666" s="27" t="n"/>
      <c r="I666" s="27" t="n"/>
    </row>
    <row r="667">
      <c r="E667" s="27" t="n"/>
      <c r="I667" s="27" t="n"/>
    </row>
    <row r="668">
      <c r="E668" s="27" t="n"/>
      <c r="I668" s="27" t="n"/>
    </row>
    <row r="669">
      <c r="E669" s="27" t="n"/>
      <c r="I669" s="27" t="n"/>
    </row>
    <row r="670">
      <c r="E670" s="27" t="n"/>
      <c r="I670" s="27" t="n"/>
    </row>
    <row r="671">
      <c r="E671" s="27" t="n"/>
      <c r="I671" s="27" t="n"/>
    </row>
    <row r="672">
      <c r="E672" s="27" t="n"/>
      <c r="I672" s="27" t="n"/>
    </row>
    <row r="673">
      <c r="E673" s="27" t="n"/>
      <c r="I673" s="27" t="n"/>
    </row>
    <row r="674">
      <c r="E674" s="27" t="n"/>
      <c r="I674" s="27" t="n"/>
    </row>
    <row r="675">
      <c r="E675" s="27" t="n"/>
      <c r="I675" s="27" t="n"/>
    </row>
    <row r="676">
      <c r="E676" s="27" t="n"/>
      <c r="I676" s="27" t="n"/>
    </row>
    <row r="677">
      <c r="E677" s="27" t="n"/>
      <c r="I677" s="27" t="n"/>
    </row>
    <row r="678">
      <c r="E678" s="27" t="n"/>
      <c r="I678" s="27" t="n"/>
    </row>
    <row r="679">
      <c r="E679" s="27" t="n"/>
      <c r="I679" s="27" t="n"/>
    </row>
    <row r="680">
      <c r="E680" s="27" t="n"/>
      <c r="I680" s="27" t="n"/>
    </row>
    <row r="681">
      <c r="E681" s="27" t="n"/>
      <c r="I681" s="27" t="n"/>
    </row>
    <row r="682">
      <c r="E682" s="27" t="n"/>
      <c r="I682" s="27" t="n"/>
    </row>
    <row r="683">
      <c r="E683" s="27" t="n"/>
      <c r="I683" s="27" t="n"/>
    </row>
    <row r="684">
      <c r="E684" s="27" t="n"/>
      <c r="I684" s="27" t="n"/>
    </row>
    <row r="685">
      <c r="E685" s="27" t="n"/>
      <c r="I685" s="27" t="n"/>
    </row>
    <row r="686">
      <c r="E686" s="27" t="n"/>
      <c r="I686" s="27" t="n"/>
    </row>
    <row r="687">
      <c r="E687" s="27" t="n"/>
      <c r="I687" s="27" t="n"/>
    </row>
    <row r="688">
      <c r="E688" s="27" t="n"/>
      <c r="I688" s="27" t="n"/>
    </row>
    <row r="689">
      <c r="E689" s="27" t="n"/>
      <c r="I689" s="27" t="n"/>
    </row>
    <row r="690">
      <c r="E690" s="27" t="n"/>
      <c r="I690" s="27" t="n"/>
    </row>
    <row r="691">
      <c r="E691" s="27" t="n"/>
      <c r="I691" s="27" t="n"/>
    </row>
    <row r="692">
      <c r="E692" s="27" t="n"/>
      <c r="I692" s="27" t="n"/>
    </row>
    <row r="693">
      <c r="E693" s="27" t="n"/>
      <c r="I693" s="27" t="n"/>
    </row>
    <row r="694">
      <c r="E694" s="27" t="n"/>
      <c r="I694" s="27" t="n"/>
    </row>
    <row r="695">
      <c r="E695" s="27" t="n"/>
      <c r="I695" s="27" t="n"/>
    </row>
    <row r="696">
      <c r="E696" s="27" t="n"/>
      <c r="I696" s="27" t="n"/>
    </row>
    <row r="697">
      <c r="E697" s="27" t="n"/>
      <c r="I697" s="27" t="n"/>
    </row>
    <row r="698">
      <c r="E698" s="27" t="n"/>
      <c r="I698" s="27" t="n"/>
    </row>
    <row r="699">
      <c r="E699" s="27" t="n"/>
      <c r="I699" s="27" t="n"/>
    </row>
    <row r="700">
      <c r="E700" s="27" t="n"/>
      <c r="I700" s="27" t="n"/>
    </row>
  </sheetData>
  <autoFilter ref="A1:K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H2:H350" showDropDown="0" showInputMessage="0" showErrorMessage="1" allowBlank="1" errorTitle="Invalid selection" error="Select from dropdown." type="list">
      <formula1>"Pending,Approved,Rejected,Deferred"</formula1>
    </dataValidation>
    <dataValidation sqref="J2:J350" showDropDown="0" showInputMessage="0" showErrorMessage="1" allowBlank="1" errorTitle="Invalid selection" error="Select from dropdown." type="list">
      <formula1>"Not Started,In Progress,Blocked,Completed,Delayed,Deferred,On Hold"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0" t="inlineStr">
        <is>
          <t>Test Case ID</t>
        </is>
      </c>
      <c r="B1" s="10" t="inlineStr">
        <is>
          <t>Project ID</t>
        </is>
      </c>
      <c r="C1" s="10" t="inlineStr">
        <is>
          <t>Module</t>
        </is>
      </c>
      <c r="D1" s="10" t="inlineStr">
        <is>
          <t>Test Scenario</t>
        </is>
      </c>
      <c r="E1" s="10" t="inlineStr">
        <is>
          <t>Tester</t>
        </is>
      </c>
      <c r="F1" s="10" t="inlineStr">
        <is>
          <t>Test Date</t>
        </is>
      </c>
      <c r="G1" s="10" t="inlineStr">
        <is>
          <t>Result</t>
        </is>
      </c>
      <c r="H1" s="10" t="inlineStr">
        <is>
          <t>Defect ID</t>
        </is>
      </c>
      <c r="I1" s="10" t="inlineStr">
        <is>
          <t>Retest Status</t>
        </is>
      </c>
      <c r="J1" s="10" t="inlineStr">
        <is>
          <t>Remarks</t>
        </is>
      </c>
    </row>
    <row r="2">
      <c r="A2" s="15" t="inlineStr">
        <is>
          <t>TC-001</t>
        </is>
      </c>
      <c r="B2" s="15" t="inlineStr">
        <is>
          <t>PRJ-001</t>
        </is>
      </c>
      <c r="C2" s="15" t="inlineStr">
        <is>
          <t>Payments</t>
        </is>
      </c>
      <c r="D2" s="15" t="inlineStr">
        <is>
          <t>Verify successful UPI payment</t>
        </is>
      </c>
      <c r="E2" s="15" t="inlineStr">
        <is>
          <t>QA Analyst 1</t>
        </is>
      </c>
      <c r="F2" s="16" t="n">
        <v>46175</v>
      </c>
      <c r="G2" s="15" t="inlineStr">
        <is>
          <t>Fail</t>
        </is>
      </c>
      <c r="H2" s="15" t="inlineStr">
        <is>
          <t>ISS-001</t>
        </is>
      </c>
      <c r="I2" s="15" t="inlineStr">
        <is>
          <t>Pending</t>
        </is>
      </c>
      <c r="J2" s="15" t="inlineStr">
        <is>
          <t>Timeout</t>
        </is>
      </c>
    </row>
    <row r="3">
      <c r="A3" s="15" t="inlineStr">
        <is>
          <t>TC-002</t>
        </is>
      </c>
      <c r="B3" s="15" t="inlineStr">
        <is>
          <t>PRJ-003</t>
        </is>
      </c>
      <c r="C3" s="15" t="inlineStr">
        <is>
          <t>Reports</t>
        </is>
      </c>
      <c r="D3" s="15" t="inlineStr">
        <is>
          <t>Generate monthly compliance report</t>
        </is>
      </c>
      <c r="E3" s="15" t="inlineStr">
        <is>
          <t>QA Analyst 2</t>
        </is>
      </c>
      <c r="F3" s="16" t="n">
        <v>46130</v>
      </c>
      <c r="G3" s="15" t="inlineStr">
        <is>
          <t>Pass</t>
        </is>
      </c>
      <c r="H3" s="15" t="inlineStr"/>
      <c r="I3" s="15" t="inlineStr">
        <is>
          <t>Not Required</t>
        </is>
      </c>
      <c r="J3" s="15" t="inlineStr"/>
    </row>
    <row r="4">
      <c r="A4" s="15" t="n"/>
      <c r="B4" s="15" t="n"/>
      <c r="C4" s="15" t="n"/>
      <c r="D4" s="15" t="n"/>
      <c r="E4" s="15" t="n"/>
      <c r="F4" s="16" t="n"/>
      <c r="G4" s="15" t="n"/>
      <c r="H4" s="15" t="n"/>
      <c r="I4" s="15" t="n"/>
      <c r="J4" s="15" t="n"/>
    </row>
    <row r="5">
      <c r="A5" s="15" t="n"/>
      <c r="B5" s="15" t="n"/>
      <c r="C5" s="15" t="n"/>
      <c r="D5" s="15" t="n"/>
      <c r="E5" s="15" t="n"/>
      <c r="F5" s="16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6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6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6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6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6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6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6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6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6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6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6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6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6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6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6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6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6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6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6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6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6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6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6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6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6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6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6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6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6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6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6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6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6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6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6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6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6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6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6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6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6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6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6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6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6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6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6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6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6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6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6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6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6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6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6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6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6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6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6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6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6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6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6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6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6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6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6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6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6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6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6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6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6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6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6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6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6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6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6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6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6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6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6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6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6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6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6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6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6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6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6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6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6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6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6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6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6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6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6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6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6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6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6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6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6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6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6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6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6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6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6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6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6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6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6" t="n"/>
      <c r="G120" s="15" t="n"/>
      <c r="H120" s="15" t="n"/>
      <c r="I120" s="15" t="n"/>
      <c r="J120" s="15" t="n"/>
    </row>
    <row r="121">
      <c r="A121" s="15" t="n"/>
      <c r="B121" s="15" t="n"/>
      <c r="C121" s="15" t="n"/>
      <c r="D121" s="15" t="n"/>
      <c r="E121" s="15" t="n"/>
      <c r="F121" s="16" t="n"/>
      <c r="G121" s="15" t="n"/>
      <c r="H121" s="15" t="n"/>
      <c r="I121" s="15" t="n"/>
      <c r="J121" s="15" t="n"/>
    </row>
    <row r="122">
      <c r="A122" s="15" t="n"/>
      <c r="B122" s="15" t="n"/>
      <c r="C122" s="15" t="n"/>
      <c r="D122" s="15" t="n"/>
      <c r="E122" s="15" t="n"/>
      <c r="F122" s="16" t="n"/>
      <c r="G122" s="15" t="n"/>
      <c r="H122" s="15" t="n"/>
      <c r="I122" s="15" t="n"/>
      <c r="J122" s="15" t="n"/>
    </row>
    <row r="123">
      <c r="A123" s="15" t="n"/>
      <c r="B123" s="15" t="n"/>
      <c r="C123" s="15" t="n"/>
      <c r="D123" s="15" t="n"/>
      <c r="E123" s="15" t="n"/>
      <c r="F123" s="16" t="n"/>
      <c r="G123" s="15" t="n"/>
      <c r="H123" s="15" t="n"/>
      <c r="I123" s="15" t="n"/>
      <c r="J123" s="15" t="n"/>
    </row>
    <row r="124">
      <c r="A124" s="15" t="n"/>
      <c r="B124" s="15" t="n"/>
      <c r="C124" s="15" t="n"/>
      <c r="D124" s="15" t="n"/>
      <c r="E124" s="15" t="n"/>
      <c r="F124" s="16" t="n"/>
      <c r="G124" s="15" t="n"/>
      <c r="H124" s="15" t="n"/>
      <c r="I124" s="15" t="n"/>
      <c r="J124" s="15" t="n"/>
    </row>
    <row r="125">
      <c r="A125" s="15" t="n"/>
      <c r="B125" s="15" t="n"/>
      <c r="C125" s="15" t="n"/>
      <c r="D125" s="15" t="n"/>
      <c r="E125" s="15" t="n"/>
      <c r="F125" s="16" t="n"/>
      <c r="G125" s="15" t="n"/>
      <c r="H125" s="15" t="n"/>
      <c r="I125" s="15" t="n"/>
      <c r="J125" s="15" t="n"/>
    </row>
    <row r="126">
      <c r="A126" s="15" t="n"/>
      <c r="B126" s="15" t="n"/>
      <c r="C126" s="15" t="n"/>
      <c r="D126" s="15" t="n"/>
      <c r="E126" s="15" t="n"/>
      <c r="F126" s="16" t="n"/>
      <c r="G126" s="15" t="n"/>
      <c r="H126" s="15" t="n"/>
      <c r="I126" s="15" t="n"/>
      <c r="J126" s="15" t="n"/>
    </row>
    <row r="127">
      <c r="A127" s="15" t="n"/>
      <c r="B127" s="15" t="n"/>
      <c r="C127" s="15" t="n"/>
      <c r="D127" s="15" t="n"/>
      <c r="E127" s="15" t="n"/>
      <c r="F127" s="16" t="n"/>
      <c r="G127" s="15" t="n"/>
      <c r="H127" s="15" t="n"/>
      <c r="I127" s="15" t="n"/>
      <c r="J127" s="15" t="n"/>
    </row>
    <row r="128">
      <c r="A128" s="15" t="n"/>
      <c r="B128" s="15" t="n"/>
      <c r="C128" s="15" t="n"/>
      <c r="D128" s="15" t="n"/>
      <c r="E128" s="15" t="n"/>
      <c r="F128" s="16" t="n"/>
      <c r="G128" s="15" t="n"/>
      <c r="H128" s="15" t="n"/>
      <c r="I128" s="15" t="n"/>
      <c r="J128" s="15" t="n"/>
    </row>
    <row r="129">
      <c r="A129" s="15" t="n"/>
      <c r="B129" s="15" t="n"/>
      <c r="C129" s="15" t="n"/>
      <c r="D129" s="15" t="n"/>
      <c r="E129" s="15" t="n"/>
      <c r="F129" s="16" t="n"/>
      <c r="G129" s="15" t="n"/>
      <c r="H129" s="15" t="n"/>
      <c r="I129" s="15" t="n"/>
      <c r="J129" s="15" t="n"/>
    </row>
    <row r="130">
      <c r="A130" s="15" t="n"/>
      <c r="B130" s="15" t="n"/>
      <c r="C130" s="15" t="n"/>
      <c r="D130" s="15" t="n"/>
      <c r="E130" s="15" t="n"/>
      <c r="F130" s="16" t="n"/>
      <c r="G130" s="15" t="n"/>
      <c r="H130" s="15" t="n"/>
      <c r="I130" s="15" t="n"/>
      <c r="J130" s="15" t="n"/>
    </row>
    <row r="131">
      <c r="A131" s="15" t="n"/>
      <c r="B131" s="15" t="n"/>
      <c r="C131" s="15" t="n"/>
      <c r="D131" s="15" t="n"/>
      <c r="E131" s="15" t="n"/>
      <c r="F131" s="16" t="n"/>
      <c r="G131" s="15" t="n"/>
      <c r="H131" s="15" t="n"/>
      <c r="I131" s="15" t="n"/>
      <c r="J131" s="15" t="n"/>
    </row>
    <row r="132">
      <c r="A132" s="15" t="n"/>
      <c r="B132" s="15" t="n"/>
      <c r="C132" s="15" t="n"/>
      <c r="D132" s="15" t="n"/>
      <c r="E132" s="15" t="n"/>
      <c r="F132" s="16" t="n"/>
      <c r="G132" s="15" t="n"/>
      <c r="H132" s="15" t="n"/>
      <c r="I132" s="15" t="n"/>
      <c r="J132" s="15" t="n"/>
    </row>
    <row r="133">
      <c r="A133" s="15" t="n"/>
      <c r="B133" s="15" t="n"/>
      <c r="C133" s="15" t="n"/>
      <c r="D133" s="15" t="n"/>
      <c r="E133" s="15" t="n"/>
      <c r="F133" s="16" t="n"/>
      <c r="G133" s="15" t="n"/>
      <c r="H133" s="15" t="n"/>
      <c r="I133" s="15" t="n"/>
      <c r="J133" s="15" t="n"/>
    </row>
    <row r="134">
      <c r="A134" s="15" t="n"/>
      <c r="B134" s="15" t="n"/>
      <c r="C134" s="15" t="n"/>
      <c r="D134" s="15" t="n"/>
      <c r="E134" s="15" t="n"/>
      <c r="F134" s="16" t="n"/>
      <c r="G134" s="15" t="n"/>
      <c r="H134" s="15" t="n"/>
      <c r="I134" s="15" t="n"/>
      <c r="J134" s="15" t="n"/>
    </row>
    <row r="135">
      <c r="A135" s="15" t="n"/>
      <c r="B135" s="15" t="n"/>
      <c r="C135" s="15" t="n"/>
      <c r="D135" s="15" t="n"/>
      <c r="E135" s="15" t="n"/>
      <c r="F135" s="16" t="n"/>
      <c r="G135" s="15" t="n"/>
      <c r="H135" s="15" t="n"/>
      <c r="I135" s="15" t="n"/>
      <c r="J135" s="15" t="n"/>
    </row>
    <row r="136">
      <c r="A136" s="15" t="n"/>
      <c r="B136" s="15" t="n"/>
      <c r="C136" s="15" t="n"/>
      <c r="D136" s="15" t="n"/>
      <c r="E136" s="15" t="n"/>
      <c r="F136" s="16" t="n"/>
      <c r="G136" s="15" t="n"/>
      <c r="H136" s="15" t="n"/>
      <c r="I136" s="15" t="n"/>
      <c r="J136" s="15" t="n"/>
    </row>
    <row r="137">
      <c r="A137" s="15" t="n"/>
      <c r="B137" s="15" t="n"/>
      <c r="C137" s="15" t="n"/>
      <c r="D137" s="15" t="n"/>
      <c r="E137" s="15" t="n"/>
      <c r="F137" s="16" t="n"/>
      <c r="G137" s="15" t="n"/>
      <c r="H137" s="15" t="n"/>
      <c r="I137" s="15" t="n"/>
      <c r="J137" s="15" t="n"/>
    </row>
    <row r="138">
      <c r="A138" s="15" t="n"/>
      <c r="B138" s="15" t="n"/>
      <c r="C138" s="15" t="n"/>
      <c r="D138" s="15" t="n"/>
      <c r="E138" s="15" t="n"/>
      <c r="F138" s="16" t="n"/>
      <c r="G138" s="15" t="n"/>
      <c r="H138" s="15" t="n"/>
      <c r="I138" s="15" t="n"/>
      <c r="J138" s="15" t="n"/>
    </row>
    <row r="139">
      <c r="A139" s="15" t="n"/>
      <c r="B139" s="15" t="n"/>
      <c r="C139" s="15" t="n"/>
      <c r="D139" s="15" t="n"/>
      <c r="E139" s="15" t="n"/>
      <c r="F139" s="16" t="n"/>
      <c r="G139" s="15" t="n"/>
      <c r="H139" s="15" t="n"/>
      <c r="I139" s="15" t="n"/>
      <c r="J139" s="15" t="n"/>
    </row>
    <row r="140">
      <c r="A140" s="15" t="n"/>
      <c r="B140" s="15" t="n"/>
      <c r="C140" s="15" t="n"/>
      <c r="D140" s="15" t="n"/>
      <c r="E140" s="15" t="n"/>
      <c r="F140" s="16" t="n"/>
      <c r="G140" s="15" t="n"/>
      <c r="H140" s="15" t="n"/>
      <c r="I140" s="15" t="n"/>
      <c r="J140" s="15" t="n"/>
    </row>
    <row r="141">
      <c r="A141" s="15" t="n"/>
      <c r="B141" s="15" t="n"/>
      <c r="C141" s="15" t="n"/>
      <c r="D141" s="15" t="n"/>
      <c r="E141" s="15" t="n"/>
      <c r="F141" s="16" t="n"/>
      <c r="G141" s="15" t="n"/>
      <c r="H141" s="15" t="n"/>
      <c r="I141" s="15" t="n"/>
      <c r="J141" s="15" t="n"/>
    </row>
    <row r="142">
      <c r="A142" s="15" t="n"/>
      <c r="B142" s="15" t="n"/>
      <c r="C142" s="15" t="n"/>
      <c r="D142" s="15" t="n"/>
      <c r="E142" s="15" t="n"/>
      <c r="F142" s="16" t="n"/>
      <c r="G142" s="15" t="n"/>
      <c r="H142" s="15" t="n"/>
      <c r="I142" s="15" t="n"/>
      <c r="J142" s="15" t="n"/>
    </row>
    <row r="143">
      <c r="A143" s="15" t="n"/>
      <c r="B143" s="15" t="n"/>
      <c r="C143" s="15" t="n"/>
      <c r="D143" s="15" t="n"/>
      <c r="E143" s="15" t="n"/>
      <c r="F143" s="16" t="n"/>
      <c r="G143" s="15" t="n"/>
      <c r="H143" s="15" t="n"/>
      <c r="I143" s="15" t="n"/>
      <c r="J143" s="15" t="n"/>
    </row>
    <row r="144">
      <c r="A144" s="15" t="n"/>
      <c r="B144" s="15" t="n"/>
      <c r="C144" s="15" t="n"/>
      <c r="D144" s="15" t="n"/>
      <c r="E144" s="15" t="n"/>
      <c r="F144" s="16" t="n"/>
      <c r="G144" s="15" t="n"/>
      <c r="H144" s="15" t="n"/>
      <c r="I144" s="15" t="n"/>
      <c r="J144" s="15" t="n"/>
    </row>
    <row r="145">
      <c r="A145" s="15" t="n"/>
      <c r="B145" s="15" t="n"/>
      <c r="C145" s="15" t="n"/>
      <c r="D145" s="15" t="n"/>
      <c r="E145" s="15" t="n"/>
      <c r="F145" s="16" t="n"/>
      <c r="G145" s="15" t="n"/>
      <c r="H145" s="15" t="n"/>
      <c r="I145" s="15" t="n"/>
      <c r="J145" s="15" t="n"/>
    </row>
    <row r="146">
      <c r="A146" s="15" t="n"/>
      <c r="B146" s="15" t="n"/>
      <c r="C146" s="15" t="n"/>
      <c r="D146" s="15" t="n"/>
      <c r="E146" s="15" t="n"/>
      <c r="F146" s="16" t="n"/>
      <c r="G146" s="15" t="n"/>
      <c r="H146" s="15" t="n"/>
      <c r="I146" s="15" t="n"/>
      <c r="J146" s="15" t="n"/>
    </row>
    <row r="147">
      <c r="A147" s="15" t="n"/>
      <c r="B147" s="15" t="n"/>
      <c r="C147" s="15" t="n"/>
      <c r="D147" s="15" t="n"/>
      <c r="E147" s="15" t="n"/>
      <c r="F147" s="16" t="n"/>
      <c r="G147" s="15" t="n"/>
      <c r="H147" s="15" t="n"/>
      <c r="I147" s="15" t="n"/>
      <c r="J147" s="15" t="n"/>
    </row>
    <row r="148">
      <c r="A148" s="15" t="n"/>
      <c r="B148" s="15" t="n"/>
      <c r="C148" s="15" t="n"/>
      <c r="D148" s="15" t="n"/>
      <c r="E148" s="15" t="n"/>
      <c r="F148" s="16" t="n"/>
      <c r="G148" s="15" t="n"/>
      <c r="H148" s="15" t="n"/>
      <c r="I148" s="15" t="n"/>
      <c r="J148" s="15" t="n"/>
    </row>
    <row r="149">
      <c r="A149" s="15" t="n"/>
      <c r="B149" s="15" t="n"/>
      <c r="C149" s="15" t="n"/>
      <c r="D149" s="15" t="n"/>
      <c r="E149" s="15" t="n"/>
      <c r="F149" s="16" t="n"/>
      <c r="G149" s="15" t="n"/>
      <c r="H149" s="15" t="n"/>
      <c r="I149" s="15" t="n"/>
      <c r="J149" s="15" t="n"/>
    </row>
    <row r="150">
      <c r="A150" s="15" t="n"/>
      <c r="B150" s="15" t="n"/>
      <c r="C150" s="15" t="n"/>
      <c r="D150" s="15" t="n"/>
      <c r="E150" s="15" t="n"/>
      <c r="F150" s="16" t="n"/>
      <c r="G150" s="15" t="n"/>
      <c r="H150" s="15" t="n"/>
      <c r="I150" s="15" t="n"/>
      <c r="J150" s="15" t="n"/>
    </row>
    <row r="151">
      <c r="A151" s="15" t="n"/>
      <c r="B151" s="15" t="n"/>
      <c r="C151" s="15" t="n"/>
      <c r="D151" s="15" t="n"/>
      <c r="E151" s="15" t="n"/>
      <c r="F151" s="16" t="n"/>
      <c r="G151" s="15" t="n"/>
      <c r="H151" s="15" t="n"/>
      <c r="I151" s="15" t="n"/>
      <c r="J151" s="15" t="n"/>
    </row>
    <row r="152">
      <c r="A152" s="15" t="n"/>
      <c r="B152" s="15" t="n"/>
      <c r="C152" s="15" t="n"/>
      <c r="D152" s="15" t="n"/>
      <c r="E152" s="15" t="n"/>
      <c r="F152" s="16" t="n"/>
      <c r="G152" s="15" t="n"/>
      <c r="H152" s="15" t="n"/>
      <c r="I152" s="15" t="n"/>
      <c r="J152" s="15" t="n"/>
    </row>
    <row r="153">
      <c r="A153" s="15" t="n"/>
      <c r="B153" s="15" t="n"/>
      <c r="C153" s="15" t="n"/>
      <c r="D153" s="15" t="n"/>
      <c r="E153" s="15" t="n"/>
      <c r="F153" s="16" t="n"/>
      <c r="G153" s="15" t="n"/>
      <c r="H153" s="15" t="n"/>
      <c r="I153" s="15" t="n"/>
      <c r="J153" s="15" t="n"/>
    </row>
    <row r="154">
      <c r="A154" s="15" t="n"/>
      <c r="B154" s="15" t="n"/>
      <c r="C154" s="15" t="n"/>
      <c r="D154" s="15" t="n"/>
      <c r="E154" s="15" t="n"/>
      <c r="F154" s="16" t="n"/>
      <c r="G154" s="15" t="n"/>
      <c r="H154" s="15" t="n"/>
      <c r="I154" s="15" t="n"/>
      <c r="J154" s="15" t="n"/>
    </row>
    <row r="155">
      <c r="A155" s="15" t="n"/>
      <c r="B155" s="15" t="n"/>
      <c r="C155" s="15" t="n"/>
      <c r="D155" s="15" t="n"/>
      <c r="E155" s="15" t="n"/>
      <c r="F155" s="16" t="n"/>
      <c r="G155" s="15" t="n"/>
      <c r="H155" s="15" t="n"/>
      <c r="I155" s="15" t="n"/>
      <c r="J155" s="15" t="n"/>
    </row>
    <row r="156">
      <c r="A156" s="15" t="n"/>
      <c r="B156" s="15" t="n"/>
      <c r="C156" s="15" t="n"/>
      <c r="D156" s="15" t="n"/>
      <c r="E156" s="15" t="n"/>
      <c r="F156" s="16" t="n"/>
      <c r="G156" s="15" t="n"/>
      <c r="H156" s="15" t="n"/>
      <c r="I156" s="15" t="n"/>
      <c r="J156" s="15" t="n"/>
    </row>
    <row r="157">
      <c r="A157" s="15" t="n"/>
      <c r="B157" s="15" t="n"/>
      <c r="C157" s="15" t="n"/>
      <c r="D157" s="15" t="n"/>
      <c r="E157" s="15" t="n"/>
      <c r="F157" s="16" t="n"/>
      <c r="G157" s="15" t="n"/>
      <c r="H157" s="15" t="n"/>
      <c r="I157" s="15" t="n"/>
      <c r="J157" s="15" t="n"/>
    </row>
    <row r="158">
      <c r="A158" s="15" t="n"/>
      <c r="B158" s="15" t="n"/>
      <c r="C158" s="15" t="n"/>
      <c r="D158" s="15" t="n"/>
      <c r="E158" s="15" t="n"/>
      <c r="F158" s="16" t="n"/>
      <c r="G158" s="15" t="n"/>
      <c r="H158" s="15" t="n"/>
      <c r="I158" s="15" t="n"/>
      <c r="J158" s="15" t="n"/>
    </row>
    <row r="159">
      <c r="A159" s="15" t="n"/>
      <c r="B159" s="15" t="n"/>
      <c r="C159" s="15" t="n"/>
      <c r="D159" s="15" t="n"/>
      <c r="E159" s="15" t="n"/>
      <c r="F159" s="16" t="n"/>
      <c r="G159" s="15" t="n"/>
      <c r="H159" s="15" t="n"/>
      <c r="I159" s="15" t="n"/>
      <c r="J159" s="15" t="n"/>
    </row>
    <row r="160">
      <c r="A160" s="15" t="n"/>
      <c r="B160" s="15" t="n"/>
      <c r="C160" s="15" t="n"/>
      <c r="D160" s="15" t="n"/>
      <c r="E160" s="15" t="n"/>
      <c r="F160" s="16" t="n"/>
      <c r="G160" s="15" t="n"/>
      <c r="H160" s="15" t="n"/>
      <c r="I160" s="15" t="n"/>
      <c r="J160" s="15" t="n"/>
    </row>
    <row r="161">
      <c r="A161" s="15" t="n"/>
      <c r="B161" s="15" t="n"/>
      <c r="C161" s="15" t="n"/>
      <c r="D161" s="15" t="n"/>
      <c r="E161" s="15" t="n"/>
      <c r="F161" s="16" t="n"/>
      <c r="G161" s="15" t="n"/>
      <c r="H161" s="15" t="n"/>
      <c r="I161" s="15" t="n"/>
      <c r="J161" s="15" t="n"/>
    </row>
    <row r="162">
      <c r="A162" s="15" t="n"/>
      <c r="B162" s="15" t="n"/>
      <c r="C162" s="15" t="n"/>
      <c r="D162" s="15" t="n"/>
      <c r="E162" s="15" t="n"/>
      <c r="F162" s="16" t="n"/>
      <c r="G162" s="15" t="n"/>
      <c r="H162" s="15" t="n"/>
      <c r="I162" s="15" t="n"/>
      <c r="J162" s="15" t="n"/>
    </row>
    <row r="163">
      <c r="A163" s="15" t="n"/>
      <c r="B163" s="15" t="n"/>
      <c r="C163" s="15" t="n"/>
      <c r="D163" s="15" t="n"/>
      <c r="E163" s="15" t="n"/>
      <c r="F163" s="16" t="n"/>
      <c r="G163" s="15" t="n"/>
      <c r="H163" s="15" t="n"/>
      <c r="I163" s="15" t="n"/>
      <c r="J163" s="15" t="n"/>
    </row>
    <row r="164">
      <c r="A164" s="15" t="n"/>
      <c r="B164" s="15" t="n"/>
      <c r="C164" s="15" t="n"/>
      <c r="D164" s="15" t="n"/>
      <c r="E164" s="15" t="n"/>
      <c r="F164" s="16" t="n"/>
      <c r="G164" s="15" t="n"/>
      <c r="H164" s="15" t="n"/>
      <c r="I164" s="15" t="n"/>
      <c r="J164" s="15" t="n"/>
    </row>
    <row r="165">
      <c r="A165" s="15" t="n"/>
      <c r="B165" s="15" t="n"/>
      <c r="C165" s="15" t="n"/>
      <c r="D165" s="15" t="n"/>
      <c r="E165" s="15" t="n"/>
      <c r="F165" s="16" t="n"/>
      <c r="G165" s="15" t="n"/>
      <c r="H165" s="15" t="n"/>
      <c r="I165" s="15" t="n"/>
      <c r="J165" s="15" t="n"/>
    </row>
    <row r="166">
      <c r="A166" s="15" t="n"/>
      <c r="B166" s="15" t="n"/>
      <c r="C166" s="15" t="n"/>
      <c r="D166" s="15" t="n"/>
      <c r="E166" s="15" t="n"/>
      <c r="F166" s="16" t="n"/>
      <c r="G166" s="15" t="n"/>
      <c r="H166" s="15" t="n"/>
      <c r="I166" s="15" t="n"/>
      <c r="J166" s="15" t="n"/>
    </row>
    <row r="167">
      <c r="A167" s="15" t="n"/>
      <c r="B167" s="15" t="n"/>
      <c r="C167" s="15" t="n"/>
      <c r="D167" s="15" t="n"/>
      <c r="E167" s="15" t="n"/>
      <c r="F167" s="16" t="n"/>
      <c r="G167" s="15" t="n"/>
      <c r="H167" s="15" t="n"/>
      <c r="I167" s="15" t="n"/>
      <c r="J167" s="15" t="n"/>
    </row>
    <row r="168">
      <c r="A168" s="15" t="n"/>
      <c r="B168" s="15" t="n"/>
      <c r="C168" s="15" t="n"/>
      <c r="D168" s="15" t="n"/>
      <c r="E168" s="15" t="n"/>
      <c r="F168" s="16" t="n"/>
      <c r="G168" s="15" t="n"/>
      <c r="H168" s="15" t="n"/>
      <c r="I168" s="15" t="n"/>
      <c r="J168" s="15" t="n"/>
    </row>
    <row r="169">
      <c r="A169" s="15" t="n"/>
      <c r="B169" s="15" t="n"/>
      <c r="C169" s="15" t="n"/>
      <c r="D169" s="15" t="n"/>
      <c r="E169" s="15" t="n"/>
      <c r="F169" s="16" t="n"/>
      <c r="G169" s="15" t="n"/>
      <c r="H169" s="15" t="n"/>
      <c r="I169" s="15" t="n"/>
      <c r="J169" s="15" t="n"/>
    </row>
    <row r="170">
      <c r="A170" s="15" t="n"/>
      <c r="B170" s="15" t="n"/>
      <c r="C170" s="15" t="n"/>
      <c r="D170" s="15" t="n"/>
      <c r="E170" s="15" t="n"/>
      <c r="F170" s="16" t="n"/>
      <c r="G170" s="15" t="n"/>
      <c r="H170" s="15" t="n"/>
      <c r="I170" s="15" t="n"/>
      <c r="J170" s="15" t="n"/>
    </row>
    <row r="171">
      <c r="A171" s="15" t="n"/>
      <c r="B171" s="15" t="n"/>
      <c r="C171" s="15" t="n"/>
      <c r="D171" s="15" t="n"/>
      <c r="E171" s="15" t="n"/>
      <c r="F171" s="16" t="n"/>
      <c r="G171" s="15" t="n"/>
      <c r="H171" s="15" t="n"/>
      <c r="I171" s="15" t="n"/>
      <c r="J171" s="15" t="n"/>
    </row>
    <row r="172">
      <c r="A172" s="15" t="n"/>
      <c r="B172" s="15" t="n"/>
      <c r="C172" s="15" t="n"/>
      <c r="D172" s="15" t="n"/>
      <c r="E172" s="15" t="n"/>
      <c r="F172" s="16" t="n"/>
      <c r="G172" s="15" t="n"/>
      <c r="H172" s="15" t="n"/>
      <c r="I172" s="15" t="n"/>
      <c r="J172" s="15" t="n"/>
    </row>
    <row r="173">
      <c r="A173" s="15" t="n"/>
      <c r="B173" s="15" t="n"/>
      <c r="C173" s="15" t="n"/>
      <c r="D173" s="15" t="n"/>
      <c r="E173" s="15" t="n"/>
      <c r="F173" s="16" t="n"/>
      <c r="G173" s="15" t="n"/>
      <c r="H173" s="15" t="n"/>
      <c r="I173" s="15" t="n"/>
      <c r="J173" s="15" t="n"/>
    </row>
    <row r="174">
      <c r="A174" s="15" t="n"/>
      <c r="B174" s="15" t="n"/>
      <c r="C174" s="15" t="n"/>
      <c r="D174" s="15" t="n"/>
      <c r="E174" s="15" t="n"/>
      <c r="F174" s="16" t="n"/>
      <c r="G174" s="15" t="n"/>
      <c r="H174" s="15" t="n"/>
      <c r="I174" s="15" t="n"/>
      <c r="J174" s="15" t="n"/>
    </row>
    <row r="175">
      <c r="A175" s="15" t="n"/>
      <c r="B175" s="15" t="n"/>
      <c r="C175" s="15" t="n"/>
      <c r="D175" s="15" t="n"/>
      <c r="E175" s="15" t="n"/>
      <c r="F175" s="16" t="n"/>
      <c r="G175" s="15" t="n"/>
      <c r="H175" s="15" t="n"/>
      <c r="I175" s="15" t="n"/>
      <c r="J175" s="15" t="n"/>
    </row>
    <row r="176">
      <c r="A176" s="15" t="n"/>
      <c r="B176" s="15" t="n"/>
      <c r="C176" s="15" t="n"/>
      <c r="D176" s="15" t="n"/>
      <c r="E176" s="15" t="n"/>
      <c r="F176" s="16" t="n"/>
      <c r="G176" s="15" t="n"/>
      <c r="H176" s="15" t="n"/>
      <c r="I176" s="15" t="n"/>
      <c r="J176" s="15" t="n"/>
    </row>
    <row r="177">
      <c r="A177" s="15" t="n"/>
      <c r="B177" s="15" t="n"/>
      <c r="C177" s="15" t="n"/>
      <c r="D177" s="15" t="n"/>
      <c r="E177" s="15" t="n"/>
      <c r="F177" s="16" t="n"/>
      <c r="G177" s="15" t="n"/>
      <c r="H177" s="15" t="n"/>
      <c r="I177" s="15" t="n"/>
      <c r="J177" s="15" t="n"/>
    </row>
    <row r="178">
      <c r="A178" s="15" t="n"/>
      <c r="B178" s="15" t="n"/>
      <c r="C178" s="15" t="n"/>
      <c r="D178" s="15" t="n"/>
      <c r="E178" s="15" t="n"/>
      <c r="F178" s="16" t="n"/>
      <c r="G178" s="15" t="n"/>
      <c r="H178" s="15" t="n"/>
      <c r="I178" s="15" t="n"/>
      <c r="J178" s="15" t="n"/>
    </row>
    <row r="179">
      <c r="A179" s="15" t="n"/>
      <c r="B179" s="15" t="n"/>
      <c r="C179" s="15" t="n"/>
      <c r="D179" s="15" t="n"/>
      <c r="E179" s="15" t="n"/>
      <c r="F179" s="16" t="n"/>
      <c r="G179" s="15" t="n"/>
      <c r="H179" s="15" t="n"/>
      <c r="I179" s="15" t="n"/>
      <c r="J179" s="15" t="n"/>
    </row>
    <row r="180">
      <c r="A180" s="15" t="n"/>
      <c r="B180" s="15" t="n"/>
      <c r="C180" s="15" t="n"/>
      <c r="D180" s="15" t="n"/>
      <c r="E180" s="15" t="n"/>
      <c r="F180" s="16" t="n"/>
      <c r="G180" s="15" t="n"/>
      <c r="H180" s="15" t="n"/>
      <c r="I180" s="15" t="n"/>
      <c r="J180" s="15" t="n"/>
    </row>
    <row r="181">
      <c r="A181" s="15" t="n"/>
      <c r="B181" s="15" t="n"/>
      <c r="C181" s="15" t="n"/>
      <c r="D181" s="15" t="n"/>
      <c r="E181" s="15" t="n"/>
      <c r="F181" s="16" t="n"/>
      <c r="G181" s="15" t="n"/>
      <c r="H181" s="15" t="n"/>
      <c r="I181" s="15" t="n"/>
      <c r="J181" s="15" t="n"/>
    </row>
    <row r="182">
      <c r="A182" s="15" t="n"/>
      <c r="B182" s="15" t="n"/>
      <c r="C182" s="15" t="n"/>
      <c r="D182" s="15" t="n"/>
      <c r="E182" s="15" t="n"/>
      <c r="F182" s="16" t="n"/>
      <c r="G182" s="15" t="n"/>
      <c r="H182" s="15" t="n"/>
      <c r="I182" s="15" t="n"/>
      <c r="J182" s="15" t="n"/>
    </row>
    <row r="183">
      <c r="A183" s="15" t="n"/>
      <c r="B183" s="15" t="n"/>
      <c r="C183" s="15" t="n"/>
      <c r="D183" s="15" t="n"/>
      <c r="E183" s="15" t="n"/>
      <c r="F183" s="16" t="n"/>
      <c r="G183" s="15" t="n"/>
      <c r="H183" s="15" t="n"/>
      <c r="I183" s="15" t="n"/>
      <c r="J183" s="15" t="n"/>
    </row>
    <row r="184">
      <c r="A184" s="15" t="n"/>
      <c r="B184" s="15" t="n"/>
      <c r="C184" s="15" t="n"/>
      <c r="D184" s="15" t="n"/>
      <c r="E184" s="15" t="n"/>
      <c r="F184" s="16" t="n"/>
      <c r="G184" s="15" t="n"/>
      <c r="H184" s="15" t="n"/>
      <c r="I184" s="15" t="n"/>
      <c r="J184" s="15" t="n"/>
    </row>
    <row r="185">
      <c r="A185" s="15" t="n"/>
      <c r="B185" s="15" t="n"/>
      <c r="C185" s="15" t="n"/>
      <c r="D185" s="15" t="n"/>
      <c r="E185" s="15" t="n"/>
      <c r="F185" s="16" t="n"/>
      <c r="G185" s="15" t="n"/>
      <c r="H185" s="15" t="n"/>
      <c r="I185" s="15" t="n"/>
      <c r="J185" s="15" t="n"/>
    </row>
    <row r="186">
      <c r="A186" s="15" t="n"/>
      <c r="B186" s="15" t="n"/>
      <c r="C186" s="15" t="n"/>
      <c r="D186" s="15" t="n"/>
      <c r="E186" s="15" t="n"/>
      <c r="F186" s="16" t="n"/>
      <c r="G186" s="15" t="n"/>
      <c r="H186" s="15" t="n"/>
      <c r="I186" s="15" t="n"/>
      <c r="J186" s="15" t="n"/>
    </row>
    <row r="187">
      <c r="A187" s="15" t="n"/>
      <c r="B187" s="15" t="n"/>
      <c r="C187" s="15" t="n"/>
      <c r="D187" s="15" t="n"/>
      <c r="E187" s="15" t="n"/>
      <c r="F187" s="16" t="n"/>
      <c r="G187" s="15" t="n"/>
      <c r="H187" s="15" t="n"/>
      <c r="I187" s="15" t="n"/>
      <c r="J187" s="15" t="n"/>
    </row>
    <row r="188">
      <c r="A188" s="15" t="n"/>
      <c r="B188" s="15" t="n"/>
      <c r="C188" s="15" t="n"/>
      <c r="D188" s="15" t="n"/>
      <c r="E188" s="15" t="n"/>
      <c r="F188" s="16" t="n"/>
      <c r="G188" s="15" t="n"/>
      <c r="H188" s="15" t="n"/>
      <c r="I188" s="15" t="n"/>
      <c r="J188" s="15" t="n"/>
    </row>
    <row r="189">
      <c r="A189" s="15" t="n"/>
      <c r="B189" s="15" t="n"/>
      <c r="C189" s="15" t="n"/>
      <c r="D189" s="15" t="n"/>
      <c r="E189" s="15" t="n"/>
      <c r="F189" s="16" t="n"/>
      <c r="G189" s="15" t="n"/>
      <c r="H189" s="15" t="n"/>
      <c r="I189" s="15" t="n"/>
      <c r="J189" s="15" t="n"/>
    </row>
    <row r="190">
      <c r="A190" s="15" t="n"/>
      <c r="B190" s="15" t="n"/>
      <c r="C190" s="15" t="n"/>
      <c r="D190" s="15" t="n"/>
      <c r="E190" s="15" t="n"/>
      <c r="F190" s="16" t="n"/>
      <c r="G190" s="15" t="n"/>
      <c r="H190" s="15" t="n"/>
      <c r="I190" s="15" t="n"/>
      <c r="J190" s="15" t="n"/>
    </row>
    <row r="191">
      <c r="A191" s="15" t="n"/>
      <c r="B191" s="15" t="n"/>
      <c r="C191" s="15" t="n"/>
      <c r="D191" s="15" t="n"/>
      <c r="E191" s="15" t="n"/>
      <c r="F191" s="16" t="n"/>
      <c r="G191" s="15" t="n"/>
      <c r="H191" s="15" t="n"/>
      <c r="I191" s="15" t="n"/>
      <c r="J191" s="15" t="n"/>
    </row>
    <row r="192">
      <c r="A192" s="15" t="n"/>
      <c r="B192" s="15" t="n"/>
      <c r="C192" s="15" t="n"/>
      <c r="D192" s="15" t="n"/>
      <c r="E192" s="15" t="n"/>
      <c r="F192" s="16" t="n"/>
      <c r="G192" s="15" t="n"/>
      <c r="H192" s="15" t="n"/>
      <c r="I192" s="15" t="n"/>
      <c r="J192" s="15" t="n"/>
    </row>
    <row r="193">
      <c r="A193" s="15" t="n"/>
      <c r="B193" s="15" t="n"/>
      <c r="C193" s="15" t="n"/>
      <c r="D193" s="15" t="n"/>
      <c r="E193" s="15" t="n"/>
      <c r="F193" s="16" t="n"/>
      <c r="G193" s="15" t="n"/>
      <c r="H193" s="15" t="n"/>
      <c r="I193" s="15" t="n"/>
      <c r="J193" s="15" t="n"/>
    </row>
    <row r="194">
      <c r="A194" s="15" t="n"/>
      <c r="B194" s="15" t="n"/>
      <c r="C194" s="15" t="n"/>
      <c r="D194" s="15" t="n"/>
      <c r="E194" s="15" t="n"/>
      <c r="F194" s="16" t="n"/>
      <c r="G194" s="15" t="n"/>
      <c r="H194" s="15" t="n"/>
      <c r="I194" s="15" t="n"/>
      <c r="J194" s="15" t="n"/>
    </row>
    <row r="195">
      <c r="A195" s="15" t="n"/>
      <c r="B195" s="15" t="n"/>
      <c r="C195" s="15" t="n"/>
      <c r="D195" s="15" t="n"/>
      <c r="E195" s="15" t="n"/>
      <c r="F195" s="16" t="n"/>
      <c r="G195" s="15" t="n"/>
      <c r="H195" s="15" t="n"/>
      <c r="I195" s="15" t="n"/>
      <c r="J195" s="15" t="n"/>
    </row>
    <row r="196">
      <c r="A196" s="15" t="n"/>
      <c r="B196" s="15" t="n"/>
      <c r="C196" s="15" t="n"/>
      <c r="D196" s="15" t="n"/>
      <c r="E196" s="15" t="n"/>
      <c r="F196" s="16" t="n"/>
      <c r="G196" s="15" t="n"/>
      <c r="H196" s="15" t="n"/>
      <c r="I196" s="15" t="n"/>
      <c r="J196" s="15" t="n"/>
    </row>
    <row r="197">
      <c r="A197" s="15" t="n"/>
      <c r="B197" s="15" t="n"/>
      <c r="C197" s="15" t="n"/>
      <c r="D197" s="15" t="n"/>
      <c r="E197" s="15" t="n"/>
      <c r="F197" s="16" t="n"/>
      <c r="G197" s="15" t="n"/>
      <c r="H197" s="15" t="n"/>
      <c r="I197" s="15" t="n"/>
      <c r="J197" s="15" t="n"/>
    </row>
    <row r="198">
      <c r="A198" s="15" t="n"/>
      <c r="B198" s="15" t="n"/>
      <c r="C198" s="15" t="n"/>
      <c r="D198" s="15" t="n"/>
      <c r="E198" s="15" t="n"/>
      <c r="F198" s="16" t="n"/>
      <c r="G198" s="15" t="n"/>
      <c r="H198" s="15" t="n"/>
      <c r="I198" s="15" t="n"/>
      <c r="J198" s="15" t="n"/>
    </row>
    <row r="199">
      <c r="A199" s="15" t="n"/>
      <c r="B199" s="15" t="n"/>
      <c r="C199" s="15" t="n"/>
      <c r="D199" s="15" t="n"/>
      <c r="E199" s="15" t="n"/>
      <c r="F199" s="16" t="n"/>
      <c r="G199" s="15" t="n"/>
      <c r="H199" s="15" t="n"/>
      <c r="I199" s="15" t="n"/>
      <c r="J199" s="15" t="n"/>
    </row>
    <row r="200">
      <c r="A200" s="15" t="n"/>
      <c r="B200" s="15" t="n"/>
      <c r="C200" s="15" t="n"/>
      <c r="D200" s="15" t="n"/>
      <c r="E200" s="15" t="n"/>
      <c r="F200" s="16" t="n"/>
      <c r="G200" s="15" t="n"/>
      <c r="H200" s="15" t="n"/>
      <c r="I200" s="15" t="n"/>
      <c r="J200" s="15" t="n"/>
    </row>
    <row r="201">
      <c r="A201" s="15" t="n"/>
      <c r="B201" s="15" t="n"/>
      <c r="C201" s="15" t="n"/>
      <c r="D201" s="15" t="n"/>
      <c r="E201" s="15" t="n"/>
      <c r="F201" s="16" t="n"/>
      <c r="G201" s="15" t="n"/>
      <c r="H201" s="15" t="n"/>
      <c r="I201" s="15" t="n"/>
      <c r="J201" s="15" t="n"/>
    </row>
    <row r="202">
      <c r="A202" s="15" t="n"/>
      <c r="B202" s="15" t="n"/>
      <c r="C202" s="15" t="n"/>
      <c r="D202" s="15" t="n"/>
      <c r="E202" s="15" t="n"/>
      <c r="F202" s="16" t="n"/>
      <c r="G202" s="15" t="n"/>
      <c r="H202" s="15" t="n"/>
      <c r="I202" s="15" t="n"/>
      <c r="J202" s="15" t="n"/>
    </row>
    <row r="203">
      <c r="A203" s="15" t="n"/>
      <c r="B203" s="15" t="n"/>
      <c r="C203" s="15" t="n"/>
      <c r="D203" s="15" t="n"/>
      <c r="E203" s="15" t="n"/>
      <c r="F203" s="16" t="n"/>
      <c r="G203" s="15" t="n"/>
      <c r="H203" s="15" t="n"/>
      <c r="I203" s="15" t="n"/>
      <c r="J203" s="15" t="n"/>
    </row>
    <row r="204">
      <c r="A204" s="15" t="n"/>
      <c r="B204" s="15" t="n"/>
      <c r="C204" s="15" t="n"/>
      <c r="D204" s="15" t="n"/>
      <c r="E204" s="15" t="n"/>
      <c r="F204" s="16" t="n"/>
      <c r="G204" s="15" t="n"/>
      <c r="H204" s="15" t="n"/>
      <c r="I204" s="15" t="n"/>
      <c r="J204" s="15" t="n"/>
    </row>
    <row r="205">
      <c r="A205" s="15" t="n"/>
      <c r="B205" s="15" t="n"/>
      <c r="C205" s="15" t="n"/>
      <c r="D205" s="15" t="n"/>
      <c r="E205" s="15" t="n"/>
      <c r="F205" s="16" t="n"/>
      <c r="G205" s="15" t="n"/>
      <c r="H205" s="15" t="n"/>
      <c r="I205" s="15" t="n"/>
      <c r="J205" s="15" t="n"/>
    </row>
    <row r="206">
      <c r="A206" s="15" t="n"/>
      <c r="B206" s="15" t="n"/>
      <c r="C206" s="15" t="n"/>
      <c r="D206" s="15" t="n"/>
      <c r="E206" s="15" t="n"/>
      <c r="F206" s="16" t="n"/>
      <c r="G206" s="15" t="n"/>
      <c r="H206" s="15" t="n"/>
      <c r="I206" s="15" t="n"/>
      <c r="J206" s="15" t="n"/>
    </row>
    <row r="207">
      <c r="A207" s="15" t="n"/>
      <c r="B207" s="15" t="n"/>
      <c r="C207" s="15" t="n"/>
      <c r="D207" s="15" t="n"/>
      <c r="E207" s="15" t="n"/>
      <c r="F207" s="16" t="n"/>
      <c r="G207" s="15" t="n"/>
      <c r="H207" s="15" t="n"/>
      <c r="I207" s="15" t="n"/>
      <c r="J207" s="15" t="n"/>
    </row>
    <row r="208">
      <c r="A208" s="15" t="n"/>
      <c r="B208" s="15" t="n"/>
      <c r="C208" s="15" t="n"/>
      <c r="D208" s="15" t="n"/>
      <c r="E208" s="15" t="n"/>
      <c r="F208" s="16" t="n"/>
      <c r="G208" s="15" t="n"/>
      <c r="H208" s="15" t="n"/>
      <c r="I208" s="15" t="n"/>
      <c r="J208" s="15" t="n"/>
    </row>
    <row r="209">
      <c r="A209" s="15" t="n"/>
      <c r="B209" s="15" t="n"/>
      <c r="C209" s="15" t="n"/>
      <c r="D209" s="15" t="n"/>
      <c r="E209" s="15" t="n"/>
      <c r="F209" s="16" t="n"/>
      <c r="G209" s="15" t="n"/>
      <c r="H209" s="15" t="n"/>
      <c r="I209" s="15" t="n"/>
      <c r="J209" s="15" t="n"/>
    </row>
    <row r="210">
      <c r="A210" s="15" t="n"/>
      <c r="B210" s="15" t="n"/>
      <c r="C210" s="15" t="n"/>
      <c r="D210" s="15" t="n"/>
      <c r="E210" s="15" t="n"/>
      <c r="F210" s="16" t="n"/>
      <c r="G210" s="15" t="n"/>
      <c r="H210" s="15" t="n"/>
      <c r="I210" s="15" t="n"/>
      <c r="J210" s="15" t="n"/>
    </row>
    <row r="211">
      <c r="A211" s="15" t="n"/>
      <c r="B211" s="15" t="n"/>
      <c r="C211" s="15" t="n"/>
      <c r="D211" s="15" t="n"/>
      <c r="E211" s="15" t="n"/>
      <c r="F211" s="16" t="n"/>
      <c r="G211" s="15" t="n"/>
      <c r="H211" s="15" t="n"/>
      <c r="I211" s="15" t="n"/>
      <c r="J211" s="15" t="n"/>
    </row>
    <row r="212">
      <c r="A212" s="15" t="n"/>
      <c r="B212" s="15" t="n"/>
      <c r="C212" s="15" t="n"/>
      <c r="D212" s="15" t="n"/>
      <c r="E212" s="15" t="n"/>
      <c r="F212" s="16" t="n"/>
      <c r="G212" s="15" t="n"/>
      <c r="H212" s="15" t="n"/>
      <c r="I212" s="15" t="n"/>
      <c r="J212" s="15" t="n"/>
    </row>
    <row r="213">
      <c r="A213" s="15" t="n"/>
      <c r="B213" s="15" t="n"/>
      <c r="C213" s="15" t="n"/>
      <c r="D213" s="15" t="n"/>
      <c r="E213" s="15" t="n"/>
      <c r="F213" s="16" t="n"/>
      <c r="G213" s="15" t="n"/>
      <c r="H213" s="15" t="n"/>
      <c r="I213" s="15" t="n"/>
      <c r="J213" s="15" t="n"/>
    </row>
    <row r="214">
      <c r="A214" s="15" t="n"/>
      <c r="B214" s="15" t="n"/>
      <c r="C214" s="15" t="n"/>
      <c r="D214" s="15" t="n"/>
      <c r="E214" s="15" t="n"/>
      <c r="F214" s="16" t="n"/>
      <c r="G214" s="15" t="n"/>
      <c r="H214" s="15" t="n"/>
      <c r="I214" s="15" t="n"/>
      <c r="J214" s="15" t="n"/>
    </row>
    <row r="215">
      <c r="A215" s="15" t="n"/>
      <c r="B215" s="15" t="n"/>
      <c r="C215" s="15" t="n"/>
      <c r="D215" s="15" t="n"/>
      <c r="E215" s="15" t="n"/>
      <c r="F215" s="16" t="n"/>
      <c r="G215" s="15" t="n"/>
      <c r="H215" s="15" t="n"/>
      <c r="I215" s="15" t="n"/>
      <c r="J215" s="15" t="n"/>
    </row>
    <row r="216">
      <c r="A216" s="15" t="n"/>
      <c r="B216" s="15" t="n"/>
      <c r="C216" s="15" t="n"/>
      <c r="D216" s="15" t="n"/>
      <c r="E216" s="15" t="n"/>
      <c r="F216" s="16" t="n"/>
      <c r="G216" s="15" t="n"/>
      <c r="H216" s="15" t="n"/>
      <c r="I216" s="15" t="n"/>
      <c r="J216" s="15" t="n"/>
    </row>
    <row r="217">
      <c r="A217" s="15" t="n"/>
      <c r="B217" s="15" t="n"/>
      <c r="C217" s="15" t="n"/>
      <c r="D217" s="15" t="n"/>
      <c r="E217" s="15" t="n"/>
      <c r="F217" s="16" t="n"/>
      <c r="G217" s="15" t="n"/>
      <c r="H217" s="15" t="n"/>
      <c r="I217" s="15" t="n"/>
      <c r="J217" s="15" t="n"/>
    </row>
    <row r="218">
      <c r="A218" s="15" t="n"/>
      <c r="B218" s="15" t="n"/>
      <c r="C218" s="15" t="n"/>
      <c r="D218" s="15" t="n"/>
      <c r="E218" s="15" t="n"/>
      <c r="F218" s="16" t="n"/>
      <c r="G218" s="15" t="n"/>
      <c r="H218" s="15" t="n"/>
      <c r="I218" s="15" t="n"/>
      <c r="J218" s="15" t="n"/>
    </row>
    <row r="219">
      <c r="A219" s="15" t="n"/>
      <c r="B219" s="15" t="n"/>
      <c r="C219" s="15" t="n"/>
      <c r="D219" s="15" t="n"/>
      <c r="E219" s="15" t="n"/>
      <c r="F219" s="16" t="n"/>
      <c r="G219" s="15" t="n"/>
      <c r="H219" s="15" t="n"/>
      <c r="I219" s="15" t="n"/>
      <c r="J219" s="15" t="n"/>
    </row>
    <row r="220">
      <c r="A220" s="15" t="n"/>
      <c r="B220" s="15" t="n"/>
      <c r="C220" s="15" t="n"/>
      <c r="D220" s="15" t="n"/>
      <c r="E220" s="15" t="n"/>
      <c r="F220" s="16" t="n"/>
      <c r="G220" s="15" t="n"/>
      <c r="H220" s="15" t="n"/>
      <c r="I220" s="15" t="n"/>
      <c r="J220" s="15" t="n"/>
    </row>
    <row r="221">
      <c r="A221" s="15" t="n"/>
      <c r="B221" s="15" t="n"/>
      <c r="C221" s="15" t="n"/>
      <c r="D221" s="15" t="n"/>
      <c r="E221" s="15" t="n"/>
      <c r="F221" s="16" t="n"/>
      <c r="G221" s="15" t="n"/>
      <c r="H221" s="15" t="n"/>
      <c r="I221" s="15" t="n"/>
      <c r="J221" s="15" t="n"/>
    </row>
    <row r="222">
      <c r="A222" s="15" t="n"/>
      <c r="B222" s="15" t="n"/>
      <c r="C222" s="15" t="n"/>
      <c r="D222" s="15" t="n"/>
      <c r="E222" s="15" t="n"/>
      <c r="F222" s="16" t="n"/>
      <c r="G222" s="15" t="n"/>
      <c r="H222" s="15" t="n"/>
      <c r="I222" s="15" t="n"/>
      <c r="J222" s="15" t="n"/>
    </row>
    <row r="223">
      <c r="A223" s="15" t="n"/>
      <c r="B223" s="15" t="n"/>
      <c r="C223" s="15" t="n"/>
      <c r="D223" s="15" t="n"/>
      <c r="E223" s="15" t="n"/>
      <c r="F223" s="16" t="n"/>
      <c r="G223" s="15" t="n"/>
      <c r="H223" s="15" t="n"/>
      <c r="I223" s="15" t="n"/>
      <c r="J223" s="15" t="n"/>
    </row>
    <row r="224">
      <c r="A224" s="15" t="n"/>
      <c r="B224" s="15" t="n"/>
      <c r="C224" s="15" t="n"/>
      <c r="D224" s="15" t="n"/>
      <c r="E224" s="15" t="n"/>
      <c r="F224" s="16" t="n"/>
      <c r="G224" s="15" t="n"/>
      <c r="H224" s="15" t="n"/>
      <c r="I224" s="15" t="n"/>
      <c r="J224" s="15" t="n"/>
    </row>
    <row r="225">
      <c r="A225" s="15" t="n"/>
      <c r="B225" s="15" t="n"/>
      <c r="C225" s="15" t="n"/>
      <c r="D225" s="15" t="n"/>
      <c r="E225" s="15" t="n"/>
      <c r="F225" s="16" t="n"/>
      <c r="G225" s="15" t="n"/>
      <c r="H225" s="15" t="n"/>
      <c r="I225" s="15" t="n"/>
      <c r="J225" s="15" t="n"/>
    </row>
    <row r="226">
      <c r="A226" s="15" t="n"/>
      <c r="B226" s="15" t="n"/>
      <c r="C226" s="15" t="n"/>
      <c r="D226" s="15" t="n"/>
      <c r="E226" s="15" t="n"/>
      <c r="F226" s="16" t="n"/>
      <c r="G226" s="15" t="n"/>
      <c r="H226" s="15" t="n"/>
      <c r="I226" s="15" t="n"/>
      <c r="J226" s="15" t="n"/>
    </row>
    <row r="227">
      <c r="A227" s="15" t="n"/>
      <c r="B227" s="15" t="n"/>
      <c r="C227" s="15" t="n"/>
      <c r="D227" s="15" t="n"/>
      <c r="E227" s="15" t="n"/>
      <c r="F227" s="16" t="n"/>
      <c r="G227" s="15" t="n"/>
      <c r="H227" s="15" t="n"/>
      <c r="I227" s="15" t="n"/>
      <c r="J227" s="15" t="n"/>
    </row>
    <row r="228">
      <c r="A228" s="15" t="n"/>
      <c r="B228" s="15" t="n"/>
      <c r="C228" s="15" t="n"/>
      <c r="D228" s="15" t="n"/>
      <c r="E228" s="15" t="n"/>
      <c r="F228" s="16" t="n"/>
      <c r="G228" s="15" t="n"/>
      <c r="H228" s="15" t="n"/>
      <c r="I228" s="15" t="n"/>
      <c r="J228" s="15" t="n"/>
    </row>
    <row r="229">
      <c r="A229" s="15" t="n"/>
      <c r="B229" s="15" t="n"/>
      <c r="C229" s="15" t="n"/>
      <c r="D229" s="15" t="n"/>
      <c r="E229" s="15" t="n"/>
      <c r="F229" s="16" t="n"/>
      <c r="G229" s="15" t="n"/>
      <c r="H229" s="15" t="n"/>
      <c r="I229" s="15" t="n"/>
      <c r="J229" s="15" t="n"/>
    </row>
    <row r="230">
      <c r="A230" s="15" t="n"/>
      <c r="B230" s="15" t="n"/>
      <c r="C230" s="15" t="n"/>
      <c r="D230" s="15" t="n"/>
      <c r="E230" s="15" t="n"/>
      <c r="F230" s="16" t="n"/>
      <c r="G230" s="15" t="n"/>
      <c r="H230" s="15" t="n"/>
      <c r="I230" s="15" t="n"/>
      <c r="J230" s="15" t="n"/>
    </row>
    <row r="231">
      <c r="A231" s="15" t="n"/>
      <c r="B231" s="15" t="n"/>
      <c r="C231" s="15" t="n"/>
      <c r="D231" s="15" t="n"/>
      <c r="E231" s="15" t="n"/>
      <c r="F231" s="16" t="n"/>
      <c r="G231" s="15" t="n"/>
      <c r="H231" s="15" t="n"/>
      <c r="I231" s="15" t="n"/>
      <c r="J231" s="15" t="n"/>
    </row>
    <row r="232">
      <c r="A232" s="15" t="n"/>
      <c r="B232" s="15" t="n"/>
      <c r="C232" s="15" t="n"/>
      <c r="D232" s="15" t="n"/>
      <c r="E232" s="15" t="n"/>
      <c r="F232" s="16" t="n"/>
      <c r="G232" s="15" t="n"/>
      <c r="H232" s="15" t="n"/>
      <c r="I232" s="15" t="n"/>
      <c r="J232" s="15" t="n"/>
    </row>
    <row r="233">
      <c r="A233" s="15" t="n"/>
      <c r="B233" s="15" t="n"/>
      <c r="C233" s="15" t="n"/>
      <c r="D233" s="15" t="n"/>
      <c r="E233" s="15" t="n"/>
      <c r="F233" s="16" t="n"/>
      <c r="G233" s="15" t="n"/>
      <c r="H233" s="15" t="n"/>
      <c r="I233" s="15" t="n"/>
      <c r="J233" s="15" t="n"/>
    </row>
    <row r="234">
      <c r="A234" s="15" t="n"/>
      <c r="B234" s="15" t="n"/>
      <c r="C234" s="15" t="n"/>
      <c r="D234" s="15" t="n"/>
      <c r="E234" s="15" t="n"/>
      <c r="F234" s="16" t="n"/>
      <c r="G234" s="15" t="n"/>
      <c r="H234" s="15" t="n"/>
      <c r="I234" s="15" t="n"/>
      <c r="J234" s="15" t="n"/>
    </row>
    <row r="235">
      <c r="A235" s="15" t="n"/>
      <c r="B235" s="15" t="n"/>
      <c r="C235" s="15" t="n"/>
      <c r="D235" s="15" t="n"/>
      <c r="E235" s="15" t="n"/>
      <c r="F235" s="16" t="n"/>
      <c r="G235" s="15" t="n"/>
      <c r="H235" s="15" t="n"/>
      <c r="I235" s="15" t="n"/>
      <c r="J235" s="15" t="n"/>
    </row>
    <row r="236">
      <c r="A236" s="15" t="n"/>
      <c r="B236" s="15" t="n"/>
      <c r="C236" s="15" t="n"/>
      <c r="D236" s="15" t="n"/>
      <c r="E236" s="15" t="n"/>
      <c r="F236" s="16" t="n"/>
      <c r="G236" s="15" t="n"/>
      <c r="H236" s="15" t="n"/>
      <c r="I236" s="15" t="n"/>
      <c r="J236" s="15" t="n"/>
    </row>
    <row r="237">
      <c r="A237" s="15" t="n"/>
      <c r="B237" s="15" t="n"/>
      <c r="C237" s="15" t="n"/>
      <c r="D237" s="15" t="n"/>
      <c r="E237" s="15" t="n"/>
      <c r="F237" s="16" t="n"/>
      <c r="G237" s="15" t="n"/>
      <c r="H237" s="15" t="n"/>
      <c r="I237" s="15" t="n"/>
      <c r="J237" s="15" t="n"/>
    </row>
    <row r="238">
      <c r="A238" s="15" t="n"/>
      <c r="B238" s="15" t="n"/>
      <c r="C238" s="15" t="n"/>
      <c r="D238" s="15" t="n"/>
      <c r="E238" s="15" t="n"/>
      <c r="F238" s="16" t="n"/>
      <c r="G238" s="15" t="n"/>
      <c r="H238" s="15" t="n"/>
      <c r="I238" s="15" t="n"/>
      <c r="J238" s="15" t="n"/>
    </row>
    <row r="239">
      <c r="A239" s="15" t="n"/>
      <c r="B239" s="15" t="n"/>
      <c r="C239" s="15" t="n"/>
      <c r="D239" s="15" t="n"/>
      <c r="E239" s="15" t="n"/>
      <c r="F239" s="16" t="n"/>
      <c r="G239" s="15" t="n"/>
      <c r="H239" s="15" t="n"/>
      <c r="I239" s="15" t="n"/>
      <c r="J239" s="15" t="n"/>
    </row>
    <row r="240">
      <c r="A240" s="15" t="n"/>
      <c r="B240" s="15" t="n"/>
      <c r="C240" s="15" t="n"/>
      <c r="D240" s="15" t="n"/>
      <c r="E240" s="15" t="n"/>
      <c r="F240" s="16" t="n"/>
      <c r="G240" s="15" t="n"/>
      <c r="H240" s="15" t="n"/>
      <c r="I240" s="15" t="n"/>
      <c r="J240" s="15" t="n"/>
    </row>
    <row r="241">
      <c r="A241" s="15" t="n"/>
      <c r="B241" s="15" t="n"/>
      <c r="C241" s="15" t="n"/>
      <c r="D241" s="15" t="n"/>
      <c r="E241" s="15" t="n"/>
      <c r="F241" s="16" t="n"/>
      <c r="G241" s="15" t="n"/>
      <c r="H241" s="15" t="n"/>
      <c r="I241" s="15" t="n"/>
      <c r="J241" s="15" t="n"/>
    </row>
    <row r="242">
      <c r="A242" s="15" t="n"/>
      <c r="B242" s="15" t="n"/>
      <c r="C242" s="15" t="n"/>
      <c r="D242" s="15" t="n"/>
      <c r="E242" s="15" t="n"/>
      <c r="F242" s="16" t="n"/>
      <c r="G242" s="15" t="n"/>
      <c r="H242" s="15" t="n"/>
      <c r="I242" s="15" t="n"/>
      <c r="J242" s="15" t="n"/>
    </row>
    <row r="243">
      <c r="A243" s="15" t="n"/>
      <c r="B243" s="15" t="n"/>
      <c r="C243" s="15" t="n"/>
      <c r="D243" s="15" t="n"/>
      <c r="E243" s="15" t="n"/>
      <c r="F243" s="16" t="n"/>
      <c r="G243" s="15" t="n"/>
      <c r="H243" s="15" t="n"/>
      <c r="I243" s="15" t="n"/>
      <c r="J243" s="15" t="n"/>
    </row>
    <row r="244">
      <c r="A244" s="15" t="n"/>
      <c r="B244" s="15" t="n"/>
      <c r="C244" s="15" t="n"/>
      <c r="D244" s="15" t="n"/>
      <c r="E244" s="15" t="n"/>
      <c r="F244" s="16" t="n"/>
      <c r="G244" s="15" t="n"/>
      <c r="H244" s="15" t="n"/>
      <c r="I244" s="15" t="n"/>
      <c r="J244" s="15" t="n"/>
    </row>
    <row r="245">
      <c r="A245" s="15" t="n"/>
      <c r="B245" s="15" t="n"/>
      <c r="C245" s="15" t="n"/>
      <c r="D245" s="15" t="n"/>
      <c r="E245" s="15" t="n"/>
      <c r="F245" s="16" t="n"/>
      <c r="G245" s="15" t="n"/>
      <c r="H245" s="15" t="n"/>
      <c r="I245" s="15" t="n"/>
      <c r="J245" s="15" t="n"/>
    </row>
    <row r="246">
      <c r="A246" s="15" t="n"/>
      <c r="B246" s="15" t="n"/>
      <c r="C246" s="15" t="n"/>
      <c r="D246" s="15" t="n"/>
      <c r="E246" s="15" t="n"/>
      <c r="F246" s="16" t="n"/>
      <c r="G246" s="15" t="n"/>
      <c r="H246" s="15" t="n"/>
      <c r="I246" s="15" t="n"/>
      <c r="J246" s="15" t="n"/>
    </row>
    <row r="247">
      <c r="A247" s="15" t="n"/>
      <c r="B247" s="15" t="n"/>
      <c r="C247" s="15" t="n"/>
      <c r="D247" s="15" t="n"/>
      <c r="E247" s="15" t="n"/>
      <c r="F247" s="16" t="n"/>
      <c r="G247" s="15" t="n"/>
      <c r="H247" s="15" t="n"/>
      <c r="I247" s="15" t="n"/>
      <c r="J247" s="15" t="n"/>
    </row>
    <row r="248">
      <c r="A248" s="15" t="n"/>
      <c r="B248" s="15" t="n"/>
      <c r="C248" s="15" t="n"/>
      <c r="D248" s="15" t="n"/>
      <c r="E248" s="15" t="n"/>
      <c r="F248" s="16" t="n"/>
      <c r="G248" s="15" t="n"/>
      <c r="H248" s="15" t="n"/>
      <c r="I248" s="15" t="n"/>
      <c r="J248" s="15" t="n"/>
    </row>
    <row r="249">
      <c r="A249" s="15" t="n"/>
      <c r="B249" s="15" t="n"/>
      <c r="C249" s="15" t="n"/>
      <c r="D249" s="15" t="n"/>
      <c r="E249" s="15" t="n"/>
      <c r="F249" s="16" t="n"/>
      <c r="G249" s="15" t="n"/>
      <c r="H249" s="15" t="n"/>
      <c r="I249" s="15" t="n"/>
      <c r="J249" s="15" t="n"/>
    </row>
    <row r="250">
      <c r="A250" s="15" t="n"/>
      <c r="B250" s="15" t="n"/>
      <c r="C250" s="15" t="n"/>
      <c r="D250" s="15" t="n"/>
      <c r="E250" s="15" t="n"/>
      <c r="F250" s="16" t="n"/>
      <c r="G250" s="15" t="n"/>
      <c r="H250" s="15" t="n"/>
      <c r="I250" s="15" t="n"/>
      <c r="J250" s="15" t="n"/>
    </row>
    <row r="251">
      <c r="A251" s="15" t="n"/>
      <c r="B251" s="15" t="n"/>
      <c r="C251" s="15" t="n"/>
      <c r="D251" s="15" t="n"/>
      <c r="E251" s="15" t="n"/>
      <c r="F251" s="16" t="n"/>
      <c r="G251" s="15" t="n"/>
      <c r="H251" s="15" t="n"/>
      <c r="I251" s="15" t="n"/>
      <c r="J251" s="15" t="n"/>
    </row>
    <row r="252">
      <c r="A252" s="15" t="n"/>
      <c r="B252" s="15" t="n"/>
      <c r="C252" s="15" t="n"/>
      <c r="D252" s="15" t="n"/>
      <c r="E252" s="15" t="n"/>
      <c r="F252" s="16" t="n"/>
      <c r="G252" s="15" t="n"/>
      <c r="H252" s="15" t="n"/>
      <c r="I252" s="15" t="n"/>
      <c r="J252" s="15" t="n"/>
    </row>
    <row r="253">
      <c r="A253" s="15" t="n"/>
      <c r="B253" s="15" t="n"/>
      <c r="C253" s="15" t="n"/>
      <c r="D253" s="15" t="n"/>
      <c r="E253" s="15" t="n"/>
      <c r="F253" s="16" t="n"/>
      <c r="G253" s="15" t="n"/>
      <c r="H253" s="15" t="n"/>
      <c r="I253" s="15" t="n"/>
      <c r="J253" s="15" t="n"/>
    </row>
    <row r="254">
      <c r="A254" s="15" t="n"/>
      <c r="B254" s="15" t="n"/>
      <c r="C254" s="15" t="n"/>
      <c r="D254" s="15" t="n"/>
      <c r="E254" s="15" t="n"/>
      <c r="F254" s="16" t="n"/>
      <c r="G254" s="15" t="n"/>
      <c r="H254" s="15" t="n"/>
      <c r="I254" s="15" t="n"/>
      <c r="J254" s="15" t="n"/>
    </row>
    <row r="255">
      <c r="A255" s="15" t="n"/>
      <c r="B255" s="15" t="n"/>
      <c r="C255" s="15" t="n"/>
      <c r="D255" s="15" t="n"/>
      <c r="E255" s="15" t="n"/>
      <c r="F255" s="16" t="n"/>
      <c r="G255" s="15" t="n"/>
      <c r="H255" s="15" t="n"/>
      <c r="I255" s="15" t="n"/>
      <c r="J255" s="15" t="n"/>
    </row>
    <row r="256">
      <c r="A256" s="15" t="n"/>
      <c r="B256" s="15" t="n"/>
      <c r="C256" s="15" t="n"/>
      <c r="D256" s="15" t="n"/>
      <c r="E256" s="15" t="n"/>
      <c r="F256" s="16" t="n"/>
      <c r="G256" s="15" t="n"/>
      <c r="H256" s="15" t="n"/>
      <c r="I256" s="15" t="n"/>
      <c r="J256" s="15" t="n"/>
    </row>
    <row r="257">
      <c r="A257" s="15" t="n"/>
      <c r="B257" s="15" t="n"/>
      <c r="C257" s="15" t="n"/>
      <c r="D257" s="15" t="n"/>
      <c r="E257" s="15" t="n"/>
      <c r="F257" s="16" t="n"/>
      <c r="G257" s="15" t="n"/>
      <c r="H257" s="15" t="n"/>
      <c r="I257" s="15" t="n"/>
      <c r="J257" s="15" t="n"/>
    </row>
    <row r="258">
      <c r="A258" s="15" t="n"/>
      <c r="B258" s="15" t="n"/>
      <c r="C258" s="15" t="n"/>
      <c r="D258" s="15" t="n"/>
      <c r="E258" s="15" t="n"/>
      <c r="F258" s="16" t="n"/>
      <c r="G258" s="15" t="n"/>
      <c r="H258" s="15" t="n"/>
      <c r="I258" s="15" t="n"/>
      <c r="J258" s="15" t="n"/>
    </row>
    <row r="259">
      <c r="A259" s="15" t="n"/>
      <c r="B259" s="15" t="n"/>
      <c r="C259" s="15" t="n"/>
      <c r="D259" s="15" t="n"/>
      <c r="E259" s="15" t="n"/>
      <c r="F259" s="16" t="n"/>
      <c r="G259" s="15" t="n"/>
      <c r="H259" s="15" t="n"/>
      <c r="I259" s="15" t="n"/>
      <c r="J259" s="15" t="n"/>
    </row>
    <row r="260">
      <c r="A260" s="15" t="n"/>
      <c r="B260" s="15" t="n"/>
      <c r="C260" s="15" t="n"/>
      <c r="D260" s="15" t="n"/>
      <c r="E260" s="15" t="n"/>
      <c r="F260" s="16" t="n"/>
      <c r="G260" s="15" t="n"/>
      <c r="H260" s="15" t="n"/>
      <c r="I260" s="15" t="n"/>
      <c r="J260" s="15" t="n"/>
    </row>
    <row r="261">
      <c r="A261" s="15" t="n"/>
      <c r="B261" s="15" t="n"/>
      <c r="C261" s="15" t="n"/>
      <c r="D261" s="15" t="n"/>
      <c r="E261" s="15" t="n"/>
      <c r="F261" s="16" t="n"/>
      <c r="G261" s="15" t="n"/>
      <c r="H261" s="15" t="n"/>
      <c r="I261" s="15" t="n"/>
      <c r="J261" s="15" t="n"/>
    </row>
    <row r="262">
      <c r="A262" s="15" t="n"/>
      <c r="B262" s="15" t="n"/>
      <c r="C262" s="15" t="n"/>
      <c r="D262" s="15" t="n"/>
      <c r="E262" s="15" t="n"/>
      <c r="F262" s="16" t="n"/>
      <c r="G262" s="15" t="n"/>
      <c r="H262" s="15" t="n"/>
      <c r="I262" s="15" t="n"/>
      <c r="J262" s="15" t="n"/>
    </row>
    <row r="263">
      <c r="A263" s="15" t="n"/>
      <c r="B263" s="15" t="n"/>
      <c r="C263" s="15" t="n"/>
      <c r="D263" s="15" t="n"/>
      <c r="E263" s="15" t="n"/>
      <c r="F263" s="16" t="n"/>
      <c r="G263" s="15" t="n"/>
      <c r="H263" s="15" t="n"/>
      <c r="I263" s="15" t="n"/>
      <c r="J263" s="15" t="n"/>
    </row>
    <row r="264">
      <c r="A264" s="15" t="n"/>
      <c r="B264" s="15" t="n"/>
      <c r="C264" s="15" t="n"/>
      <c r="D264" s="15" t="n"/>
      <c r="E264" s="15" t="n"/>
      <c r="F264" s="16" t="n"/>
      <c r="G264" s="15" t="n"/>
      <c r="H264" s="15" t="n"/>
      <c r="I264" s="15" t="n"/>
      <c r="J264" s="15" t="n"/>
    </row>
    <row r="265">
      <c r="A265" s="15" t="n"/>
      <c r="B265" s="15" t="n"/>
      <c r="C265" s="15" t="n"/>
      <c r="D265" s="15" t="n"/>
      <c r="E265" s="15" t="n"/>
      <c r="F265" s="16" t="n"/>
      <c r="G265" s="15" t="n"/>
      <c r="H265" s="15" t="n"/>
      <c r="I265" s="15" t="n"/>
      <c r="J265" s="15" t="n"/>
    </row>
    <row r="266">
      <c r="A266" s="15" t="n"/>
      <c r="B266" s="15" t="n"/>
      <c r="C266" s="15" t="n"/>
      <c r="D266" s="15" t="n"/>
      <c r="E266" s="15" t="n"/>
      <c r="F266" s="16" t="n"/>
      <c r="G266" s="15" t="n"/>
      <c r="H266" s="15" t="n"/>
      <c r="I266" s="15" t="n"/>
      <c r="J266" s="15" t="n"/>
    </row>
    <row r="267">
      <c r="A267" s="15" t="n"/>
      <c r="B267" s="15" t="n"/>
      <c r="C267" s="15" t="n"/>
      <c r="D267" s="15" t="n"/>
      <c r="E267" s="15" t="n"/>
      <c r="F267" s="16" t="n"/>
      <c r="G267" s="15" t="n"/>
      <c r="H267" s="15" t="n"/>
      <c r="I267" s="15" t="n"/>
      <c r="J267" s="15" t="n"/>
    </row>
    <row r="268">
      <c r="A268" s="15" t="n"/>
      <c r="B268" s="15" t="n"/>
      <c r="C268" s="15" t="n"/>
      <c r="D268" s="15" t="n"/>
      <c r="E268" s="15" t="n"/>
      <c r="F268" s="16" t="n"/>
      <c r="G268" s="15" t="n"/>
      <c r="H268" s="15" t="n"/>
      <c r="I268" s="15" t="n"/>
      <c r="J268" s="15" t="n"/>
    </row>
    <row r="269">
      <c r="A269" s="15" t="n"/>
      <c r="B269" s="15" t="n"/>
      <c r="C269" s="15" t="n"/>
      <c r="D269" s="15" t="n"/>
      <c r="E269" s="15" t="n"/>
      <c r="F269" s="16" t="n"/>
      <c r="G269" s="15" t="n"/>
      <c r="H269" s="15" t="n"/>
      <c r="I269" s="15" t="n"/>
      <c r="J269" s="15" t="n"/>
    </row>
    <row r="270">
      <c r="A270" s="15" t="n"/>
      <c r="B270" s="15" t="n"/>
      <c r="C270" s="15" t="n"/>
      <c r="D270" s="15" t="n"/>
      <c r="E270" s="15" t="n"/>
      <c r="F270" s="16" t="n"/>
      <c r="G270" s="15" t="n"/>
      <c r="H270" s="15" t="n"/>
      <c r="I270" s="15" t="n"/>
      <c r="J270" s="15" t="n"/>
    </row>
    <row r="271">
      <c r="A271" s="15" t="n"/>
      <c r="B271" s="15" t="n"/>
      <c r="C271" s="15" t="n"/>
      <c r="D271" s="15" t="n"/>
      <c r="E271" s="15" t="n"/>
      <c r="F271" s="16" t="n"/>
      <c r="G271" s="15" t="n"/>
      <c r="H271" s="15" t="n"/>
      <c r="I271" s="15" t="n"/>
      <c r="J271" s="15" t="n"/>
    </row>
    <row r="272">
      <c r="A272" s="15" t="n"/>
      <c r="B272" s="15" t="n"/>
      <c r="C272" s="15" t="n"/>
      <c r="D272" s="15" t="n"/>
      <c r="E272" s="15" t="n"/>
      <c r="F272" s="16" t="n"/>
      <c r="G272" s="15" t="n"/>
      <c r="H272" s="15" t="n"/>
      <c r="I272" s="15" t="n"/>
      <c r="J272" s="15" t="n"/>
    </row>
    <row r="273">
      <c r="A273" s="15" t="n"/>
      <c r="B273" s="15" t="n"/>
      <c r="C273" s="15" t="n"/>
      <c r="D273" s="15" t="n"/>
      <c r="E273" s="15" t="n"/>
      <c r="F273" s="16" t="n"/>
      <c r="G273" s="15" t="n"/>
      <c r="H273" s="15" t="n"/>
      <c r="I273" s="15" t="n"/>
      <c r="J273" s="15" t="n"/>
    </row>
    <row r="274">
      <c r="A274" s="15" t="n"/>
      <c r="B274" s="15" t="n"/>
      <c r="C274" s="15" t="n"/>
      <c r="D274" s="15" t="n"/>
      <c r="E274" s="15" t="n"/>
      <c r="F274" s="16" t="n"/>
      <c r="G274" s="15" t="n"/>
      <c r="H274" s="15" t="n"/>
      <c r="I274" s="15" t="n"/>
      <c r="J274" s="15" t="n"/>
    </row>
    <row r="275">
      <c r="A275" s="15" t="n"/>
      <c r="B275" s="15" t="n"/>
      <c r="C275" s="15" t="n"/>
      <c r="D275" s="15" t="n"/>
      <c r="E275" s="15" t="n"/>
      <c r="F275" s="16" t="n"/>
      <c r="G275" s="15" t="n"/>
      <c r="H275" s="15" t="n"/>
      <c r="I275" s="15" t="n"/>
      <c r="J275" s="15" t="n"/>
    </row>
    <row r="276">
      <c r="A276" s="15" t="n"/>
      <c r="B276" s="15" t="n"/>
      <c r="C276" s="15" t="n"/>
      <c r="D276" s="15" t="n"/>
      <c r="E276" s="15" t="n"/>
      <c r="F276" s="16" t="n"/>
      <c r="G276" s="15" t="n"/>
      <c r="H276" s="15" t="n"/>
      <c r="I276" s="15" t="n"/>
      <c r="J276" s="15" t="n"/>
    </row>
    <row r="277">
      <c r="A277" s="15" t="n"/>
      <c r="B277" s="15" t="n"/>
      <c r="C277" s="15" t="n"/>
      <c r="D277" s="15" t="n"/>
      <c r="E277" s="15" t="n"/>
      <c r="F277" s="16" t="n"/>
      <c r="G277" s="15" t="n"/>
      <c r="H277" s="15" t="n"/>
      <c r="I277" s="15" t="n"/>
      <c r="J277" s="15" t="n"/>
    </row>
    <row r="278">
      <c r="A278" s="15" t="n"/>
      <c r="B278" s="15" t="n"/>
      <c r="C278" s="15" t="n"/>
      <c r="D278" s="15" t="n"/>
      <c r="E278" s="15" t="n"/>
      <c r="F278" s="16" t="n"/>
      <c r="G278" s="15" t="n"/>
      <c r="H278" s="15" t="n"/>
      <c r="I278" s="15" t="n"/>
      <c r="J278" s="15" t="n"/>
    </row>
    <row r="279">
      <c r="A279" s="15" t="n"/>
      <c r="B279" s="15" t="n"/>
      <c r="C279" s="15" t="n"/>
      <c r="D279" s="15" t="n"/>
      <c r="E279" s="15" t="n"/>
      <c r="F279" s="16" t="n"/>
      <c r="G279" s="15" t="n"/>
      <c r="H279" s="15" t="n"/>
      <c r="I279" s="15" t="n"/>
      <c r="J279" s="15" t="n"/>
    </row>
    <row r="280">
      <c r="A280" s="15" t="n"/>
      <c r="B280" s="15" t="n"/>
      <c r="C280" s="15" t="n"/>
      <c r="D280" s="15" t="n"/>
      <c r="E280" s="15" t="n"/>
      <c r="F280" s="16" t="n"/>
      <c r="G280" s="15" t="n"/>
      <c r="H280" s="15" t="n"/>
      <c r="I280" s="15" t="n"/>
      <c r="J280" s="15" t="n"/>
    </row>
    <row r="281">
      <c r="A281" s="15" t="n"/>
      <c r="B281" s="15" t="n"/>
      <c r="C281" s="15" t="n"/>
      <c r="D281" s="15" t="n"/>
      <c r="E281" s="15" t="n"/>
      <c r="F281" s="16" t="n"/>
      <c r="G281" s="15" t="n"/>
      <c r="H281" s="15" t="n"/>
      <c r="I281" s="15" t="n"/>
      <c r="J281" s="15" t="n"/>
    </row>
    <row r="282">
      <c r="A282" s="15" t="n"/>
      <c r="B282" s="15" t="n"/>
      <c r="C282" s="15" t="n"/>
      <c r="D282" s="15" t="n"/>
      <c r="E282" s="15" t="n"/>
      <c r="F282" s="16" t="n"/>
      <c r="G282" s="15" t="n"/>
      <c r="H282" s="15" t="n"/>
      <c r="I282" s="15" t="n"/>
      <c r="J282" s="15" t="n"/>
    </row>
    <row r="283">
      <c r="A283" s="15" t="n"/>
      <c r="B283" s="15" t="n"/>
      <c r="C283" s="15" t="n"/>
      <c r="D283" s="15" t="n"/>
      <c r="E283" s="15" t="n"/>
      <c r="F283" s="16" t="n"/>
      <c r="G283" s="15" t="n"/>
      <c r="H283" s="15" t="n"/>
      <c r="I283" s="15" t="n"/>
      <c r="J283" s="15" t="n"/>
    </row>
    <row r="284">
      <c r="A284" s="15" t="n"/>
      <c r="B284" s="15" t="n"/>
      <c r="C284" s="15" t="n"/>
      <c r="D284" s="15" t="n"/>
      <c r="E284" s="15" t="n"/>
      <c r="F284" s="16" t="n"/>
      <c r="G284" s="15" t="n"/>
      <c r="H284" s="15" t="n"/>
      <c r="I284" s="15" t="n"/>
      <c r="J284" s="15" t="n"/>
    </row>
    <row r="285">
      <c r="A285" s="15" t="n"/>
      <c r="B285" s="15" t="n"/>
      <c r="C285" s="15" t="n"/>
      <c r="D285" s="15" t="n"/>
      <c r="E285" s="15" t="n"/>
      <c r="F285" s="16" t="n"/>
      <c r="G285" s="15" t="n"/>
      <c r="H285" s="15" t="n"/>
      <c r="I285" s="15" t="n"/>
      <c r="J285" s="15" t="n"/>
    </row>
    <row r="286">
      <c r="A286" s="15" t="n"/>
      <c r="B286" s="15" t="n"/>
      <c r="C286" s="15" t="n"/>
      <c r="D286" s="15" t="n"/>
      <c r="E286" s="15" t="n"/>
      <c r="F286" s="16" t="n"/>
      <c r="G286" s="15" t="n"/>
      <c r="H286" s="15" t="n"/>
      <c r="I286" s="15" t="n"/>
      <c r="J286" s="15" t="n"/>
    </row>
    <row r="287">
      <c r="A287" s="15" t="n"/>
      <c r="B287" s="15" t="n"/>
      <c r="C287" s="15" t="n"/>
      <c r="D287" s="15" t="n"/>
      <c r="E287" s="15" t="n"/>
      <c r="F287" s="16" t="n"/>
      <c r="G287" s="15" t="n"/>
      <c r="H287" s="15" t="n"/>
      <c r="I287" s="15" t="n"/>
      <c r="J287" s="15" t="n"/>
    </row>
    <row r="288">
      <c r="A288" s="15" t="n"/>
      <c r="B288" s="15" t="n"/>
      <c r="C288" s="15" t="n"/>
      <c r="D288" s="15" t="n"/>
      <c r="E288" s="15" t="n"/>
      <c r="F288" s="16" t="n"/>
      <c r="G288" s="15" t="n"/>
      <c r="H288" s="15" t="n"/>
      <c r="I288" s="15" t="n"/>
      <c r="J288" s="15" t="n"/>
    </row>
    <row r="289">
      <c r="A289" s="15" t="n"/>
      <c r="B289" s="15" t="n"/>
      <c r="C289" s="15" t="n"/>
      <c r="D289" s="15" t="n"/>
      <c r="E289" s="15" t="n"/>
      <c r="F289" s="16" t="n"/>
      <c r="G289" s="15" t="n"/>
      <c r="H289" s="15" t="n"/>
      <c r="I289" s="15" t="n"/>
      <c r="J289" s="15" t="n"/>
    </row>
    <row r="290">
      <c r="A290" s="15" t="n"/>
      <c r="B290" s="15" t="n"/>
      <c r="C290" s="15" t="n"/>
      <c r="D290" s="15" t="n"/>
      <c r="E290" s="15" t="n"/>
      <c r="F290" s="16" t="n"/>
      <c r="G290" s="15" t="n"/>
      <c r="H290" s="15" t="n"/>
      <c r="I290" s="15" t="n"/>
      <c r="J290" s="15" t="n"/>
    </row>
    <row r="291">
      <c r="A291" s="15" t="n"/>
      <c r="B291" s="15" t="n"/>
      <c r="C291" s="15" t="n"/>
      <c r="D291" s="15" t="n"/>
      <c r="E291" s="15" t="n"/>
      <c r="F291" s="16" t="n"/>
      <c r="G291" s="15" t="n"/>
      <c r="H291" s="15" t="n"/>
      <c r="I291" s="15" t="n"/>
      <c r="J291" s="15" t="n"/>
    </row>
    <row r="292">
      <c r="A292" s="15" t="n"/>
      <c r="B292" s="15" t="n"/>
      <c r="C292" s="15" t="n"/>
      <c r="D292" s="15" t="n"/>
      <c r="E292" s="15" t="n"/>
      <c r="F292" s="16" t="n"/>
      <c r="G292" s="15" t="n"/>
      <c r="H292" s="15" t="n"/>
      <c r="I292" s="15" t="n"/>
      <c r="J292" s="15" t="n"/>
    </row>
    <row r="293">
      <c r="A293" s="15" t="n"/>
      <c r="B293" s="15" t="n"/>
      <c r="C293" s="15" t="n"/>
      <c r="D293" s="15" t="n"/>
      <c r="E293" s="15" t="n"/>
      <c r="F293" s="16" t="n"/>
      <c r="G293" s="15" t="n"/>
      <c r="H293" s="15" t="n"/>
      <c r="I293" s="15" t="n"/>
      <c r="J293" s="15" t="n"/>
    </row>
    <row r="294">
      <c r="A294" s="15" t="n"/>
      <c r="B294" s="15" t="n"/>
      <c r="C294" s="15" t="n"/>
      <c r="D294" s="15" t="n"/>
      <c r="E294" s="15" t="n"/>
      <c r="F294" s="16" t="n"/>
      <c r="G294" s="15" t="n"/>
      <c r="H294" s="15" t="n"/>
      <c r="I294" s="15" t="n"/>
      <c r="J294" s="15" t="n"/>
    </row>
    <row r="295">
      <c r="A295" s="15" t="n"/>
      <c r="B295" s="15" t="n"/>
      <c r="C295" s="15" t="n"/>
      <c r="D295" s="15" t="n"/>
      <c r="E295" s="15" t="n"/>
      <c r="F295" s="16" t="n"/>
      <c r="G295" s="15" t="n"/>
      <c r="H295" s="15" t="n"/>
      <c r="I295" s="15" t="n"/>
      <c r="J295" s="15" t="n"/>
    </row>
    <row r="296">
      <c r="A296" s="15" t="n"/>
      <c r="B296" s="15" t="n"/>
      <c r="C296" s="15" t="n"/>
      <c r="D296" s="15" t="n"/>
      <c r="E296" s="15" t="n"/>
      <c r="F296" s="16" t="n"/>
      <c r="G296" s="15" t="n"/>
      <c r="H296" s="15" t="n"/>
      <c r="I296" s="15" t="n"/>
      <c r="J296" s="15" t="n"/>
    </row>
    <row r="297">
      <c r="A297" s="15" t="n"/>
      <c r="B297" s="15" t="n"/>
      <c r="C297" s="15" t="n"/>
      <c r="D297" s="15" t="n"/>
      <c r="E297" s="15" t="n"/>
      <c r="F297" s="16" t="n"/>
      <c r="G297" s="15" t="n"/>
      <c r="H297" s="15" t="n"/>
      <c r="I297" s="15" t="n"/>
      <c r="J297" s="15" t="n"/>
    </row>
    <row r="298">
      <c r="A298" s="15" t="n"/>
      <c r="B298" s="15" t="n"/>
      <c r="C298" s="15" t="n"/>
      <c r="D298" s="15" t="n"/>
      <c r="E298" s="15" t="n"/>
      <c r="F298" s="16" t="n"/>
      <c r="G298" s="15" t="n"/>
      <c r="H298" s="15" t="n"/>
      <c r="I298" s="15" t="n"/>
      <c r="J298" s="15" t="n"/>
    </row>
    <row r="299">
      <c r="A299" s="15" t="n"/>
      <c r="B299" s="15" t="n"/>
      <c r="C299" s="15" t="n"/>
      <c r="D299" s="15" t="n"/>
      <c r="E299" s="15" t="n"/>
      <c r="F299" s="16" t="n"/>
      <c r="G299" s="15" t="n"/>
      <c r="H299" s="15" t="n"/>
      <c r="I299" s="15" t="n"/>
      <c r="J299" s="15" t="n"/>
    </row>
    <row r="300">
      <c r="A300" s="15" t="n"/>
      <c r="B300" s="15" t="n"/>
      <c r="C300" s="15" t="n"/>
      <c r="D300" s="15" t="n"/>
      <c r="E300" s="15" t="n"/>
      <c r="F300" s="16" t="n"/>
      <c r="G300" s="15" t="n"/>
      <c r="H300" s="15" t="n"/>
      <c r="I300" s="15" t="n"/>
      <c r="J300" s="15" t="n"/>
    </row>
    <row r="301">
      <c r="A301" s="15" t="n"/>
      <c r="B301" s="15" t="n"/>
      <c r="C301" s="15" t="n"/>
      <c r="D301" s="15" t="n"/>
      <c r="E301" s="15" t="n"/>
      <c r="F301" s="16" t="n"/>
      <c r="G301" s="15" t="n"/>
      <c r="H301" s="15" t="n"/>
      <c r="I301" s="15" t="n"/>
      <c r="J301" s="15" t="n"/>
    </row>
    <row r="302">
      <c r="A302" s="15" t="n"/>
      <c r="B302" s="15" t="n"/>
      <c r="C302" s="15" t="n"/>
      <c r="D302" s="15" t="n"/>
      <c r="E302" s="15" t="n"/>
      <c r="F302" s="16" t="n"/>
      <c r="G302" s="15" t="n"/>
      <c r="H302" s="15" t="n"/>
      <c r="I302" s="15" t="n"/>
      <c r="J302" s="15" t="n"/>
    </row>
    <row r="303">
      <c r="A303" s="15" t="n"/>
      <c r="B303" s="15" t="n"/>
      <c r="C303" s="15" t="n"/>
      <c r="D303" s="15" t="n"/>
      <c r="E303" s="15" t="n"/>
      <c r="F303" s="16" t="n"/>
      <c r="G303" s="15" t="n"/>
      <c r="H303" s="15" t="n"/>
      <c r="I303" s="15" t="n"/>
      <c r="J303" s="15" t="n"/>
    </row>
    <row r="304">
      <c r="A304" s="15" t="n"/>
      <c r="B304" s="15" t="n"/>
      <c r="C304" s="15" t="n"/>
      <c r="D304" s="15" t="n"/>
      <c r="E304" s="15" t="n"/>
      <c r="F304" s="16" t="n"/>
      <c r="G304" s="15" t="n"/>
      <c r="H304" s="15" t="n"/>
      <c r="I304" s="15" t="n"/>
      <c r="J304" s="15" t="n"/>
    </row>
    <row r="305">
      <c r="A305" s="15" t="n"/>
      <c r="B305" s="15" t="n"/>
      <c r="C305" s="15" t="n"/>
      <c r="D305" s="15" t="n"/>
      <c r="E305" s="15" t="n"/>
      <c r="F305" s="16" t="n"/>
      <c r="G305" s="15" t="n"/>
      <c r="H305" s="15" t="n"/>
      <c r="I305" s="15" t="n"/>
      <c r="J305" s="15" t="n"/>
    </row>
    <row r="306">
      <c r="A306" s="15" t="n"/>
      <c r="B306" s="15" t="n"/>
      <c r="C306" s="15" t="n"/>
      <c r="D306" s="15" t="n"/>
      <c r="E306" s="15" t="n"/>
      <c r="F306" s="16" t="n"/>
      <c r="G306" s="15" t="n"/>
      <c r="H306" s="15" t="n"/>
      <c r="I306" s="15" t="n"/>
      <c r="J306" s="15" t="n"/>
    </row>
    <row r="307">
      <c r="A307" s="15" t="n"/>
      <c r="B307" s="15" t="n"/>
      <c r="C307" s="15" t="n"/>
      <c r="D307" s="15" t="n"/>
      <c r="E307" s="15" t="n"/>
      <c r="F307" s="16" t="n"/>
      <c r="G307" s="15" t="n"/>
      <c r="H307" s="15" t="n"/>
      <c r="I307" s="15" t="n"/>
      <c r="J307" s="15" t="n"/>
    </row>
    <row r="308">
      <c r="A308" s="15" t="n"/>
      <c r="B308" s="15" t="n"/>
      <c r="C308" s="15" t="n"/>
      <c r="D308" s="15" t="n"/>
      <c r="E308" s="15" t="n"/>
      <c r="F308" s="16" t="n"/>
      <c r="G308" s="15" t="n"/>
      <c r="H308" s="15" t="n"/>
      <c r="I308" s="15" t="n"/>
      <c r="J308" s="15" t="n"/>
    </row>
    <row r="309">
      <c r="A309" s="15" t="n"/>
      <c r="B309" s="15" t="n"/>
      <c r="C309" s="15" t="n"/>
      <c r="D309" s="15" t="n"/>
      <c r="E309" s="15" t="n"/>
      <c r="F309" s="16" t="n"/>
      <c r="G309" s="15" t="n"/>
      <c r="H309" s="15" t="n"/>
      <c r="I309" s="15" t="n"/>
      <c r="J309" s="15" t="n"/>
    </row>
    <row r="310">
      <c r="A310" s="15" t="n"/>
      <c r="B310" s="15" t="n"/>
      <c r="C310" s="15" t="n"/>
      <c r="D310" s="15" t="n"/>
      <c r="E310" s="15" t="n"/>
      <c r="F310" s="16" t="n"/>
      <c r="G310" s="15" t="n"/>
      <c r="H310" s="15" t="n"/>
      <c r="I310" s="15" t="n"/>
      <c r="J310" s="15" t="n"/>
    </row>
    <row r="311">
      <c r="A311" s="15" t="n"/>
      <c r="B311" s="15" t="n"/>
      <c r="C311" s="15" t="n"/>
      <c r="D311" s="15" t="n"/>
      <c r="E311" s="15" t="n"/>
      <c r="F311" s="16" t="n"/>
      <c r="G311" s="15" t="n"/>
      <c r="H311" s="15" t="n"/>
      <c r="I311" s="15" t="n"/>
      <c r="J311" s="15" t="n"/>
    </row>
    <row r="312">
      <c r="A312" s="15" t="n"/>
      <c r="B312" s="15" t="n"/>
      <c r="C312" s="15" t="n"/>
      <c r="D312" s="15" t="n"/>
      <c r="E312" s="15" t="n"/>
      <c r="F312" s="16" t="n"/>
      <c r="G312" s="15" t="n"/>
      <c r="H312" s="15" t="n"/>
      <c r="I312" s="15" t="n"/>
      <c r="J312" s="15" t="n"/>
    </row>
    <row r="313">
      <c r="A313" s="15" t="n"/>
      <c r="B313" s="15" t="n"/>
      <c r="C313" s="15" t="n"/>
      <c r="D313" s="15" t="n"/>
      <c r="E313" s="15" t="n"/>
      <c r="F313" s="16" t="n"/>
      <c r="G313" s="15" t="n"/>
      <c r="H313" s="15" t="n"/>
      <c r="I313" s="15" t="n"/>
      <c r="J313" s="15" t="n"/>
    </row>
    <row r="314">
      <c r="A314" s="15" t="n"/>
      <c r="B314" s="15" t="n"/>
      <c r="C314" s="15" t="n"/>
      <c r="D314" s="15" t="n"/>
      <c r="E314" s="15" t="n"/>
      <c r="F314" s="16" t="n"/>
      <c r="G314" s="15" t="n"/>
      <c r="H314" s="15" t="n"/>
      <c r="I314" s="15" t="n"/>
      <c r="J314" s="15" t="n"/>
    </row>
    <row r="315">
      <c r="A315" s="15" t="n"/>
      <c r="B315" s="15" t="n"/>
      <c r="C315" s="15" t="n"/>
      <c r="D315" s="15" t="n"/>
      <c r="E315" s="15" t="n"/>
      <c r="F315" s="16" t="n"/>
      <c r="G315" s="15" t="n"/>
      <c r="H315" s="15" t="n"/>
      <c r="I315" s="15" t="n"/>
      <c r="J315" s="15" t="n"/>
    </row>
    <row r="316">
      <c r="A316" s="15" t="n"/>
      <c r="B316" s="15" t="n"/>
      <c r="C316" s="15" t="n"/>
      <c r="D316" s="15" t="n"/>
      <c r="E316" s="15" t="n"/>
      <c r="F316" s="16" t="n"/>
      <c r="G316" s="15" t="n"/>
      <c r="H316" s="15" t="n"/>
      <c r="I316" s="15" t="n"/>
      <c r="J316" s="15" t="n"/>
    </row>
    <row r="317">
      <c r="A317" s="15" t="n"/>
      <c r="B317" s="15" t="n"/>
      <c r="C317" s="15" t="n"/>
      <c r="D317" s="15" t="n"/>
      <c r="E317" s="15" t="n"/>
      <c r="F317" s="16" t="n"/>
      <c r="G317" s="15" t="n"/>
      <c r="H317" s="15" t="n"/>
      <c r="I317" s="15" t="n"/>
      <c r="J317" s="15" t="n"/>
    </row>
    <row r="318">
      <c r="A318" s="15" t="n"/>
      <c r="B318" s="15" t="n"/>
      <c r="C318" s="15" t="n"/>
      <c r="D318" s="15" t="n"/>
      <c r="E318" s="15" t="n"/>
      <c r="F318" s="16" t="n"/>
      <c r="G318" s="15" t="n"/>
      <c r="H318" s="15" t="n"/>
      <c r="I318" s="15" t="n"/>
      <c r="J318" s="15" t="n"/>
    </row>
    <row r="319">
      <c r="A319" s="15" t="n"/>
      <c r="B319" s="15" t="n"/>
      <c r="C319" s="15" t="n"/>
      <c r="D319" s="15" t="n"/>
      <c r="E319" s="15" t="n"/>
      <c r="F319" s="16" t="n"/>
      <c r="G319" s="15" t="n"/>
      <c r="H319" s="15" t="n"/>
      <c r="I319" s="15" t="n"/>
      <c r="J319" s="15" t="n"/>
    </row>
    <row r="320">
      <c r="A320" s="15" t="n"/>
      <c r="B320" s="15" t="n"/>
      <c r="C320" s="15" t="n"/>
      <c r="D320" s="15" t="n"/>
      <c r="E320" s="15" t="n"/>
      <c r="F320" s="16" t="n"/>
      <c r="G320" s="15" t="n"/>
      <c r="H320" s="15" t="n"/>
      <c r="I320" s="15" t="n"/>
      <c r="J320" s="15" t="n"/>
    </row>
    <row r="321">
      <c r="A321" s="15" t="n"/>
      <c r="B321" s="15" t="n"/>
      <c r="C321" s="15" t="n"/>
      <c r="D321" s="15" t="n"/>
      <c r="E321" s="15" t="n"/>
      <c r="F321" s="16" t="n"/>
      <c r="G321" s="15" t="n"/>
      <c r="H321" s="15" t="n"/>
      <c r="I321" s="15" t="n"/>
      <c r="J321" s="15" t="n"/>
    </row>
    <row r="322">
      <c r="A322" s="15" t="n"/>
      <c r="B322" s="15" t="n"/>
      <c r="C322" s="15" t="n"/>
      <c r="D322" s="15" t="n"/>
      <c r="E322" s="15" t="n"/>
      <c r="F322" s="16" t="n"/>
      <c r="G322" s="15" t="n"/>
      <c r="H322" s="15" t="n"/>
      <c r="I322" s="15" t="n"/>
      <c r="J322" s="15" t="n"/>
    </row>
    <row r="323">
      <c r="A323" s="15" t="n"/>
      <c r="B323" s="15" t="n"/>
      <c r="C323" s="15" t="n"/>
      <c r="D323" s="15" t="n"/>
      <c r="E323" s="15" t="n"/>
      <c r="F323" s="16" t="n"/>
      <c r="G323" s="15" t="n"/>
      <c r="H323" s="15" t="n"/>
      <c r="I323" s="15" t="n"/>
      <c r="J323" s="15" t="n"/>
    </row>
    <row r="324">
      <c r="A324" s="15" t="n"/>
      <c r="B324" s="15" t="n"/>
      <c r="C324" s="15" t="n"/>
      <c r="D324" s="15" t="n"/>
      <c r="E324" s="15" t="n"/>
      <c r="F324" s="16" t="n"/>
      <c r="G324" s="15" t="n"/>
      <c r="H324" s="15" t="n"/>
      <c r="I324" s="15" t="n"/>
      <c r="J324" s="15" t="n"/>
    </row>
    <row r="325">
      <c r="A325" s="15" t="n"/>
      <c r="B325" s="15" t="n"/>
      <c r="C325" s="15" t="n"/>
      <c r="D325" s="15" t="n"/>
      <c r="E325" s="15" t="n"/>
      <c r="F325" s="16" t="n"/>
      <c r="G325" s="15" t="n"/>
      <c r="H325" s="15" t="n"/>
      <c r="I325" s="15" t="n"/>
      <c r="J325" s="15" t="n"/>
    </row>
    <row r="326">
      <c r="A326" s="15" t="n"/>
      <c r="B326" s="15" t="n"/>
      <c r="C326" s="15" t="n"/>
      <c r="D326" s="15" t="n"/>
      <c r="E326" s="15" t="n"/>
      <c r="F326" s="16" t="n"/>
      <c r="G326" s="15" t="n"/>
      <c r="H326" s="15" t="n"/>
      <c r="I326" s="15" t="n"/>
      <c r="J326" s="15" t="n"/>
    </row>
    <row r="327">
      <c r="A327" s="15" t="n"/>
      <c r="B327" s="15" t="n"/>
      <c r="C327" s="15" t="n"/>
      <c r="D327" s="15" t="n"/>
      <c r="E327" s="15" t="n"/>
      <c r="F327" s="16" t="n"/>
      <c r="G327" s="15" t="n"/>
      <c r="H327" s="15" t="n"/>
      <c r="I327" s="15" t="n"/>
      <c r="J327" s="15" t="n"/>
    </row>
    <row r="328">
      <c r="A328" s="15" t="n"/>
      <c r="B328" s="15" t="n"/>
      <c r="C328" s="15" t="n"/>
      <c r="D328" s="15" t="n"/>
      <c r="E328" s="15" t="n"/>
      <c r="F328" s="16" t="n"/>
      <c r="G328" s="15" t="n"/>
      <c r="H328" s="15" t="n"/>
      <c r="I328" s="15" t="n"/>
      <c r="J328" s="15" t="n"/>
    </row>
    <row r="329">
      <c r="A329" s="15" t="n"/>
      <c r="B329" s="15" t="n"/>
      <c r="C329" s="15" t="n"/>
      <c r="D329" s="15" t="n"/>
      <c r="E329" s="15" t="n"/>
      <c r="F329" s="16" t="n"/>
      <c r="G329" s="15" t="n"/>
      <c r="H329" s="15" t="n"/>
      <c r="I329" s="15" t="n"/>
      <c r="J329" s="15" t="n"/>
    </row>
    <row r="330">
      <c r="A330" s="15" t="n"/>
      <c r="B330" s="15" t="n"/>
      <c r="C330" s="15" t="n"/>
      <c r="D330" s="15" t="n"/>
      <c r="E330" s="15" t="n"/>
      <c r="F330" s="16" t="n"/>
      <c r="G330" s="15" t="n"/>
      <c r="H330" s="15" t="n"/>
      <c r="I330" s="15" t="n"/>
      <c r="J330" s="15" t="n"/>
    </row>
    <row r="331">
      <c r="A331" s="15" t="n"/>
      <c r="B331" s="15" t="n"/>
      <c r="C331" s="15" t="n"/>
      <c r="D331" s="15" t="n"/>
      <c r="E331" s="15" t="n"/>
      <c r="F331" s="16" t="n"/>
      <c r="G331" s="15" t="n"/>
      <c r="H331" s="15" t="n"/>
      <c r="I331" s="15" t="n"/>
      <c r="J331" s="15" t="n"/>
    </row>
    <row r="332">
      <c r="A332" s="15" t="n"/>
      <c r="B332" s="15" t="n"/>
      <c r="C332" s="15" t="n"/>
      <c r="D332" s="15" t="n"/>
      <c r="E332" s="15" t="n"/>
      <c r="F332" s="16" t="n"/>
      <c r="G332" s="15" t="n"/>
      <c r="H332" s="15" t="n"/>
      <c r="I332" s="15" t="n"/>
      <c r="J332" s="15" t="n"/>
    </row>
    <row r="333">
      <c r="A333" s="15" t="n"/>
      <c r="B333" s="15" t="n"/>
      <c r="C333" s="15" t="n"/>
      <c r="D333" s="15" t="n"/>
      <c r="E333" s="15" t="n"/>
      <c r="F333" s="16" t="n"/>
      <c r="G333" s="15" t="n"/>
      <c r="H333" s="15" t="n"/>
      <c r="I333" s="15" t="n"/>
      <c r="J333" s="15" t="n"/>
    </row>
    <row r="334">
      <c r="A334" s="15" t="n"/>
      <c r="B334" s="15" t="n"/>
      <c r="C334" s="15" t="n"/>
      <c r="D334" s="15" t="n"/>
      <c r="E334" s="15" t="n"/>
      <c r="F334" s="16" t="n"/>
      <c r="G334" s="15" t="n"/>
      <c r="H334" s="15" t="n"/>
      <c r="I334" s="15" t="n"/>
      <c r="J334" s="15" t="n"/>
    </row>
    <row r="335">
      <c r="A335" s="15" t="n"/>
      <c r="B335" s="15" t="n"/>
      <c r="C335" s="15" t="n"/>
      <c r="D335" s="15" t="n"/>
      <c r="E335" s="15" t="n"/>
      <c r="F335" s="16" t="n"/>
      <c r="G335" s="15" t="n"/>
      <c r="H335" s="15" t="n"/>
      <c r="I335" s="15" t="n"/>
      <c r="J335" s="15" t="n"/>
    </row>
    <row r="336">
      <c r="A336" s="15" t="n"/>
      <c r="B336" s="15" t="n"/>
      <c r="C336" s="15" t="n"/>
      <c r="D336" s="15" t="n"/>
      <c r="E336" s="15" t="n"/>
      <c r="F336" s="16" t="n"/>
      <c r="G336" s="15" t="n"/>
      <c r="H336" s="15" t="n"/>
      <c r="I336" s="15" t="n"/>
      <c r="J336" s="15" t="n"/>
    </row>
    <row r="337">
      <c r="A337" s="15" t="n"/>
      <c r="B337" s="15" t="n"/>
      <c r="C337" s="15" t="n"/>
      <c r="D337" s="15" t="n"/>
      <c r="E337" s="15" t="n"/>
      <c r="F337" s="16" t="n"/>
      <c r="G337" s="15" t="n"/>
      <c r="H337" s="15" t="n"/>
      <c r="I337" s="15" t="n"/>
      <c r="J337" s="15" t="n"/>
    </row>
    <row r="338">
      <c r="A338" s="15" t="n"/>
      <c r="B338" s="15" t="n"/>
      <c r="C338" s="15" t="n"/>
      <c r="D338" s="15" t="n"/>
      <c r="E338" s="15" t="n"/>
      <c r="F338" s="16" t="n"/>
      <c r="G338" s="15" t="n"/>
      <c r="H338" s="15" t="n"/>
      <c r="I338" s="15" t="n"/>
      <c r="J338" s="15" t="n"/>
    </row>
    <row r="339">
      <c r="A339" s="15" t="n"/>
      <c r="B339" s="15" t="n"/>
      <c r="C339" s="15" t="n"/>
      <c r="D339" s="15" t="n"/>
      <c r="E339" s="15" t="n"/>
      <c r="F339" s="16" t="n"/>
      <c r="G339" s="15" t="n"/>
      <c r="H339" s="15" t="n"/>
      <c r="I339" s="15" t="n"/>
      <c r="J339" s="15" t="n"/>
    </row>
    <row r="340">
      <c r="A340" s="15" t="n"/>
      <c r="B340" s="15" t="n"/>
      <c r="C340" s="15" t="n"/>
      <c r="D340" s="15" t="n"/>
      <c r="E340" s="15" t="n"/>
      <c r="F340" s="16" t="n"/>
      <c r="G340" s="15" t="n"/>
      <c r="H340" s="15" t="n"/>
      <c r="I340" s="15" t="n"/>
      <c r="J340" s="15" t="n"/>
    </row>
    <row r="341">
      <c r="A341" s="15" t="n"/>
      <c r="B341" s="15" t="n"/>
      <c r="C341" s="15" t="n"/>
      <c r="D341" s="15" t="n"/>
      <c r="E341" s="15" t="n"/>
      <c r="F341" s="16" t="n"/>
      <c r="G341" s="15" t="n"/>
      <c r="H341" s="15" t="n"/>
      <c r="I341" s="15" t="n"/>
      <c r="J341" s="15" t="n"/>
    </row>
    <row r="342">
      <c r="A342" s="15" t="n"/>
      <c r="B342" s="15" t="n"/>
      <c r="C342" s="15" t="n"/>
      <c r="D342" s="15" t="n"/>
      <c r="E342" s="15" t="n"/>
      <c r="F342" s="16" t="n"/>
      <c r="G342" s="15" t="n"/>
      <c r="H342" s="15" t="n"/>
      <c r="I342" s="15" t="n"/>
      <c r="J342" s="15" t="n"/>
    </row>
    <row r="343">
      <c r="A343" s="15" t="n"/>
      <c r="B343" s="15" t="n"/>
      <c r="C343" s="15" t="n"/>
      <c r="D343" s="15" t="n"/>
      <c r="E343" s="15" t="n"/>
      <c r="F343" s="16" t="n"/>
      <c r="G343" s="15" t="n"/>
      <c r="H343" s="15" t="n"/>
      <c r="I343" s="15" t="n"/>
      <c r="J343" s="15" t="n"/>
    </row>
    <row r="344">
      <c r="A344" s="15" t="n"/>
      <c r="B344" s="15" t="n"/>
      <c r="C344" s="15" t="n"/>
      <c r="D344" s="15" t="n"/>
      <c r="E344" s="15" t="n"/>
      <c r="F344" s="16" t="n"/>
      <c r="G344" s="15" t="n"/>
      <c r="H344" s="15" t="n"/>
      <c r="I344" s="15" t="n"/>
      <c r="J344" s="15" t="n"/>
    </row>
    <row r="345">
      <c r="A345" s="15" t="n"/>
      <c r="B345" s="15" t="n"/>
      <c r="C345" s="15" t="n"/>
      <c r="D345" s="15" t="n"/>
      <c r="E345" s="15" t="n"/>
      <c r="F345" s="16" t="n"/>
      <c r="G345" s="15" t="n"/>
      <c r="H345" s="15" t="n"/>
      <c r="I345" s="15" t="n"/>
      <c r="J345" s="15" t="n"/>
    </row>
    <row r="346">
      <c r="A346" s="15" t="n"/>
      <c r="B346" s="15" t="n"/>
      <c r="C346" s="15" t="n"/>
      <c r="D346" s="15" t="n"/>
      <c r="E346" s="15" t="n"/>
      <c r="F346" s="16" t="n"/>
      <c r="G346" s="15" t="n"/>
      <c r="H346" s="15" t="n"/>
      <c r="I346" s="15" t="n"/>
      <c r="J346" s="15" t="n"/>
    </row>
    <row r="347">
      <c r="A347" s="15" t="n"/>
      <c r="B347" s="15" t="n"/>
      <c r="C347" s="15" t="n"/>
      <c r="D347" s="15" t="n"/>
      <c r="E347" s="15" t="n"/>
      <c r="F347" s="16" t="n"/>
      <c r="G347" s="15" t="n"/>
      <c r="H347" s="15" t="n"/>
      <c r="I347" s="15" t="n"/>
      <c r="J347" s="15" t="n"/>
    </row>
    <row r="348">
      <c r="A348" s="15" t="n"/>
      <c r="B348" s="15" t="n"/>
      <c r="C348" s="15" t="n"/>
      <c r="D348" s="15" t="n"/>
      <c r="E348" s="15" t="n"/>
      <c r="F348" s="16" t="n"/>
      <c r="G348" s="15" t="n"/>
      <c r="H348" s="15" t="n"/>
      <c r="I348" s="15" t="n"/>
      <c r="J348" s="15" t="n"/>
    </row>
    <row r="349">
      <c r="A349" s="15" t="n"/>
      <c r="B349" s="15" t="n"/>
      <c r="C349" s="15" t="n"/>
      <c r="D349" s="15" t="n"/>
      <c r="E349" s="15" t="n"/>
      <c r="F349" s="16" t="n"/>
      <c r="G349" s="15" t="n"/>
      <c r="H349" s="15" t="n"/>
      <c r="I349" s="15" t="n"/>
      <c r="J349" s="15" t="n"/>
    </row>
    <row r="350">
      <c r="A350" s="15" t="n"/>
      <c r="B350" s="15" t="n"/>
      <c r="C350" s="15" t="n"/>
      <c r="D350" s="15" t="n"/>
      <c r="E350" s="15" t="n"/>
      <c r="F350" s="16" t="n"/>
      <c r="G350" s="15" t="n"/>
      <c r="H350" s="15" t="n"/>
      <c r="I350" s="15" t="n"/>
      <c r="J350" s="15" t="n"/>
    </row>
    <row r="351">
      <c r="F351" s="27" t="n"/>
    </row>
    <row r="352">
      <c r="F352" s="27" t="n"/>
    </row>
    <row r="353">
      <c r="F353" s="27" t="n"/>
    </row>
    <row r="354">
      <c r="F354" s="27" t="n"/>
    </row>
    <row r="355">
      <c r="F355" s="27" t="n"/>
    </row>
    <row r="356">
      <c r="F356" s="27" t="n"/>
    </row>
    <row r="357">
      <c r="F357" s="27" t="n"/>
    </row>
    <row r="358">
      <c r="F358" s="27" t="n"/>
    </row>
    <row r="359">
      <c r="F359" s="27" t="n"/>
    </row>
    <row r="360">
      <c r="F360" s="27" t="n"/>
    </row>
    <row r="361">
      <c r="F361" s="27" t="n"/>
    </row>
    <row r="362">
      <c r="F362" s="27" t="n"/>
    </row>
    <row r="363">
      <c r="F363" s="27" t="n"/>
    </row>
    <row r="364">
      <c r="F364" s="27" t="n"/>
    </row>
    <row r="365">
      <c r="F365" s="27" t="n"/>
    </row>
    <row r="366">
      <c r="F366" s="27" t="n"/>
    </row>
    <row r="367">
      <c r="F367" s="27" t="n"/>
    </row>
    <row r="368">
      <c r="F368" s="27" t="n"/>
    </row>
    <row r="369">
      <c r="F369" s="27" t="n"/>
    </row>
    <row r="370">
      <c r="F370" s="27" t="n"/>
    </row>
    <row r="371">
      <c r="F371" s="27" t="n"/>
    </row>
    <row r="372">
      <c r="F372" s="27" t="n"/>
    </row>
    <row r="373">
      <c r="F373" s="27" t="n"/>
    </row>
    <row r="374">
      <c r="F374" s="27" t="n"/>
    </row>
    <row r="375">
      <c r="F375" s="27" t="n"/>
    </row>
    <row r="376">
      <c r="F376" s="27" t="n"/>
    </row>
    <row r="377">
      <c r="F377" s="27" t="n"/>
    </row>
    <row r="378">
      <c r="F378" s="27" t="n"/>
    </row>
    <row r="379">
      <c r="F379" s="27" t="n"/>
    </row>
    <row r="380">
      <c r="F380" s="27" t="n"/>
    </row>
    <row r="381">
      <c r="F381" s="27" t="n"/>
    </row>
    <row r="382">
      <c r="F382" s="27" t="n"/>
    </row>
    <row r="383">
      <c r="F383" s="27" t="n"/>
    </row>
    <row r="384">
      <c r="F384" s="27" t="n"/>
    </row>
    <row r="385">
      <c r="F385" s="27" t="n"/>
    </row>
    <row r="386">
      <c r="F386" s="27" t="n"/>
    </row>
    <row r="387">
      <c r="F387" s="27" t="n"/>
    </row>
    <row r="388">
      <c r="F388" s="27" t="n"/>
    </row>
    <row r="389">
      <c r="F389" s="27" t="n"/>
    </row>
    <row r="390">
      <c r="F390" s="27" t="n"/>
    </row>
    <row r="391">
      <c r="F391" s="27" t="n"/>
    </row>
    <row r="392">
      <c r="F392" s="27" t="n"/>
    </row>
    <row r="393">
      <c r="F393" s="27" t="n"/>
    </row>
    <row r="394">
      <c r="F394" s="27" t="n"/>
    </row>
    <row r="395">
      <c r="F395" s="27" t="n"/>
    </row>
    <row r="396">
      <c r="F396" s="27" t="n"/>
    </row>
    <row r="397">
      <c r="F397" s="27" t="n"/>
    </row>
    <row r="398">
      <c r="F398" s="27" t="n"/>
    </row>
    <row r="399">
      <c r="F399" s="27" t="n"/>
    </row>
    <row r="400">
      <c r="F400" s="27" t="n"/>
    </row>
    <row r="401">
      <c r="F401" s="27" t="n"/>
    </row>
    <row r="402">
      <c r="F402" s="27" t="n"/>
    </row>
    <row r="403">
      <c r="F403" s="27" t="n"/>
    </row>
    <row r="404">
      <c r="F404" s="27" t="n"/>
    </row>
    <row r="405">
      <c r="F405" s="27" t="n"/>
    </row>
    <row r="406">
      <c r="F406" s="27" t="n"/>
    </row>
    <row r="407">
      <c r="F407" s="27" t="n"/>
    </row>
    <row r="408">
      <c r="F408" s="27" t="n"/>
    </row>
    <row r="409">
      <c r="F409" s="27" t="n"/>
    </row>
    <row r="410">
      <c r="F410" s="27" t="n"/>
    </row>
    <row r="411">
      <c r="F411" s="27" t="n"/>
    </row>
    <row r="412">
      <c r="F412" s="27" t="n"/>
    </row>
    <row r="413">
      <c r="F413" s="27" t="n"/>
    </row>
    <row r="414">
      <c r="F414" s="27" t="n"/>
    </row>
    <row r="415">
      <c r="F415" s="27" t="n"/>
    </row>
    <row r="416">
      <c r="F416" s="27" t="n"/>
    </row>
    <row r="417">
      <c r="F417" s="27" t="n"/>
    </row>
    <row r="418">
      <c r="F418" s="27" t="n"/>
    </row>
    <row r="419">
      <c r="F419" s="27" t="n"/>
    </row>
    <row r="420">
      <c r="F420" s="27" t="n"/>
    </row>
    <row r="421">
      <c r="F421" s="27" t="n"/>
    </row>
    <row r="422">
      <c r="F422" s="27" t="n"/>
    </row>
    <row r="423">
      <c r="F423" s="27" t="n"/>
    </row>
    <row r="424">
      <c r="F424" s="27" t="n"/>
    </row>
    <row r="425">
      <c r="F425" s="27" t="n"/>
    </row>
    <row r="426">
      <c r="F426" s="27" t="n"/>
    </row>
    <row r="427">
      <c r="F427" s="27" t="n"/>
    </row>
    <row r="428">
      <c r="F428" s="27" t="n"/>
    </row>
    <row r="429">
      <c r="F429" s="27" t="n"/>
    </row>
    <row r="430">
      <c r="F430" s="27" t="n"/>
    </row>
    <row r="431">
      <c r="F431" s="27" t="n"/>
    </row>
    <row r="432">
      <c r="F432" s="27" t="n"/>
    </row>
    <row r="433">
      <c r="F433" s="27" t="n"/>
    </row>
    <row r="434">
      <c r="F434" s="27" t="n"/>
    </row>
    <row r="435">
      <c r="F435" s="27" t="n"/>
    </row>
    <row r="436">
      <c r="F436" s="27" t="n"/>
    </row>
    <row r="437">
      <c r="F437" s="27" t="n"/>
    </row>
    <row r="438">
      <c r="F438" s="27" t="n"/>
    </row>
    <row r="439">
      <c r="F439" s="27" t="n"/>
    </row>
    <row r="440">
      <c r="F440" s="27" t="n"/>
    </row>
    <row r="441">
      <c r="F441" s="27" t="n"/>
    </row>
    <row r="442">
      <c r="F442" s="27" t="n"/>
    </row>
    <row r="443">
      <c r="F443" s="27" t="n"/>
    </row>
    <row r="444">
      <c r="F444" s="27" t="n"/>
    </row>
    <row r="445">
      <c r="F445" s="27" t="n"/>
    </row>
    <row r="446">
      <c r="F446" s="27" t="n"/>
    </row>
    <row r="447">
      <c r="F447" s="27" t="n"/>
    </row>
    <row r="448">
      <c r="F448" s="27" t="n"/>
    </row>
    <row r="449">
      <c r="F449" s="27" t="n"/>
    </row>
    <row r="450">
      <c r="F450" s="27" t="n"/>
    </row>
    <row r="451">
      <c r="F451" s="27" t="n"/>
    </row>
    <row r="452">
      <c r="F452" s="27" t="n"/>
    </row>
    <row r="453">
      <c r="F453" s="27" t="n"/>
    </row>
    <row r="454">
      <c r="F454" s="27" t="n"/>
    </row>
    <row r="455">
      <c r="F455" s="27" t="n"/>
    </row>
    <row r="456">
      <c r="F456" s="27" t="n"/>
    </row>
    <row r="457">
      <c r="F457" s="27" t="n"/>
    </row>
    <row r="458">
      <c r="F458" s="27" t="n"/>
    </row>
    <row r="459">
      <c r="F459" s="27" t="n"/>
    </row>
    <row r="460">
      <c r="F460" s="27" t="n"/>
    </row>
    <row r="461">
      <c r="F461" s="27" t="n"/>
    </row>
    <row r="462">
      <c r="F462" s="27" t="n"/>
    </row>
    <row r="463">
      <c r="F463" s="27" t="n"/>
    </row>
    <row r="464">
      <c r="F464" s="27" t="n"/>
    </row>
    <row r="465">
      <c r="F465" s="27" t="n"/>
    </row>
    <row r="466">
      <c r="F466" s="27" t="n"/>
    </row>
    <row r="467">
      <c r="F467" s="27" t="n"/>
    </row>
    <row r="468">
      <c r="F468" s="27" t="n"/>
    </row>
    <row r="469">
      <c r="F469" s="27" t="n"/>
    </row>
    <row r="470">
      <c r="F470" s="27" t="n"/>
    </row>
    <row r="471">
      <c r="F471" s="27" t="n"/>
    </row>
    <row r="472">
      <c r="F472" s="27" t="n"/>
    </row>
    <row r="473">
      <c r="F473" s="27" t="n"/>
    </row>
    <row r="474">
      <c r="F474" s="27" t="n"/>
    </row>
    <row r="475">
      <c r="F475" s="27" t="n"/>
    </row>
    <row r="476">
      <c r="F476" s="27" t="n"/>
    </row>
    <row r="477">
      <c r="F477" s="27" t="n"/>
    </row>
    <row r="478">
      <c r="F478" s="27" t="n"/>
    </row>
    <row r="479">
      <c r="F479" s="27" t="n"/>
    </row>
    <row r="480">
      <c r="F480" s="27" t="n"/>
    </row>
    <row r="481">
      <c r="F481" s="27" t="n"/>
    </row>
    <row r="482">
      <c r="F482" s="27" t="n"/>
    </row>
    <row r="483">
      <c r="F483" s="27" t="n"/>
    </row>
    <row r="484">
      <c r="F484" s="27" t="n"/>
    </row>
    <row r="485">
      <c r="F485" s="27" t="n"/>
    </row>
    <row r="486">
      <c r="F486" s="27" t="n"/>
    </row>
    <row r="487">
      <c r="F487" s="27" t="n"/>
    </row>
    <row r="488">
      <c r="F488" s="27" t="n"/>
    </row>
    <row r="489">
      <c r="F489" s="27" t="n"/>
    </row>
    <row r="490">
      <c r="F490" s="27" t="n"/>
    </row>
    <row r="491">
      <c r="F491" s="27" t="n"/>
    </row>
    <row r="492">
      <c r="F492" s="27" t="n"/>
    </row>
    <row r="493">
      <c r="F493" s="27" t="n"/>
    </row>
    <row r="494">
      <c r="F494" s="27" t="n"/>
    </row>
    <row r="495">
      <c r="F495" s="27" t="n"/>
    </row>
    <row r="496">
      <c r="F496" s="27" t="n"/>
    </row>
    <row r="497">
      <c r="F497" s="27" t="n"/>
    </row>
    <row r="498">
      <c r="F498" s="27" t="n"/>
    </row>
    <row r="499">
      <c r="F499" s="27" t="n"/>
    </row>
    <row r="500">
      <c r="F500" s="27" t="n"/>
    </row>
    <row r="501">
      <c r="F501" s="27" t="n"/>
    </row>
    <row r="502">
      <c r="F502" s="27" t="n"/>
    </row>
    <row r="503">
      <c r="F503" s="27" t="n"/>
    </row>
    <row r="504">
      <c r="F504" s="27" t="n"/>
    </row>
    <row r="505">
      <c r="F505" s="27" t="n"/>
    </row>
    <row r="506">
      <c r="F506" s="27" t="n"/>
    </row>
    <row r="507">
      <c r="F507" s="27" t="n"/>
    </row>
    <row r="508">
      <c r="F508" s="27" t="n"/>
    </row>
    <row r="509">
      <c r="F509" s="27" t="n"/>
    </row>
    <row r="510">
      <c r="F510" s="27" t="n"/>
    </row>
    <row r="511">
      <c r="F511" s="27" t="n"/>
    </row>
    <row r="512">
      <c r="F512" s="27" t="n"/>
    </row>
    <row r="513">
      <c r="F513" s="27" t="n"/>
    </row>
    <row r="514">
      <c r="F514" s="27" t="n"/>
    </row>
    <row r="515">
      <c r="F515" s="27" t="n"/>
    </row>
    <row r="516">
      <c r="F516" s="27" t="n"/>
    </row>
    <row r="517">
      <c r="F517" s="27" t="n"/>
    </row>
    <row r="518">
      <c r="F518" s="27" t="n"/>
    </row>
    <row r="519">
      <c r="F519" s="27" t="n"/>
    </row>
    <row r="520">
      <c r="F520" s="27" t="n"/>
    </row>
    <row r="521">
      <c r="F521" s="27" t="n"/>
    </row>
    <row r="522">
      <c r="F522" s="27" t="n"/>
    </row>
    <row r="523">
      <c r="F523" s="27" t="n"/>
    </row>
    <row r="524">
      <c r="F524" s="27" t="n"/>
    </row>
    <row r="525">
      <c r="F525" s="27" t="n"/>
    </row>
    <row r="526">
      <c r="F526" s="27" t="n"/>
    </row>
    <row r="527">
      <c r="F527" s="27" t="n"/>
    </row>
    <row r="528">
      <c r="F528" s="27" t="n"/>
    </row>
    <row r="529">
      <c r="F529" s="27" t="n"/>
    </row>
    <row r="530">
      <c r="F530" s="27" t="n"/>
    </row>
    <row r="531">
      <c r="F531" s="27" t="n"/>
    </row>
    <row r="532">
      <c r="F532" s="27" t="n"/>
    </row>
    <row r="533">
      <c r="F533" s="27" t="n"/>
    </row>
    <row r="534">
      <c r="F534" s="27" t="n"/>
    </row>
    <row r="535">
      <c r="F535" s="27" t="n"/>
    </row>
    <row r="536">
      <c r="F536" s="27" t="n"/>
    </row>
    <row r="537">
      <c r="F537" s="27" t="n"/>
    </row>
    <row r="538">
      <c r="F538" s="27" t="n"/>
    </row>
    <row r="539">
      <c r="F539" s="27" t="n"/>
    </row>
    <row r="540">
      <c r="F540" s="27" t="n"/>
    </row>
    <row r="541">
      <c r="F541" s="27" t="n"/>
    </row>
    <row r="542">
      <c r="F542" s="27" t="n"/>
    </row>
    <row r="543">
      <c r="F543" s="27" t="n"/>
    </row>
    <row r="544">
      <c r="F544" s="27" t="n"/>
    </row>
    <row r="545">
      <c r="F545" s="27" t="n"/>
    </row>
    <row r="546">
      <c r="F546" s="27" t="n"/>
    </row>
    <row r="547">
      <c r="F547" s="27" t="n"/>
    </row>
    <row r="548">
      <c r="F548" s="27" t="n"/>
    </row>
    <row r="549">
      <c r="F549" s="27" t="n"/>
    </row>
    <row r="550">
      <c r="F550" s="27" t="n"/>
    </row>
    <row r="551">
      <c r="F551" s="27" t="n"/>
    </row>
    <row r="552">
      <c r="F552" s="27" t="n"/>
    </row>
    <row r="553">
      <c r="F553" s="27" t="n"/>
    </row>
    <row r="554">
      <c r="F554" s="27" t="n"/>
    </row>
    <row r="555">
      <c r="F555" s="27" t="n"/>
    </row>
    <row r="556">
      <c r="F556" s="27" t="n"/>
    </row>
    <row r="557">
      <c r="F557" s="27" t="n"/>
    </row>
    <row r="558">
      <c r="F558" s="27" t="n"/>
    </row>
    <row r="559">
      <c r="F559" s="27" t="n"/>
    </row>
    <row r="560">
      <c r="F560" s="27" t="n"/>
    </row>
    <row r="561">
      <c r="F561" s="27" t="n"/>
    </row>
    <row r="562">
      <c r="F562" s="27" t="n"/>
    </row>
    <row r="563">
      <c r="F563" s="27" t="n"/>
    </row>
    <row r="564">
      <c r="F564" s="27" t="n"/>
    </row>
    <row r="565">
      <c r="F565" s="27" t="n"/>
    </row>
    <row r="566">
      <c r="F566" s="27" t="n"/>
    </row>
    <row r="567">
      <c r="F567" s="27" t="n"/>
    </row>
    <row r="568">
      <c r="F568" s="27" t="n"/>
    </row>
    <row r="569">
      <c r="F569" s="27" t="n"/>
    </row>
    <row r="570">
      <c r="F570" s="27" t="n"/>
    </row>
    <row r="571">
      <c r="F571" s="27" t="n"/>
    </row>
    <row r="572">
      <c r="F572" s="27" t="n"/>
    </row>
    <row r="573">
      <c r="F573" s="27" t="n"/>
    </row>
    <row r="574">
      <c r="F574" s="27" t="n"/>
    </row>
    <row r="575">
      <c r="F575" s="27" t="n"/>
    </row>
    <row r="576">
      <c r="F576" s="27" t="n"/>
    </row>
    <row r="577">
      <c r="F577" s="27" t="n"/>
    </row>
    <row r="578">
      <c r="F578" s="27" t="n"/>
    </row>
    <row r="579">
      <c r="F579" s="27" t="n"/>
    </row>
    <row r="580">
      <c r="F580" s="27" t="n"/>
    </row>
    <row r="581">
      <c r="F581" s="27" t="n"/>
    </row>
    <row r="582">
      <c r="F582" s="27" t="n"/>
    </row>
    <row r="583">
      <c r="F583" s="27" t="n"/>
    </row>
    <row r="584">
      <c r="F584" s="27" t="n"/>
    </row>
    <row r="585">
      <c r="F585" s="27" t="n"/>
    </row>
    <row r="586">
      <c r="F586" s="27" t="n"/>
    </row>
    <row r="587">
      <c r="F587" s="27" t="n"/>
    </row>
    <row r="588">
      <c r="F588" s="27" t="n"/>
    </row>
    <row r="589">
      <c r="F589" s="27" t="n"/>
    </row>
    <row r="590">
      <c r="F590" s="27" t="n"/>
    </row>
    <row r="591">
      <c r="F591" s="27" t="n"/>
    </row>
    <row r="592">
      <c r="F592" s="27" t="n"/>
    </row>
    <row r="593">
      <c r="F593" s="27" t="n"/>
    </row>
    <row r="594">
      <c r="F594" s="27" t="n"/>
    </row>
    <row r="595">
      <c r="F595" s="27" t="n"/>
    </row>
    <row r="596">
      <c r="F596" s="27" t="n"/>
    </row>
    <row r="597">
      <c r="F597" s="27" t="n"/>
    </row>
    <row r="598">
      <c r="F598" s="27" t="n"/>
    </row>
    <row r="599">
      <c r="F599" s="27" t="n"/>
    </row>
    <row r="600">
      <c r="F600" s="27" t="n"/>
    </row>
    <row r="601">
      <c r="F601" s="27" t="n"/>
    </row>
    <row r="602">
      <c r="F602" s="27" t="n"/>
    </row>
    <row r="603">
      <c r="F603" s="27" t="n"/>
    </row>
    <row r="604">
      <c r="F604" s="27" t="n"/>
    </row>
    <row r="605">
      <c r="F605" s="27" t="n"/>
    </row>
    <row r="606">
      <c r="F606" s="27" t="n"/>
    </row>
    <row r="607">
      <c r="F607" s="27" t="n"/>
    </row>
    <row r="608">
      <c r="F608" s="27" t="n"/>
    </row>
    <row r="609">
      <c r="F609" s="27" t="n"/>
    </row>
    <row r="610">
      <c r="F610" s="27" t="n"/>
    </row>
    <row r="611">
      <c r="F611" s="27" t="n"/>
    </row>
    <row r="612">
      <c r="F612" s="27" t="n"/>
    </row>
    <row r="613">
      <c r="F613" s="27" t="n"/>
    </row>
    <row r="614">
      <c r="F614" s="27" t="n"/>
    </row>
    <row r="615">
      <c r="F615" s="27" t="n"/>
    </row>
    <row r="616">
      <c r="F616" s="27" t="n"/>
    </row>
    <row r="617">
      <c r="F617" s="27" t="n"/>
    </row>
    <row r="618">
      <c r="F618" s="27" t="n"/>
    </row>
    <row r="619">
      <c r="F619" s="27" t="n"/>
    </row>
    <row r="620">
      <c r="F620" s="27" t="n"/>
    </row>
    <row r="621">
      <c r="F621" s="27" t="n"/>
    </row>
    <row r="622">
      <c r="F622" s="27" t="n"/>
    </row>
    <row r="623">
      <c r="F623" s="27" t="n"/>
    </row>
    <row r="624">
      <c r="F624" s="27" t="n"/>
    </row>
    <row r="625">
      <c r="F625" s="27" t="n"/>
    </row>
    <row r="626">
      <c r="F626" s="27" t="n"/>
    </row>
    <row r="627">
      <c r="F627" s="27" t="n"/>
    </row>
    <row r="628">
      <c r="F628" s="27" t="n"/>
    </row>
    <row r="629">
      <c r="F629" s="27" t="n"/>
    </row>
    <row r="630">
      <c r="F630" s="27" t="n"/>
    </row>
    <row r="631">
      <c r="F631" s="27" t="n"/>
    </row>
    <row r="632">
      <c r="F632" s="27" t="n"/>
    </row>
    <row r="633">
      <c r="F633" s="27" t="n"/>
    </row>
    <row r="634">
      <c r="F634" s="27" t="n"/>
    </row>
    <row r="635">
      <c r="F635" s="27" t="n"/>
    </row>
    <row r="636">
      <c r="F636" s="27" t="n"/>
    </row>
    <row r="637">
      <c r="F637" s="27" t="n"/>
    </row>
    <row r="638">
      <c r="F638" s="27" t="n"/>
    </row>
    <row r="639">
      <c r="F639" s="27" t="n"/>
    </row>
    <row r="640">
      <c r="F640" s="27" t="n"/>
    </row>
    <row r="641">
      <c r="F641" s="27" t="n"/>
    </row>
    <row r="642">
      <c r="F642" s="27" t="n"/>
    </row>
    <row r="643">
      <c r="F643" s="27" t="n"/>
    </row>
    <row r="644">
      <c r="F644" s="27" t="n"/>
    </row>
    <row r="645">
      <c r="F645" s="27" t="n"/>
    </row>
    <row r="646">
      <c r="F646" s="27" t="n"/>
    </row>
    <row r="647">
      <c r="F647" s="27" t="n"/>
    </row>
    <row r="648">
      <c r="F648" s="27" t="n"/>
    </row>
    <row r="649">
      <c r="F649" s="27" t="n"/>
    </row>
    <row r="650">
      <c r="F650" s="27" t="n"/>
    </row>
    <row r="651">
      <c r="F651" s="27" t="n"/>
    </row>
    <row r="652">
      <c r="F652" s="27" t="n"/>
    </row>
    <row r="653">
      <c r="F653" s="27" t="n"/>
    </row>
    <row r="654">
      <c r="F654" s="27" t="n"/>
    </row>
    <row r="655">
      <c r="F655" s="27" t="n"/>
    </row>
    <row r="656">
      <c r="F656" s="27" t="n"/>
    </row>
    <row r="657">
      <c r="F657" s="27" t="n"/>
    </row>
    <row r="658">
      <c r="F658" s="27" t="n"/>
    </row>
    <row r="659">
      <c r="F659" s="27" t="n"/>
    </row>
    <row r="660">
      <c r="F660" s="27" t="n"/>
    </row>
    <row r="661">
      <c r="F661" s="27" t="n"/>
    </row>
    <row r="662">
      <c r="F662" s="27" t="n"/>
    </row>
    <row r="663">
      <c r="F663" s="27" t="n"/>
    </row>
    <row r="664">
      <c r="F664" s="27" t="n"/>
    </row>
    <row r="665">
      <c r="F665" s="27" t="n"/>
    </row>
    <row r="666">
      <c r="F666" s="27" t="n"/>
    </row>
    <row r="667">
      <c r="F667" s="27" t="n"/>
    </row>
    <row r="668">
      <c r="F668" s="27" t="n"/>
    </row>
    <row r="669">
      <c r="F669" s="27" t="n"/>
    </row>
    <row r="670">
      <c r="F670" s="27" t="n"/>
    </row>
    <row r="671">
      <c r="F671" s="27" t="n"/>
    </row>
    <row r="672">
      <c r="F672" s="27" t="n"/>
    </row>
    <row r="673">
      <c r="F673" s="27" t="n"/>
    </row>
    <row r="674">
      <c r="F674" s="27" t="n"/>
    </row>
    <row r="675">
      <c r="F675" s="27" t="n"/>
    </row>
    <row r="676">
      <c r="F676" s="27" t="n"/>
    </row>
    <row r="677">
      <c r="F677" s="27" t="n"/>
    </row>
    <row r="678">
      <c r="F678" s="27" t="n"/>
    </row>
    <row r="679">
      <c r="F679" s="27" t="n"/>
    </row>
    <row r="680">
      <c r="F680" s="27" t="n"/>
    </row>
    <row r="681">
      <c r="F681" s="27" t="n"/>
    </row>
    <row r="682">
      <c r="F682" s="27" t="n"/>
    </row>
    <row r="683">
      <c r="F683" s="27" t="n"/>
    </row>
    <row r="684">
      <c r="F684" s="27" t="n"/>
    </row>
    <row r="685">
      <c r="F685" s="27" t="n"/>
    </row>
    <row r="686">
      <c r="F686" s="27" t="n"/>
    </row>
    <row r="687">
      <c r="F687" s="27" t="n"/>
    </row>
    <row r="688">
      <c r="F688" s="27" t="n"/>
    </row>
    <row r="689">
      <c r="F689" s="27" t="n"/>
    </row>
    <row r="690">
      <c r="F690" s="27" t="n"/>
    </row>
    <row r="691">
      <c r="F691" s="27" t="n"/>
    </row>
    <row r="692">
      <c r="F692" s="27" t="n"/>
    </row>
    <row r="693">
      <c r="F693" s="27" t="n"/>
    </row>
    <row r="694">
      <c r="F694" s="27" t="n"/>
    </row>
    <row r="695">
      <c r="F695" s="27" t="n"/>
    </row>
    <row r="696">
      <c r="F696" s="27" t="n"/>
    </row>
    <row r="697">
      <c r="F697" s="27" t="n"/>
    </row>
    <row r="698">
      <c r="F698" s="27" t="n"/>
    </row>
    <row r="699">
      <c r="F699" s="27" t="n"/>
    </row>
    <row r="700">
      <c r="F700" s="27" t="n"/>
    </row>
  </sheetData>
  <autoFilter ref="A1:J350"/>
  <dataValidations count="5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350" showDropDown="0" showInputMessage="0" showErrorMessage="1" allowBlank="1" errorTitle="Invalid selection" error="Select from dropdown." type="list">
      <formula1>"Not Run,Pass,Fail,Blocked"</formula1>
    </dataValidation>
    <dataValidation sqref="I2:I350" showDropDown="0" showInputMessage="0" showErrorMessage="1" allowBlank="1" errorTitle="Invalid selection" error="Select from dropdown." type="list">
      <formula1>"Pending,Pass,Fail,Not Required"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0" t="inlineStr">
        <is>
          <t>Deployment ID</t>
        </is>
      </c>
      <c r="B1" s="10" t="inlineStr">
        <is>
          <t>Project ID</t>
        </is>
      </c>
      <c r="C1" s="10" t="inlineStr">
        <is>
          <t>Environment</t>
        </is>
      </c>
      <c r="D1" s="10" t="inlineStr">
        <is>
          <t>Deployment Date</t>
        </is>
      </c>
      <c r="E1" s="10" t="inlineStr">
        <is>
          <t>Version</t>
        </is>
      </c>
      <c r="F1" s="10" t="inlineStr">
        <is>
          <t>Deployed By</t>
        </is>
      </c>
      <c r="G1" s="10" t="inlineStr">
        <is>
          <t>Deployment Status</t>
        </is>
      </c>
      <c r="H1" s="10" t="inlineStr">
        <is>
          <t>Rollback Required</t>
        </is>
      </c>
      <c r="I1" s="10" t="inlineStr">
        <is>
          <t>Remarks</t>
        </is>
      </c>
    </row>
    <row r="2">
      <c r="A2" s="15" t="inlineStr">
        <is>
          <t>DEP-001</t>
        </is>
      </c>
      <c r="B2" s="15" t="inlineStr">
        <is>
          <t>PRJ-003</t>
        </is>
      </c>
      <c r="C2" s="15" t="inlineStr">
        <is>
          <t>Production</t>
        </is>
      </c>
      <c r="D2" s="16" t="n">
        <v>46148</v>
      </c>
      <c r="E2" s="15" t="inlineStr">
        <is>
          <t>v1.0.0</t>
        </is>
      </c>
      <c r="F2" s="15" t="inlineStr">
        <is>
          <t>Release Manager</t>
        </is>
      </c>
      <c r="G2" s="15" t="inlineStr">
        <is>
          <t>Completed</t>
        </is>
      </c>
      <c r="H2" s="15" t="inlineStr">
        <is>
          <t>No</t>
        </is>
      </c>
      <c r="I2" s="15" t="inlineStr">
        <is>
          <t>Successful</t>
        </is>
      </c>
    </row>
    <row r="3">
      <c r="A3" s="15" t="inlineStr">
        <is>
          <t>DEP-002</t>
        </is>
      </c>
      <c r="B3" s="15" t="inlineStr">
        <is>
          <t>PRJ-001</t>
        </is>
      </c>
      <c r="C3" s="15" t="inlineStr">
        <is>
          <t>UAT</t>
        </is>
      </c>
      <c r="D3" s="16" t="n">
        <v>46174</v>
      </c>
      <c r="E3" s="15" t="inlineStr">
        <is>
          <t>v0.9.2</t>
        </is>
      </c>
      <c r="F3" s="15" t="inlineStr">
        <is>
          <t>Release Manager</t>
        </is>
      </c>
      <c r="G3" s="15" t="inlineStr">
        <is>
          <t>Successful</t>
        </is>
      </c>
      <c r="H3" s="15" t="inlineStr">
        <is>
          <t>No</t>
        </is>
      </c>
      <c r="I3" s="15" t="inlineStr">
        <is>
          <t>UAT build</t>
        </is>
      </c>
    </row>
    <row r="4">
      <c r="A4" s="15" t="n"/>
      <c r="B4" s="15" t="n"/>
      <c r="C4" s="15" t="n"/>
      <c r="D4" s="16" t="n"/>
      <c r="E4" s="15" t="n"/>
      <c r="F4" s="15" t="n"/>
      <c r="G4" s="15" t="n"/>
      <c r="H4" s="15" t="n"/>
      <c r="I4" s="15" t="n"/>
    </row>
    <row r="5">
      <c r="A5" s="15" t="n"/>
      <c r="B5" s="15" t="n"/>
      <c r="C5" s="15" t="n"/>
      <c r="D5" s="16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6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6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6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6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6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6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6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6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6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6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6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6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6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6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6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6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6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6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6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6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6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6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6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6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6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6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6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6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6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6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6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6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6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6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6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6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6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6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6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6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6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6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6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6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6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6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6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6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6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6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6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6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6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6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6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6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6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6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6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6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6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6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6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6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6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6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6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6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6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6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6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6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6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6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6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6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6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6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6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6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6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6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6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6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6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6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6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6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6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6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6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6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6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6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6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6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6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6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6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6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6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6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6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6" t="n"/>
      <c r="E119" s="15" t="n"/>
      <c r="F119" s="15" t="n"/>
      <c r="G119" s="15" t="n"/>
      <c r="H119" s="15" t="n"/>
      <c r="I119" s="15" t="n"/>
    </row>
    <row r="120">
      <c r="A120" s="15" t="n"/>
      <c r="B120" s="15" t="n"/>
      <c r="C120" s="15" t="n"/>
      <c r="D120" s="16" t="n"/>
      <c r="E120" s="15" t="n"/>
      <c r="F120" s="15" t="n"/>
      <c r="G120" s="15" t="n"/>
      <c r="H120" s="15" t="n"/>
      <c r="I120" s="15" t="n"/>
    </row>
    <row r="121">
      <c r="A121" s="15" t="n"/>
      <c r="B121" s="15" t="n"/>
      <c r="C121" s="15" t="n"/>
      <c r="D121" s="16" t="n"/>
      <c r="E121" s="15" t="n"/>
      <c r="F121" s="15" t="n"/>
      <c r="G121" s="15" t="n"/>
      <c r="H121" s="15" t="n"/>
      <c r="I121" s="15" t="n"/>
    </row>
    <row r="122">
      <c r="A122" s="15" t="n"/>
      <c r="B122" s="15" t="n"/>
      <c r="C122" s="15" t="n"/>
      <c r="D122" s="16" t="n"/>
      <c r="E122" s="15" t="n"/>
      <c r="F122" s="15" t="n"/>
      <c r="G122" s="15" t="n"/>
      <c r="H122" s="15" t="n"/>
      <c r="I122" s="15" t="n"/>
    </row>
    <row r="123">
      <c r="A123" s="15" t="n"/>
      <c r="B123" s="15" t="n"/>
      <c r="C123" s="15" t="n"/>
      <c r="D123" s="16" t="n"/>
      <c r="E123" s="15" t="n"/>
      <c r="F123" s="15" t="n"/>
      <c r="G123" s="15" t="n"/>
      <c r="H123" s="15" t="n"/>
      <c r="I123" s="15" t="n"/>
    </row>
    <row r="124">
      <c r="A124" s="15" t="n"/>
      <c r="B124" s="15" t="n"/>
      <c r="C124" s="15" t="n"/>
      <c r="D124" s="16" t="n"/>
      <c r="E124" s="15" t="n"/>
      <c r="F124" s="15" t="n"/>
      <c r="G124" s="15" t="n"/>
      <c r="H124" s="15" t="n"/>
      <c r="I124" s="15" t="n"/>
    </row>
    <row r="125">
      <c r="A125" s="15" t="n"/>
      <c r="B125" s="15" t="n"/>
      <c r="C125" s="15" t="n"/>
      <c r="D125" s="16" t="n"/>
      <c r="E125" s="15" t="n"/>
      <c r="F125" s="15" t="n"/>
      <c r="G125" s="15" t="n"/>
      <c r="H125" s="15" t="n"/>
      <c r="I125" s="15" t="n"/>
    </row>
    <row r="126">
      <c r="A126" s="15" t="n"/>
      <c r="B126" s="15" t="n"/>
      <c r="C126" s="15" t="n"/>
      <c r="D126" s="16" t="n"/>
      <c r="E126" s="15" t="n"/>
      <c r="F126" s="15" t="n"/>
      <c r="G126" s="15" t="n"/>
      <c r="H126" s="15" t="n"/>
      <c r="I126" s="15" t="n"/>
    </row>
    <row r="127">
      <c r="A127" s="15" t="n"/>
      <c r="B127" s="15" t="n"/>
      <c r="C127" s="15" t="n"/>
      <c r="D127" s="16" t="n"/>
      <c r="E127" s="15" t="n"/>
      <c r="F127" s="15" t="n"/>
      <c r="G127" s="15" t="n"/>
      <c r="H127" s="15" t="n"/>
      <c r="I127" s="15" t="n"/>
    </row>
    <row r="128">
      <c r="A128" s="15" t="n"/>
      <c r="B128" s="15" t="n"/>
      <c r="C128" s="15" t="n"/>
      <c r="D128" s="16" t="n"/>
      <c r="E128" s="15" t="n"/>
      <c r="F128" s="15" t="n"/>
      <c r="G128" s="15" t="n"/>
      <c r="H128" s="15" t="n"/>
      <c r="I128" s="15" t="n"/>
    </row>
    <row r="129">
      <c r="A129" s="15" t="n"/>
      <c r="B129" s="15" t="n"/>
      <c r="C129" s="15" t="n"/>
      <c r="D129" s="16" t="n"/>
      <c r="E129" s="15" t="n"/>
      <c r="F129" s="15" t="n"/>
      <c r="G129" s="15" t="n"/>
      <c r="H129" s="15" t="n"/>
      <c r="I129" s="15" t="n"/>
    </row>
    <row r="130">
      <c r="A130" s="15" t="n"/>
      <c r="B130" s="15" t="n"/>
      <c r="C130" s="15" t="n"/>
      <c r="D130" s="16" t="n"/>
      <c r="E130" s="15" t="n"/>
      <c r="F130" s="15" t="n"/>
      <c r="G130" s="15" t="n"/>
      <c r="H130" s="15" t="n"/>
      <c r="I130" s="15" t="n"/>
    </row>
    <row r="131">
      <c r="A131" s="15" t="n"/>
      <c r="B131" s="15" t="n"/>
      <c r="C131" s="15" t="n"/>
      <c r="D131" s="16" t="n"/>
      <c r="E131" s="15" t="n"/>
      <c r="F131" s="15" t="n"/>
      <c r="G131" s="15" t="n"/>
      <c r="H131" s="15" t="n"/>
      <c r="I131" s="15" t="n"/>
    </row>
    <row r="132">
      <c r="A132" s="15" t="n"/>
      <c r="B132" s="15" t="n"/>
      <c r="C132" s="15" t="n"/>
      <c r="D132" s="16" t="n"/>
      <c r="E132" s="15" t="n"/>
      <c r="F132" s="15" t="n"/>
      <c r="G132" s="15" t="n"/>
      <c r="H132" s="15" t="n"/>
      <c r="I132" s="15" t="n"/>
    </row>
    <row r="133">
      <c r="A133" s="15" t="n"/>
      <c r="B133" s="15" t="n"/>
      <c r="C133" s="15" t="n"/>
      <c r="D133" s="16" t="n"/>
      <c r="E133" s="15" t="n"/>
      <c r="F133" s="15" t="n"/>
      <c r="G133" s="15" t="n"/>
      <c r="H133" s="15" t="n"/>
      <c r="I133" s="15" t="n"/>
    </row>
    <row r="134">
      <c r="A134" s="15" t="n"/>
      <c r="B134" s="15" t="n"/>
      <c r="C134" s="15" t="n"/>
      <c r="D134" s="16" t="n"/>
      <c r="E134" s="15" t="n"/>
      <c r="F134" s="15" t="n"/>
      <c r="G134" s="15" t="n"/>
      <c r="H134" s="15" t="n"/>
      <c r="I134" s="15" t="n"/>
    </row>
    <row r="135">
      <c r="A135" s="15" t="n"/>
      <c r="B135" s="15" t="n"/>
      <c r="C135" s="15" t="n"/>
      <c r="D135" s="16" t="n"/>
      <c r="E135" s="15" t="n"/>
      <c r="F135" s="15" t="n"/>
      <c r="G135" s="15" t="n"/>
      <c r="H135" s="15" t="n"/>
      <c r="I135" s="15" t="n"/>
    </row>
    <row r="136">
      <c r="A136" s="15" t="n"/>
      <c r="B136" s="15" t="n"/>
      <c r="C136" s="15" t="n"/>
      <c r="D136" s="16" t="n"/>
      <c r="E136" s="15" t="n"/>
      <c r="F136" s="15" t="n"/>
      <c r="G136" s="15" t="n"/>
      <c r="H136" s="15" t="n"/>
      <c r="I136" s="15" t="n"/>
    </row>
    <row r="137">
      <c r="A137" s="15" t="n"/>
      <c r="B137" s="15" t="n"/>
      <c r="C137" s="15" t="n"/>
      <c r="D137" s="16" t="n"/>
      <c r="E137" s="15" t="n"/>
      <c r="F137" s="15" t="n"/>
      <c r="G137" s="15" t="n"/>
      <c r="H137" s="15" t="n"/>
      <c r="I137" s="15" t="n"/>
    </row>
    <row r="138">
      <c r="A138" s="15" t="n"/>
      <c r="B138" s="15" t="n"/>
      <c r="C138" s="15" t="n"/>
      <c r="D138" s="16" t="n"/>
      <c r="E138" s="15" t="n"/>
      <c r="F138" s="15" t="n"/>
      <c r="G138" s="15" t="n"/>
      <c r="H138" s="15" t="n"/>
      <c r="I138" s="15" t="n"/>
    </row>
    <row r="139">
      <c r="A139" s="15" t="n"/>
      <c r="B139" s="15" t="n"/>
      <c r="C139" s="15" t="n"/>
      <c r="D139" s="16" t="n"/>
      <c r="E139" s="15" t="n"/>
      <c r="F139" s="15" t="n"/>
      <c r="G139" s="15" t="n"/>
      <c r="H139" s="15" t="n"/>
      <c r="I139" s="15" t="n"/>
    </row>
    <row r="140">
      <c r="A140" s="15" t="n"/>
      <c r="B140" s="15" t="n"/>
      <c r="C140" s="15" t="n"/>
      <c r="D140" s="16" t="n"/>
      <c r="E140" s="15" t="n"/>
      <c r="F140" s="15" t="n"/>
      <c r="G140" s="15" t="n"/>
      <c r="H140" s="15" t="n"/>
      <c r="I140" s="15" t="n"/>
    </row>
    <row r="141">
      <c r="A141" s="15" t="n"/>
      <c r="B141" s="15" t="n"/>
      <c r="C141" s="15" t="n"/>
      <c r="D141" s="16" t="n"/>
      <c r="E141" s="15" t="n"/>
      <c r="F141" s="15" t="n"/>
      <c r="G141" s="15" t="n"/>
      <c r="H141" s="15" t="n"/>
      <c r="I141" s="15" t="n"/>
    </row>
    <row r="142">
      <c r="A142" s="15" t="n"/>
      <c r="B142" s="15" t="n"/>
      <c r="C142" s="15" t="n"/>
      <c r="D142" s="16" t="n"/>
      <c r="E142" s="15" t="n"/>
      <c r="F142" s="15" t="n"/>
      <c r="G142" s="15" t="n"/>
      <c r="H142" s="15" t="n"/>
      <c r="I142" s="15" t="n"/>
    </row>
    <row r="143">
      <c r="A143" s="15" t="n"/>
      <c r="B143" s="15" t="n"/>
      <c r="C143" s="15" t="n"/>
      <c r="D143" s="16" t="n"/>
      <c r="E143" s="15" t="n"/>
      <c r="F143" s="15" t="n"/>
      <c r="G143" s="15" t="n"/>
      <c r="H143" s="15" t="n"/>
      <c r="I143" s="15" t="n"/>
    </row>
    <row r="144">
      <c r="A144" s="15" t="n"/>
      <c r="B144" s="15" t="n"/>
      <c r="C144" s="15" t="n"/>
      <c r="D144" s="16" t="n"/>
      <c r="E144" s="15" t="n"/>
      <c r="F144" s="15" t="n"/>
      <c r="G144" s="15" t="n"/>
      <c r="H144" s="15" t="n"/>
      <c r="I144" s="15" t="n"/>
    </row>
    <row r="145">
      <c r="A145" s="15" t="n"/>
      <c r="B145" s="15" t="n"/>
      <c r="C145" s="15" t="n"/>
      <c r="D145" s="16" t="n"/>
      <c r="E145" s="15" t="n"/>
      <c r="F145" s="15" t="n"/>
      <c r="G145" s="15" t="n"/>
      <c r="H145" s="15" t="n"/>
      <c r="I145" s="15" t="n"/>
    </row>
    <row r="146">
      <c r="A146" s="15" t="n"/>
      <c r="B146" s="15" t="n"/>
      <c r="C146" s="15" t="n"/>
      <c r="D146" s="16" t="n"/>
      <c r="E146" s="15" t="n"/>
      <c r="F146" s="15" t="n"/>
      <c r="G146" s="15" t="n"/>
      <c r="H146" s="15" t="n"/>
      <c r="I146" s="15" t="n"/>
    </row>
    <row r="147">
      <c r="A147" s="15" t="n"/>
      <c r="B147" s="15" t="n"/>
      <c r="C147" s="15" t="n"/>
      <c r="D147" s="16" t="n"/>
      <c r="E147" s="15" t="n"/>
      <c r="F147" s="15" t="n"/>
      <c r="G147" s="15" t="n"/>
      <c r="H147" s="15" t="n"/>
      <c r="I147" s="15" t="n"/>
    </row>
    <row r="148">
      <c r="A148" s="15" t="n"/>
      <c r="B148" s="15" t="n"/>
      <c r="C148" s="15" t="n"/>
      <c r="D148" s="16" t="n"/>
      <c r="E148" s="15" t="n"/>
      <c r="F148" s="15" t="n"/>
      <c r="G148" s="15" t="n"/>
      <c r="H148" s="15" t="n"/>
      <c r="I148" s="15" t="n"/>
    </row>
    <row r="149">
      <c r="A149" s="15" t="n"/>
      <c r="B149" s="15" t="n"/>
      <c r="C149" s="15" t="n"/>
      <c r="D149" s="16" t="n"/>
      <c r="E149" s="15" t="n"/>
      <c r="F149" s="15" t="n"/>
      <c r="G149" s="15" t="n"/>
      <c r="H149" s="15" t="n"/>
      <c r="I149" s="15" t="n"/>
    </row>
    <row r="150">
      <c r="A150" s="15" t="n"/>
      <c r="B150" s="15" t="n"/>
      <c r="C150" s="15" t="n"/>
      <c r="D150" s="16" t="n"/>
      <c r="E150" s="15" t="n"/>
      <c r="F150" s="15" t="n"/>
      <c r="G150" s="15" t="n"/>
      <c r="H150" s="15" t="n"/>
      <c r="I150" s="15" t="n"/>
    </row>
    <row r="151">
      <c r="A151" s="15" t="n"/>
      <c r="B151" s="15" t="n"/>
      <c r="C151" s="15" t="n"/>
      <c r="D151" s="16" t="n"/>
      <c r="E151" s="15" t="n"/>
      <c r="F151" s="15" t="n"/>
      <c r="G151" s="15" t="n"/>
      <c r="H151" s="15" t="n"/>
      <c r="I151" s="15" t="n"/>
    </row>
    <row r="152">
      <c r="A152" s="15" t="n"/>
      <c r="B152" s="15" t="n"/>
      <c r="C152" s="15" t="n"/>
      <c r="D152" s="16" t="n"/>
      <c r="E152" s="15" t="n"/>
      <c r="F152" s="15" t="n"/>
      <c r="G152" s="15" t="n"/>
      <c r="H152" s="15" t="n"/>
      <c r="I152" s="15" t="n"/>
    </row>
    <row r="153">
      <c r="A153" s="15" t="n"/>
      <c r="B153" s="15" t="n"/>
      <c r="C153" s="15" t="n"/>
      <c r="D153" s="16" t="n"/>
      <c r="E153" s="15" t="n"/>
      <c r="F153" s="15" t="n"/>
      <c r="G153" s="15" t="n"/>
      <c r="H153" s="15" t="n"/>
      <c r="I153" s="15" t="n"/>
    </row>
    <row r="154">
      <c r="A154" s="15" t="n"/>
      <c r="B154" s="15" t="n"/>
      <c r="C154" s="15" t="n"/>
      <c r="D154" s="16" t="n"/>
      <c r="E154" s="15" t="n"/>
      <c r="F154" s="15" t="n"/>
      <c r="G154" s="15" t="n"/>
      <c r="H154" s="15" t="n"/>
      <c r="I154" s="15" t="n"/>
    </row>
    <row r="155">
      <c r="A155" s="15" t="n"/>
      <c r="B155" s="15" t="n"/>
      <c r="C155" s="15" t="n"/>
      <c r="D155" s="16" t="n"/>
      <c r="E155" s="15" t="n"/>
      <c r="F155" s="15" t="n"/>
      <c r="G155" s="15" t="n"/>
      <c r="H155" s="15" t="n"/>
      <c r="I155" s="15" t="n"/>
    </row>
    <row r="156">
      <c r="A156" s="15" t="n"/>
      <c r="B156" s="15" t="n"/>
      <c r="C156" s="15" t="n"/>
      <c r="D156" s="16" t="n"/>
      <c r="E156" s="15" t="n"/>
      <c r="F156" s="15" t="n"/>
      <c r="G156" s="15" t="n"/>
      <c r="H156" s="15" t="n"/>
      <c r="I156" s="15" t="n"/>
    </row>
    <row r="157">
      <c r="A157" s="15" t="n"/>
      <c r="B157" s="15" t="n"/>
      <c r="C157" s="15" t="n"/>
      <c r="D157" s="16" t="n"/>
      <c r="E157" s="15" t="n"/>
      <c r="F157" s="15" t="n"/>
      <c r="G157" s="15" t="n"/>
      <c r="H157" s="15" t="n"/>
      <c r="I157" s="15" t="n"/>
    </row>
    <row r="158">
      <c r="A158" s="15" t="n"/>
      <c r="B158" s="15" t="n"/>
      <c r="C158" s="15" t="n"/>
      <c r="D158" s="16" t="n"/>
      <c r="E158" s="15" t="n"/>
      <c r="F158" s="15" t="n"/>
      <c r="G158" s="15" t="n"/>
      <c r="H158" s="15" t="n"/>
      <c r="I158" s="15" t="n"/>
    </row>
    <row r="159">
      <c r="A159" s="15" t="n"/>
      <c r="B159" s="15" t="n"/>
      <c r="C159" s="15" t="n"/>
      <c r="D159" s="16" t="n"/>
      <c r="E159" s="15" t="n"/>
      <c r="F159" s="15" t="n"/>
      <c r="G159" s="15" t="n"/>
      <c r="H159" s="15" t="n"/>
      <c r="I159" s="15" t="n"/>
    </row>
    <row r="160">
      <c r="A160" s="15" t="n"/>
      <c r="B160" s="15" t="n"/>
      <c r="C160" s="15" t="n"/>
      <c r="D160" s="16" t="n"/>
      <c r="E160" s="15" t="n"/>
      <c r="F160" s="15" t="n"/>
      <c r="G160" s="15" t="n"/>
      <c r="H160" s="15" t="n"/>
      <c r="I160" s="15" t="n"/>
    </row>
    <row r="161">
      <c r="A161" s="15" t="n"/>
      <c r="B161" s="15" t="n"/>
      <c r="C161" s="15" t="n"/>
      <c r="D161" s="16" t="n"/>
      <c r="E161" s="15" t="n"/>
      <c r="F161" s="15" t="n"/>
      <c r="G161" s="15" t="n"/>
      <c r="H161" s="15" t="n"/>
      <c r="I161" s="15" t="n"/>
    </row>
    <row r="162">
      <c r="A162" s="15" t="n"/>
      <c r="B162" s="15" t="n"/>
      <c r="C162" s="15" t="n"/>
      <c r="D162" s="16" t="n"/>
      <c r="E162" s="15" t="n"/>
      <c r="F162" s="15" t="n"/>
      <c r="G162" s="15" t="n"/>
      <c r="H162" s="15" t="n"/>
      <c r="I162" s="15" t="n"/>
    </row>
    <row r="163">
      <c r="A163" s="15" t="n"/>
      <c r="B163" s="15" t="n"/>
      <c r="C163" s="15" t="n"/>
      <c r="D163" s="16" t="n"/>
      <c r="E163" s="15" t="n"/>
      <c r="F163" s="15" t="n"/>
      <c r="G163" s="15" t="n"/>
      <c r="H163" s="15" t="n"/>
      <c r="I163" s="15" t="n"/>
    </row>
    <row r="164">
      <c r="A164" s="15" t="n"/>
      <c r="B164" s="15" t="n"/>
      <c r="C164" s="15" t="n"/>
      <c r="D164" s="16" t="n"/>
      <c r="E164" s="15" t="n"/>
      <c r="F164" s="15" t="n"/>
      <c r="G164" s="15" t="n"/>
      <c r="H164" s="15" t="n"/>
      <c r="I164" s="15" t="n"/>
    </row>
    <row r="165">
      <c r="A165" s="15" t="n"/>
      <c r="B165" s="15" t="n"/>
      <c r="C165" s="15" t="n"/>
      <c r="D165" s="16" t="n"/>
      <c r="E165" s="15" t="n"/>
      <c r="F165" s="15" t="n"/>
      <c r="G165" s="15" t="n"/>
      <c r="H165" s="15" t="n"/>
      <c r="I165" s="15" t="n"/>
    </row>
    <row r="166">
      <c r="A166" s="15" t="n"/>
      <c r="B166" s="15" t="n"/>
      <c r="C166" s="15" t="n"/>
      <c r="D166" s="16" t="n"/>
      <c r="E166" s="15" t="n"/>
      <c r="F166" s="15" t="n"/>
      <c r="G166" s="15" t="n"/>
      <c r="H166" s="15" t="n"/>
      <c r="I166" s="15" t="n"/>
    </row>
    <row r="167">
      <c r="A167" s="15" t="n"/>
      <c r="B167" s="15" t="n"/>
      <c r="C167" s="15" t="n"/>
      <c r="D167" s="16" t="n"/>
      <c r="E167" s="15" t="n"/>
      <c r="F167" s="15" t="n"/>
      <c r="G167" s="15" t="n"/>
      <c r="H167" s="15" t="n"/>
      <c r="I167" s="15" t="n"/>
    </row>
    <row r="168">
      <c r="A168" s="15" t="n"/>
      <c r="B168" s="15" t="n"/>
      <c r="C168" s="15" t="n"/>
      <c r="D168" s="16" t="n"/>
      <c r="E168" s="15" t="n"/>
      <c r="F168" s="15" t="n"/>
      <c r="G168" s="15" t="n"/>
      <c r="H168" s="15" t="n"/>
      <c r="I168" s="15" t="n"/>
    </row>
    <row r="169">
      <c r="A169" s="15" t="n"/>
      <c r="B169" s="15" t="n"/>
      <c r="C169" s="15" t="n"/>
      <c r="D169" s="16" t="n"/>
      <c r="E169" s="15" t="n"/>
      <c r="F169" s="15" t="n"/>
      <c r="G169" s="15" t="n"/>
      <c r="H169" s="15" t="n"/>
      <c r="I169" s="15" t="n"/>
    </row>
    <row r="170">
      <c r="A170" s="15" t="n"/>
      <c r="B170" s="15" t="n"/>
      <c r="C170" s="15" t="n"/>
      <c r="D170" s="16" t="n"/>
      <c r="E170" s="15" t="n"/>
      <c r="F170" s="15" t="n"/>
      <c r="G170" s="15" t="n"/>
      <c r="H170" s="15" t="n"/>
      <c r="I170" s="15" t="n"/>
    </row>
    <row r="171">
      <c r="A171" s="15" t="n"/>
      <c r="B171" s="15" t="n"/>
      <c r="C171" s="15" t="n"/>
      <c r="D171" s="16" t="n"/>
      <c r="E171" s="15" t="n"/>
      <c r="F171" s="15" t="n"/>
      <c r="G171" s="15" t="n"/>
      <c r="H171" s="15" t="n"/>
      <c r="I171" s="15" t="n"/>
    </row>
    <row r="172">
      <c r="A172" s="15" t="n"/>
      <c r="B172" s="15" t="n"/>
      <c r="C172" s="15" t="n"/>
      <c r="D172" s="16" t="n"/>
      <c r="E172" s="15" t="n"/>
      <c r="F172" s="15" t="n"/>
      <c r="G172" s="15" t="n"/>
      <c r="H172" s="15" t="n"/>
      <c r="I172" s="15" t="n"/>
    </row>
    <row r="173">
      <c r="A173" s="15" t="n"/>
      <c r="B173" s="15" t="n"/>
      <c r="C173" s="15" t="n"/>
      <c r="D173" s="16" t="n"/>
      <c r="E173" s="15" t="n"/>
      <c r="F173" s="15" t="n"/>
      <c r="G173" s="15" t="n"/>
      <c r="H173" s="15" t="n"/>
      <c r="I173" s="15" t="n"/>
    </row>
    <row r="174">
      <c r="A174" s="15" t="n"/>
      <c r="B174" s="15" t="n"/>
      <c r="C174" s="15" t="n"/>
      <c r="D174" s="16" t="n"/>
      <c r="E174" s="15" t="n"/>
      <c r="F174" s="15" t="n"/>
      <c r="G174" s="15" t="n"/>
      <c r="H174" s="15" t="n"/>
      <c r="I174" s="15" t="n"/>
    </row>
    <row r="175">
      <c r="A175" s="15" t="n"/>
      <c r="B175" s="15" t="n"/>
      <c r="C175" s="15" t="n"/>
      <c r="D175" s="16" t="n"/>
      <c r="E175" s="15" t="n"/>
      <c r="F175" s="15" t="n"/>
      <c r="G175" s="15" t="n"/>
      <c r="H175" s="15" t="n"/>
      <c r="I175" s="15" t="n"/>
    </row>
    <row r="176">
      <c r="A176" s="15" t="n"/>
      <c r="B176" s="15" t="n"/>
      <c r="C176" s="15" t="n"/>
      <c r="D176" s="16" t="n"/>
      <c r="E176" s="15" t="n"/>
      <c r="F176" s="15" t="n"/>
      <c r="G176" s="15" t="n"/>
      <c r="H176" s="15" t="n"/>
      <c r="I176" s="15" t="n"/>
    </row>
    <row r="177">
      <c r="A177" s="15" t="n"/>
      <c r="B177" s="15" t="n"/>
      <c r="C177" s="15" t="n"/>
      <c r="D177" s="16" t="n"/>
      <c r="E177" s="15" t="n"/>
      <c r="F177" s="15" t="n"/>
      <c r="G177" s="15" t="n"/>
      <c r="H177" s="15" t="n"/>
      <c r="I177" s="15" t="n"/>
    </row>
    <row r="178">
      <c r="A178" s="15" t="n"/>
      <c r="B178" s="15" t="n"/>
      <c r="C178" s="15" t="n"/>
      <c r="D178" s="16" t="n"/>
      <c r="E178" s="15" t="n"/>
      <c r="F178" s="15" t="n"/>
      <c r="G178" s="15" t="n"/>
      <c r="H178" s="15" t="n"/>
      <c r="I178" s="15" t="n"/>
    </row>
    <row r="179">
      <c r="A179" s="15" t="n"/>
      <c r="B179" s="15" t="n"/>
      <c r="C179" s="15" t="n"/>
      <c r="D179" s="16" t="n"/>
      <c r="E179" s="15" t="n"/>
      <c r="F179" s="15" t="n"/>
      <c r="G179" s="15" t="n"/>
      <c r="H179" s="15" t="n"/>
      <c r="I179" s="15" t="n"/>
    </row>
    <row r="180">
      <c r="A180" s="15" t="n"/>
      <c r="B180" s="15" t="n"/>
      <c r="C180" s="15" t="n"/>
      <c r="D180" s="16" t="n"/>
      <c r="E180" s="15" t="n"/>
      <c r="F180" s="15" t="n"/>
      <c r="G180" s="15" t="n"/>
      <c r="H180" s="15" t="n"/>
      <c r="I180" s="15" t="n"/>
    </row>
    <row r="181">
      <c r="A181" s="15" t="n"/>
      <c r="B181" s="15" t="n"/>
      <c r="C181" s="15" t="n"/>
      <c r="D181" s="16" t="n"/>
      <c r="E181" s="15" t="n"/>
      <c r="F181" s="15" t="n"/>
      <c r="G181" s="15" t="n"/>
      <c r="H181" s="15" t="n"/>
      <c r="I181" s="15" t="n"/>
    </row>
    <row r="182">
      <c r="A182" s="15" t="n"/>
      <c r="B182" s="15" t="n"/>
      <c r="C182" s="15" t="n"/>
      <c r="D182" s="16" t="n"/>
      <c r="E182" s="15" t="n"/>
      <c r="F182" s="15" t="n"/>
      <c r="G182" s="15" t="n"/>
      <c r="H182" s="15" t="n"/>
      <c r="I182" s="15" t="n"/>
    </row>
    <row r="183">
      <c r="A183" s="15" t="n"/>
      <c r="B183" s="15" t="n"/>
      <c r="C183" s="15" t="n"/>
      <c r="D183" s="16" t="n"/>
      <c r="E183" s="15" t="n"/>
      <c r="F183" s="15" t="n"/>
      <c r="G183" s="15" t="n"/>
      <c r="H183" s="15" t="n"/>
      <c r="I183" s="15" t="n"/>
    </row>
    <row r="184">
      <c r="A184" s="15" t="n"/>
      <c r="B184" s="15" t="n"/>
      <c r="C184" s="15" t="n"/>
      <c r="D184" s="16" t="n"/>
      <c r="E184" s="15" t="n"/>
      <c r="F184" s="15" t="n"/>
      <c r="G184" s="15" t="n"/>
      <c r="H184" s="15" t="n"/>
      <c r="I184" s="15" t="n"/>
    </row>
    <row r="185">
      <c r="A185" s="15" t="n"/>
      <c r="B185" s="15" t="n"/>
      <c r="C185" s="15" t="n"/>
      <c r="D185" s="16" t="n"/>
      <c r="E185" s="15" t="n"/>
      <c r="F185" s="15" t="n"/>
      <c r="G185" s="15" t="n"/>
      <c r="H185" s="15" t="n"/>
      <c r="I185" s="15" t="n"/>
    </row>
    <row r="186">
      <c r="A186" s="15" t="n"/>
      <c r="B186" s="15" t="n"/>
      <c r="C186" s="15" t="n"/>
      <c r="D186" s="16" t="n"/>
      <c r="E186" s="15" t="n"/>
      <c r="F186" s="15" t="n"/>
      <c r="G186" s="15" t="n"/>
      <c r="H186" s="15" t="n"/>
      <c r="I186" s="15" t="n"/>
    </row>
    <row r="187">
      <c r="A187" s="15" t="n"/>
      <c r="B187" s="15" t="n"/>
      <c r="C187" s="15" t="n"/>
      <c r="D187" s="16" t="n"/>
      <c r="E187" s="15" t="n"/>
      <c r="F187" s="15" t="n"/>
      <c r="G187" s="15" t="n"/>
      <c r="H187" s="15" t="n"/>
      <c r="I187" s="15" t="n"/>
    </row>
    <row r="188">
      <c r="A188" s="15" t="n"/>
      <c r="B188" s="15" t="n"/>
      <c r="C188" s="15" t="n"/>
      <c r="D188" s="16" t="n"/>
      <c r="E188" s="15" t="n"/>
      <c r="F188" s="15" t="n"/>
      <c r="G188" s="15" t="n"/>
      <c r="H188" s="15" t="n"/>
      <c r="I188" s="15" t="n"/>
    </row>
    <row r="189">
      <c r="A189" s="15" t="n"/>
      <c r="B189" s="15" t="n"/>
      <c r="C189" s="15" t="n"/>
      <c r="D189" s="16" t="n"/>
      <c r="E189" s="15" t="n"/>
      <c r="F189" s="15" t="n"/>
      <c r="G189" s="15" t="n"/>
      <c r="H189" s="15" t="n"/>
      <c r="I189" s="15" t="n"/>
    </row>
    <row r="190">
      <c r="A190" s="15" t="n"/>
      <c r="B190" s="15" t="n"/>
      <c r="C190" s="15" t="n"/>
      <c r="D190" s="16" t="n"/>
      <c r="E190" s="15" t="n"/>
      <c r="F190" s="15" t="n"/>
      <c r="G190" s="15" t="n"/>
      <c r="H190" s="15" t="n"/>
      <c r="I190" s="15" t="n"/>
    </row>
    <row r="191">
      <c r="A191" s="15" t="n"/>
      <c r="B191" s="15" t="n"/>
      <c r="C191" s="15" t="n"/>
      <c r="D191" s="16" t="n"/>
      <c r="E191" s="15" t="n"/>
      <c r="F191" s="15" t="n"/>
      <c r="G191" s="15" t="n"/>
      <c r="H191" s="15" t="n"/>
      <c r="I191" s="15" t="n"/>
    </row>
    <row r="192">
      <c r="A192" s="15" t="n"/>
      <c r="B192" s="15" t="n"/>
      <c r="C192" s="15" t="n"/>
      <c r="D192" s="16" t="n"/>
      <c r="E192" s="15" t="n"/>
      <c r="F192" s="15" t="n"/>
      <c r="G192" s="15" t="n"/>
      <c r="H192" s="15" t="n"/>
      <c r="I192" s="15" t="n"/>
    </row>
    <row r="193">
      <c r="A193" s="15" t="n"/>
      <c r="B193" s="15" t="n"/>
      <c r="C193" s="15" t="n"/>
      <c r="D193" s="16" t="n"/>
      <c r="E193" s="15" t="n"/>
      <c r="F193" s="15" t="n"/>
      <c r="G193" s="15" t="n"/>
      <c r="H193" s="15" t="n"/>
      <c r="I193" s="15" t="n"/>
    </row>
    <row r="194">
      <c r="A194" s="15" t="n"/>
      <c r="B194" s="15" t="n"/>
      <c r="C194" s="15" t="n"/>
      <c r="D194" s="16" t="n"/>
      <c r="E194" s="15" t="n"/>
      <c r="F194" s="15" t="n"/>
      <c r="G194" s="15" t="n"/>
      <c r="H194" s="15" t="n"/>
      <c r="I194" s="15" t="n"/>
    </row>
    <row r="195">
      <c r="A195" s="15" t="n"/>
      <c r="B195" s="15" t="n"/>
      <c r="C195" s="15" t="n"/>
      <c r="D195" s="16" t="n"/>
      <c r="E195" s="15" t="n"/>
      <c r="F195" s="15" t="n"/>
      <c r="G195" s="15" t="n"/>
      <c r="H195" s="15" t="n"/>
      <c r="I195" s="15" t="n"/>
    </row>
    <row r="196">
      <c r="A196" s="15" t="n"/>
      <c r="B196" s="15" t="n"/>
      <c r="C196" s="15" t="n"/>
      <c r="D196" s="16" t="n"/>
      <c r="E196" s="15" t="n"/>
      <c r="F196" s="15" t="n"/>
      <c r="G196" s="15" t="n"/>
      <c r="H196" s="15" t="n"/>
      <c r="I196" s="15" t="n"/>
    </row>
    <row r="197">
      <c r="A197" s="15" t="n"/>
      <c r="B197" s="15" t="n"/>
      <c r="C197" s="15" t="n"/>
      <c r="D197" s="16" t="n"/>
      <c r="E197" s="15" t="n"/>
      <c r="F197" s="15" t="n"/>
      <c r="G197" s="15" t="n"/>
      <c r="H197" s="15" t="n"/>
      <c r="I197" s="15" t="n"/>
    </row>
    <row r="198">
      <c r="A198" s="15" t="n"/>
      <c r="B198" s="15" t="n"/>
      <c r="C198" s="15" t="n"/>
      <c r="D198" s="16" t="n"/>
      <c r="E198" s="15" t="n"/>
      <c r="F198" s="15" t="n"/>
      <c r="G198" s="15" t="n"/>
      <c r="H198" s="15" t="n"/>
      <c r="I198" s="15" t="n"/>
    </row>
    <row r="199">
      <c r="A199" s="15" t="n"/>
      <c r="B199" s="15" t="n"/>
      <c r="C199" s="15" t="n"/>
      <c r="D199" s="16" t="n"/>
      <c r="E199" s="15" t="n"/>
      <c r="F199" s="15" t="n"/>
      <c r="G199" s="15" t="n"/>
      <c r="H199" s="15" t="n"/>
      <c r="I199" s="15" t="n"/>
    </row>
    <row r="200">
      <c r="A200" s="15" t="n"/>
      <c r="B200" s="15" t="n"/>
      <c r="C200" s="15" t="n"/>
      <c r="D200" s="16" t="n"/>
      <c r="E200" s="15" t="n"/>
      <c r="F200" s="15" t="n"/>
      <c r="G200" s="15" t="n"/>
      <c r="H200" s="15" t="n"/>
      <c r="I200" s="15" t="n"/>
    </row>
    <row r="201">
      <c r="A201" s="15" t="n"/>
      <c r="B201" s="15" t="n"/>
      <c r="C201" s="15" t="n"/>
      <c r="D201" s="16" t="n"/>
      <c r="E201" s="15" t="n"/>
      <c r="F201" s="15" t="n"/>
      <c r="G201" s="15" t="n"/>
      <c r="H201" s="15" t="n"/>
      <c r="I201" s="15" t="n"/>
    </row>
    <row r="202">
      <c r="A202" s="15" t="n"/>
      <c r="B202" s="15" t="n"/>
      <c r="C202" s="15" t="n"/>
      <c r="D202" s="16" t="n"/>
      <c r="E202" s="15" t="n"/>
      <c r="F202" s="15" t="n"/>
      <c r="G202" s="15" t="n"/>
      <c r="H202" s="15" t="n"/>
      <c r="I202" s="15" t="n"/>
    </row>
    <row r="203">
      <c r="A203" s="15" t="n"/>
      <c r="B203" s="15" t="n"/>
      <c r="C203" s="15" t="n"/>
      <c r="D203" s="16" t="n"/>
      <c r="E203" s="15" t="n"/>
      <c r="F203" s="15" t="n"/>
      <c r="G203" s="15" t="n"/>
      <c r="H203" s="15" t="n"/>
      <c r="I203" s="15" t="n"/>
    </row>
    <row r="204">
      <c r="A204" s="15" t="n"/>
      <c r="B204" s="15" t="n"/>
      <c r="C204" s="15" t="n"/>
      <c r="D204" s="16" t="n"/>
      <c r="E204" s="15" t="n"/>
      <c r="F204" s="15" t="n"/>
      <c r="G204" s="15" t="n"/>
      <c r="H204" s="15" t="n"/>
      <c r="I204" s="15" t="n"/>
    </row>
    <row r="205">
      <c r="A205" s="15" t="n"/>
      <c r="B205" s="15" t="n"/>
      <c r="C205" s="15" t="n"/>
      <c r="D205" s="16" t="n"/>
      <c r="E205" s="15" t="n"/>
      <c r="F205" s="15" t="n"/>
      <c r="G205" s="15" t="n"/>
      <c r="H205" s="15" t="n"/>
      <c r="I205" s="15" t="n"/>
    </row>
    <row r="206">
      <c r="A206" s="15" t="n"/>
      <c r="B206" s="15" t="n"/>
      <c r="C206" s="15" t="n"/>
      <c r="D206" s="16" t="n"/>
      <c r="E206" s="15" t="n"/>
      <c r="F206" s="15" t="n"/>
      <c r="G206" s="15" t="n"/>
      <c r="H206" s="15" t="n"/>
      <c r="I206" s="15" t="n"/>
    </row>
    <row r="207">
      <c r="A207" s="15" t="n"/>
      <c r="B207" s="15" t="n"/>
      <c r="C207" s="15" t="n"/>
      <c r="D207" s="16" t="n"/>
      <c r="E207" s="15" t="n"/>
      <c r="F207" s="15" t="n"/>
      <c r="G207" s="15" t="n"/>
      <c r="H207" s="15" t="n"/>
      <c r="I207" s="15" t="n"/>
    </row>
    <row r="208">
      <c r="A208" s="15" t="n"/>
      <c r="B208" s="15" t="n"/>
      <c r="C208" s="15" t="n"/>
      <c r="D208" s="16" t="n"/>
      <c r="E208" s="15" t="n"/>
      <c r="F208" s="15" t="n"/>
      <c r="G208" s="15" t="n"/>
      <c r="H208" s="15" t="n"/>
      <c r="I208" s="15" t="n"/>
    </row>
    <row r="209">
      <c r="A209" s="15" t="n"/>
      <c r="B209" s="15" t="n"/>
      <c r="C209" s="15" t="n"/>
      <c r="D209" s="16" t="n"/>
      <c r="E209" s="15" t="n"/>
      <c r="F209" s="15" t="n"/>
      <c r="G209" s="15" t="n"/>
      <c r="H209" s="15" t="n"/>
      <c r="I209" s="15" t="n"/>
    </row>
    <row r="210">
      <c r="A210" s="15" t="n"/>
      <c r="B210" s="15" t="n"/>
      <c r="C210" s="15" t="n"/>
      <c r="D210" s="16" t="n"/>
      <c r="E210" s="15" t="n"/>
      <c r="F210" s="15" t="n"/>
      <c r="G210" s="15" t="n"/>
      <c r="H210" s="15" t="n"/>
      <c r="I210" s="15" t="n"/>
    </row>
    <row r="211">
      <c r="A211" s="15" t="n"/>
      <c r="B211" s="15" t="n"/>
      <c r="C211" s="15" t="n"/>
      <c r="D211" s="16" t="n"/>
      <c r="E211" s="15" t="n"/>
      <c r="F211" s="15" t="n"/>
      <c r="G211" s="15" t="n"/>
      <c r="H211" s="15" t="n"/>
      <c r="I211" s="15" t="n"/>
    </row>
    <row r="212">
      <c r="A212" s="15" t="n"/>
      <c r="B212" s="15" t="n"/>
      <c r="C212" s="15" t="n"/>
      <c r="D212" s="16" t="n"/>
      <c r="E212" s="15" t="n"/>
      <c r="F212" s="15" t="n"/>
      <c r="G212" s="15" t="n"/>
      <c r="H212" s="15" t="n"/>
      <c r="I212" s="15" t="n"/>
    </row>
    <row r="213">
      <c r="A213" s="15" t="n"/>
      <c r="B213" s="15" t="n"/>
      <c r="C213" s="15" t="n"/>
      <c r="D213" s="16" t="n"/>
      <c r="E213" s="15" t="n"/>
      <c r="F213" s="15" t="n"/>
      <c r="G213" s="15" t="n"/>
      <c r="H213" s="15" t="n"/>
      <c r="I213" s="15" t="n"/>
    </row>
    <row r="214">
      <c r="A214" s="15" t="n"/>
      <c r="B214" s="15" t="n"/>
      <c r="C214" s="15" t="n"/>
      <c r="D214" s="16" t="n"/>
      <c r="E214" s="15" t="n"/>
      <c r="F214" s="15" t="n"/>
      <c r="G214" s="15" t="n"/>
      <c r="H214" s="15" t="n"/>
      <c r="I214" s="15" t="n"/>
    </row>
    <row r="215">
      <c r="A215" s="15" t="n"/>
      <c r="B215" s="15" t="n"/>
      <c r="C215" s="15" t="n"/>
      <c r="D215" s="16" t="n"/>
      <c r="E215" s="15" t="n"/>
      <c r="F215" s="15" t="n"/>
      <c r="G215" s="15" t="n"/>
      <c r="H215" s="15" t="n"/>
      <c r="I215" s="15" t="n"/>
    </row>
    <row r="216">
      <c r="A216" s="15" t="n"/>
      <c r="B216" s="15" t="n"/>
      <c r="C216" s="15" t="n"/>
      <c r="D216" s="16" t="n"/>
      <c r="E216" s="15" t="n"/>
      <c r="F216" s="15" t="n"/>
      <c r="G216" s="15" t="n"/>
      <c r="H216" s="15" t="n"/>
      <c r="I216" s="15" t="n"/>
    </row>
    <row r="217">
      <c r="A217" s="15" t="n"/>
      <c r="B217" s="15" t="n"/>
      <c r="C217" s="15" t="n"/>
      <c r="D217" s="16" t="n"/>
      <c r="E217" s="15" t="n"/>
      <c r="F217" s="15" t="n"/>
      <c r="G217" s="15" t="n"/>
      <c r="H217" s="15" t="n"/>
      <c r="I217" s="15" t="n"/>
    </row>
    <row r="218">
      <c r="A218" s="15" t="n"/>
      <c r="B218" s="15" t="n"/>
      <c r="C218" s="15" t="n"/>
      <c r="D218" s="16" t="n"/>
      <c r="E218" s="15" t="n"/>
      <c r="F218" s="15" t="n"/>
      <c r="G218" s="15" t="n"/>
      <c r="H218" s="15" t="n"/>
      <c r="I218" s="15" t="n"/>
    </row>
    <row r="219">
      <c r="A219" s="15" t="n"/>
      <c r="B219" s="15" t="n"/>
      <c r="C219" s="15" t="n"/>
      <c r="D219" s="16" t="n"/>
      <c r="E219" s="15" t="n"/>
      <c r="F219" s="15" t="n"/>
      <c r="G219" s="15" t="n"/>
      <c r="H219" s="15" t="n"/>
      <c r="I219" s="15" t="n"/>
    </row>
    <row r="220">
      <c r="A220" s="15" t="n"/>
      <c r="B220" s="15" t="n"/>
      <c r="C220" s="15" t="n"/>
      <c r="D220" s="16" t="n"/>
      <c r="E220" s="15" t="n"/>
      <c r="F220" s="15" t="n"/>
      <c r="G220" s="15" t="n"/>
      <c r="H220" s="15" t="n"/>
      <c r="I220" s="15" t="n"/>
    </row>
    <row r="221">
      <c r="A221" s="15" t="n"/>
      <c r="B221" s="15" t="n"/>
      <c r="C221" s="15" t="n"/>
      <c r="D221" s="16" t="n"/>
      <c r="E221" s="15" t="n"/>
      <c r="F221" s="15" t="n"/>
      <c r="G221" s="15" t="n"/>
      <c r="H221" s="15" t="n"/>
      <c r="I221" s="15" t="n"/>
    </row>
    <row r="222">
      <c r="A222" s="15" t="n"/>
      <c r="B222" s="15" t="n"/>
      <c r="C222" s="15" t="n"/>
      <c r="D222" s="16" t="n"/>
      <c r="E222" s="15" t="n"/>
      <c r="F222" s="15" t="n"/>
      <c r="G222" s="15" t="n"/>
      <c r="H222" s="15" t="n"/>
      <c r="I222" s="15" t="n"/>
    </row>
    <row r="223">
      <c r="A223" s="15" t="n"/>
      <c r="B223" s="15" t="n"/>
      <c r="C223" s="15" t="n"/>
      <c r="D223" s="16" t="n"/>
      <c r="E223" s="15" t="n"/>
      <c r="F223" s="15" t="n"/>
      <c r="G223" s="15" t="n"/>
      <c r="H223" s="15" t="n"/>
      <c r="I223" s="15" t="n"/>
    </row>
    <row r="224">
      <c r="A224" s="15" t="n"/>
      <c r="B224" s="15" t="n"/>
      <c r="C224" s="15" t="n"/>
      <c r="D224" s="16" t="n"/>
      <c r="E224" s="15" t="n"/>
      <c r="F224" s="15" t="n"/>
      <c r="G224" s="15" t="n"/>
      <c r="H224" s="15" t="n"/>
      <c r="I224" s="15" t="n"/>
    </row>
    <row r="225">
      <c r="A225" s="15" t="n"/>
      <c r="B225" s="15" t="n"/>
      <c r="C225" s="15" t="n"/>
      <c r="D225" s="16" t="n"/>
      <c r="E225" s="15" t="n"/>
      <c r="F225" s="15" t="n"/>
      <c r="G225" s="15" t="n"/>
      <c r="H225" s="15" t="n"/>
      <c r="I225" s="15" t="n"/>
    </row>
    <row r="226">
      <c r="A226" s="15" t="n"/>
      <c r="B226" s="15" t="n"/>
      <c r="C226" s="15" t="n"/>
      <c r="D226" s="16" t="n"/>
      <c r="E226" s="15" t="n"/>
      <c r="F226" s="15" t="n"/>
      <c r="G226" s="15" t="n"/>
      <c r="H226" s="15" t="n"/>
      <c r="I226" s="15" t="n"/>
    </row>
    <row r="227">
      <c r="A227" s="15" t="n"/>
      <c r="B227" s="15" t="n"/>
      <c r="C227" s="15" t="n"/>
      <c r="D227" s="16" t="n"/>
      <c r="E227" s="15" t="n"/>
      <c r="F227" s="15" t="n"/>
      <c r="G227" s="15" t="n"/>
      <c r="H227" s="15" t="n"/>
      <c r="I227" s="15" t="n"/>
    </row>
    <row r="228">
      <c r="A228" s="15" t="n"/>
      <c r="B228" s="15" t="n"/>
      <c r="C228" s="15" t="n"/>
      <c r="D228" s="16" t="n"/>
      <c r="E228" s="15" t="n"/>
      <c r="F228" s="15" t="n"/>
      <c r="G228" s="15" t="n"/>
      <c r="H228" s="15" t="n"/>
      <c r="I228" s="15" t="n"/>
    </row>
    <row r="229">
      <c r="A229" s="15" t="n"/>
      <c r="B229" s="15" t="n"/>
      <c r="C229" s="15" t="n"/>
      <c r="D229" s="16" t="n"/>
      <c r="E229" s="15" t="n"/>
      <c r="F229" s="15" t="n"/>
      <c r="G229" s="15" t="n"/>
      <c r="H229" s="15" t="n"/>
      <c r="I229" s="15" t="n"/>
    </row>
    <row r="230">
      <c r="A230" s="15" t="n"/>
      <c r="B230" s="15" t="n"/>
      <c r="C230" s="15" t="n"/>
      <c r="D230" s="16" t="n"/>
      <c r="E230" s="15" t="n"/>
      <c r="F230" s="15" t="n"/>
      <c r="G230" s="15" t="n"/>
      <c r="H230" s="15" t="n"/>
      <c r="I230" s="15" t="n"/>
    </row>
    <row r="231">
      <c r="A231" s="15" t="n"/>
      <c r="B231" s="15" t="n"/>
      <c r="C231" s="15" t="n"/>
      <c r="D231" s="16" t="n"/>
      <c r="E231" s="15" t="n"/>
      <c r="F231" s="15" t="n"/>
      <c r="G231" s="15" t="n"/>
      <c r="H231" s="15" t="n"/>
      <c r="I231" s="15" t="n"/>
    </row>
    <row r="232">
      <c r="A232" s="15" t="n"/>
      <c r="B232" s="15" t="n"/>
      <c r="C232" s="15" t="n"/>
      <c r="D232" s="16" t="n"/>
      <c r="E232" s="15" t="n"/>
      <c r="F232" s="15" t="n"/>
      <c r="G232" s="15" t="n"/>
      <c r="H232" s="15" t="n"/>
      <c r="I232" s="15" t="n"/>
    </row>
    <row r="233">
      <c r="A233" s="15" t="n"/>
      <c r="B233" s="15" t="n"/>
      <c r="C233" s="15" t="n"/>
      <c r="D233" s="16" t="n"/>
      <c r="E233" s="15" t="n"/>
      <c r="F233" s="15" t="n"/>
      <c r="G233" s="15" t="n"/>
      <c r="H233" s="15" t="n"/>
      <c r="I233" s="15" t="n"/>
    </row>
    <row r="234">
      <c r="A234" s="15" t="n"/>
      <c r="B234" s="15" t="n"/>
      <c r="C234" s="15" t="n"/>
      <c r="D234" s="16" t="n"/>
      <c r="E234" s="15" t="n"/>
      <c r="F234" s="15" t="n"/>
      <c r="G234" s="15" t="n"/>
      <c r="H234" s="15" t="n"/>
      <c r="I234" s="15" t="n"/>
    </row>
    <row r="235">
      <c r="A235" s="15" t="n"/>
      <c r="B235" s="15" t="n"/>
      <c r="C235" s="15" t="n"/>
      <c r="D235" s="16" t="n"/>
      <c r="E235" s="15" t="n"/>
      <c r="F235" s="15" t="n"/>
      <c r="G235" s="15" t="n"/>
      <c r="H235" s="15" t="n"/>
      <c r="I235" s="15" t="n"/>
    </row>
    <row r="236">
      <c r="A236" s="15" t="n"/>
      <c r="B236" s="15" t="n"/>
      <c r="C236" s="15" t="n"/>
      <c r="D236" s="16" t="n"/>
      <c r="E236" s="15" t="n"/>
      <c r="F236" s="15" t="n"/>
      <c r="G236" s="15" t="n"/>
      <c r="H236" s="15" t="n"/>
      <c r="I236" s="15" t="n"/>
    </row>
    <row r="237">
      <c r="A237" s="15" t="n"/>
      <c r="B237" s="15" t="n"/>
      <c r="C237" s="15" t="n"/>
      <c r="D237" s="16" t="n"/>
      <c r="E237" s="15" t="n"/>
      <c r="F237" s="15" t="n"/>
      <c r="G237" s="15" t="n"/>
      <c r="H237" s="15" t="n"/>
      <c r="I237" s="15" t="n"/>
    </row>
    <row r="238">
      <c r="A238" s="15" t="n"/>
      <c r="B238" s="15" t="n"/>
      <c r="C238" s="15" t="n"/>
      <c r="D238" s="16" t="n"/>
      <c r="E238" s="15" t="n"/>
      <c r="F238" s="15" t="n"/>
      <c r="G238" s="15" t="n"/>
      <c r="H238" s="15" t="n"/>
      <c r="I238" s="15" t="n"/>
    </row>
    <row r="239">
      <c r="A239" s="15" t="n"/>
      <c r="B239" s="15" t="n"/>
      <c r="C239" s="15" t="n"/>
      <c r="D239" s="16" t="n"/>
      <c r="E239" s="15" t="n"/>
      <c r="F239" s="15" t="n"/>
      <c r="G239" s="15" t="n"/>
      <c r="H239" s="15" t="n"/>
      <c r="I239" s="15" t="n"/>
    </row>
    <row r="240">
      <c r="A240" s="15" t="n"/>
      <c r="B240" s="15" t="n"/>
      <c r="C240" s="15" t="n"/>
      <c r="D240" s="16" t="n"/>
      <c r="E240" s="15" t="n"/>
      <c r="F240" s="15" t="n"/>
      <c r="G240" s="15" t="n"/>
      <c r="H240" s="15" t="n"/>
      <c r="I240" s="15" t="n"/>
    </row>
    <row r="241">
      <c r="A241" s="15" t="n"/>
      <c r="B241" s="15" t="n"/>
      <c r="C241" s="15" t="n"/>
      <c r="D241" s="16" t="n"/>
      <c r="E241" s="15" t="n"/>
      <c r="F241" s="15" t="n"/>
      <c r="G241" s="15" t="n"/>
      <c r="H241" s="15" t="n"/>
      <c r="I241" s="15" t="n"/>
    </row>
    <row r="242">
      <c r="A242" s="15" t="n"/>
      <c r="B242" s="15" t="n"/>
      <c r="C242" s="15" t="n"/>
      <c r="D242" s="16" t="n"/>
      <c r="E242" s="15" t="n"/>
      <c r="F242" s="15" t="n"/>
      <c r="G242" s="15" t="n"/>
      <c r="H242" s="15" t="n"/>
      <c r="I242" s="15" t="n"/>
    </row>
    <row r="243">
      <c r="A243" s="15" t="n"/>
      <c r="B243" s="15" t="n"/>
      <c r="C243" s="15" t="n"/>
      <c r="D243" s="16" t="n"/>
      <c r="E243" s="15" t="n"/>
      <c r="F243" s="15" t="n"/>
      <c r="G243" s="15" t="n"/>
      <c r="H243" s="15" t="n"/>
      <c r="I243" s="15" t="n"/>
    </row>
    <row r="244">
      <c r="A244" s="15" t="n"/>
      <c r="B244" s="15" t="n"/>
      <c r="C244" s="15" t="n"/>
      <c r="D244" s="16" t="n"/>
      <c r="E244" s="15" t="n"/>
      <c r="F244" s="15" t="n"/>
      <c r="G244" s="15" t="n"/>
      <c r="H244" s="15" t="n"/>
      <c r="I244" s="15" t="n"/>
    </row>
    <row r="245">
      <c r="A245" s="15" t="n"/>
      <c r="B245" s="15" t="n"/>
      <c r="C245" s="15" t="n"/>
      <c r="D245" s="16" t="n"/>
      <c r="E245" s="15" t="n"/>
      <c r="F245" s="15" t="n"/>
      <c r="G245" s="15" t="n"/>
      <c r="H245" s="15" t="n"/>
      <c r="I245" s="15" t="n"/>
    </row>
    <row r="246">
      <c r="A246" s="15" t="n"/>
      <c r="B246" s="15" t="n"/>
      <c r="C246" s="15" t="n"/>
      <c r="D246" s="16" t="n"/>
      <c r="E246" s="15" t="n"/>
      <c r="F246" s="15" t="n"/>
      <c r="G246" s="15" t="n"/>
      <c r="H246" s="15" t="n"/>
      <c r="I246" s="15" t="n"/>
    </row>
    <row r="247">
      <c r="A247" s="15" t="n"/>
      <c r="B247" s="15" t="n"/>
      <c r="C247" s="15" t="n"/>
      <c r="D247" s="16" t="n"/>
      <c r="E247" s="15" t="n"/>
      <c r="F247" s="15" t="n"/>
      <c r="G247" s="15" t="n"/>
      <c r="H247" s="15" t="n"/>
      <c r="I247" s="15" t="n"/>
    </row>
    <row r="248">
      <c r="A248" s="15" t="n"/>
      <c r="B248" s="15" t="n"/>
      <c r="C248" s="15" t="n"/>
      <c r="D248" s="16" t="n"/>
      <c r="E248" s="15" t="n"/>
      <c r="F248" s="15" t="n"/>
      <c r="G248" s="15" t="n"/>
      <c r="H248" s="15" t="n"/>
      <c r="I248" s="15" t="n"/>
    </row>
    <row r="249">
      <c r="A249" s="15" t="n"/>
      <c r="B249" s="15" t="n"/>
      <c r="C249" s="15" t="n"/>
      <c r="D249" s="16" t="n"/>
      <c r="E249" s="15" t="n"/>
      <c r="F249" s="15" t="n"/>
      <c r="G249" s="15" t="n"/>
      <c r="H249" s="15" t="n"/>
      <c r="I249" s="15" t="n"/>
    </row>
    <row r="250">
      <c r="A250" s="15" t="n"/>
      <c r="B250" s="15" t="n"/>
      <c r="C250" s="15" t="n"/>
      <c r="D250" s="16" t="n"/>
      <c r="E250" s="15" t="n"/>
      <c r="F250" s="15" t="n"/>
      <c r="G250" s="15" t="n"/>
      <c r="H250" s="15" t="n"/>
      <c r="I250" s="15" t="n"/>
    </row>
    <row r="251">
      <c r="D251" s="27" t="n"/>
    </row>
    <row r="252">
      <c r="D252" s="27" t="n"/>
    </row>
    <row r="253">
      <c r="D253" s="27" t="n"/>
    </row>
    <row r="254">
      <c r="D254" s="27" t="n"/>
    </row>
    <row r="255">
      <c r="D255" s="27" t="n"/>
    </row>
    <row r="256">
      <c r="D256" s="27" t="n"/>
    </row>
    <row r="257">
      <c r="D257" s="27" t="n"/>
    </row>
    <row r="258">
      <c r="D258" s="27" t="n"/>
    </row>
    <row r="259">
      <c r="D259" s="27" t="n"/>
    </row>
    <row r="260">
      <c r="D260" s="27" t="n"/>
    </row>
    <row r="261">
      <c r="D261" s="27" t="n"/>
    </row>
    <row r="262">
      <c r="D262" s="27" t="n"/>
    </row>
    <row r="263">
      <c r="D263" s="27" t="n"/>
    </row>
    <row r="264">
      <c r="D264" s="27" t="n"/>
    </row>
    <row r="265">
      <c r="D265" s="27" t="n"/>
    </row>
    <row r="266">
      <c r="D266" s="27" t="n"/>
    </row>
    <row r="267">
      <c r="D267" s="27" t="n"/>
    </row>
    <row r="268">
      <c r="D268" s="27" t="n"/>
    </row>
    <row r="269">
      <c r="D269" s="27" t="n"/>
    </row>
    <row r="270">
      <c r="D270" s="27" t="n"/>
    </row>
    <row r="271">
      <c r="D271" s="27" t="n"/>
    </row>
    <row r="272">
      <c r="D272" s="27" t="n"/>
    </row>
    <row r="273">
      <c r="D273" s="27" t="n"/>
    </row>
    <row r="274">
      <c r="D274" s="27" t="n"/>
    </row>
    <row r="275">
      <c r="D275" s="27" t="n"/>
    </row>
    <row r="276">
      <c r="D276" s="27" t="n"/>
    </row>
    <row r="277">
      <c r="D277" s="27" t="n"/>
    </row>
    <row r="278">
      <c r="D278" s="27" t="n"/>
    </row>
    <row r="279">
      <c r="D279" s="27" t="n"/>
    </row>
    <row r="280">
      <c r="D280" s="27" t="n"/>
    </row>
    <row r="281">
      <c r="D281" s="27" t="n"/>
    </row>
    <row r="282">
      <c r="D282" s="27" t="n"/>
    </row>
    <row r="283">
      <c r="D283" s="27" t="n"/>
    </row>
    <row r="284">
      <c r="D284" s="27" t="n"/>
    </row>
    <row r="285">
      <c r="D285" s="27" t="n"/>
    </row>
    <row r="286">
      <c r="D286" s="27" t="n"/>
    </row>
    <row r="287">
      <c r="D287" s="27" t="n"/>
    </row>
    <row r="288">
      <c r="D288" s="27" t="n"/>
    </row>
    <row r="289">
      <c r="D289" s="27" t="n"/>
    </row>
    <row r="290">
      <c r="D290" s="27" t="n"/>
    </row>
    <row r="291">
      <c r="D291" s="27" t="n"/>
    </row>
    <row r="292">
      <c r="D292" s="27" t="n"/>
    </row>
    <row r="293">
      <c r="D293" s="27" t="n"/>
    </row>
    <row r="294">
      <c r="D294" s="27" t="n"/>
    </row>
    <row r="295">
      <c r="D295" s="27" t="n"/>
    </row>
    <row r="296">
      <c r="D296" s="27" t="n"/>
    </row>
    <row r="297">
      <c r="D297" s="27" t="n"/>
    </row>
    <row r="298">
      <c r="D298" s="27" t="n"/>
    </row>
    <row r="299">
      <c r="D299" s="27" t="n"/>
    </row>
    <row r="300">
      <c r="D300" s="27" t="n"/>
    </row>
    <row r="301">
      <c r="D301" s="27" t="n"/>
    </row>
    <row r="302">
      <c r="D302" s="27" t="n"/>
    </row>
    <row r="303">
      <c r="D303" s="27" t="n"/>
    </row>
    <row r="304">
      <c r="D304" s="27" t="n"/>
    </row>
    <row r="305">
      <c r="D305" s="27" t="n"/>
    </row>
    <row r="306">
      <c r="D306" s="27" t="n"/>
    </row>
    <row r="307">
      <c r="D307" s="27" t="n"/>
    </row>
    <row r="308">
      <c r="D308" s="27" t="n"/>
    </row>
    <row r="309">
      <c r="D309" s="27" t="n"/>
    </row>
    <row r="310">
      <c r="D310" s="27" t="n"/>
    </row>
    <row r="311">
      <c r="D311" s="27" t="n"/>
    </row>
    <row r="312">
      <c r="D312" s="27" t="n"/>
    </row>
    <row r="313">
      <c r="D313" s="27" t="n"/>
    </row>
    <row r="314">
      <c r="D314" s="27" t="n"/>
    </row>
    <row r="315">
      <c r="D315" s="27" t="n"/>
    </row>
    <row r="316">
      <c r="D316" s="27" t="n"/>
    </row>
    <row r="317">
      <c r="D317" s="27" t="n"/>
    </row>
    <row r="318">
      <c r="D318" s="27" t="n"/>
    </row>
    <row r="319">
      <c r="D319" s="27" t="n"/>
    </row>
    <row r="320">
      <c r="D320" s="27" t="n"/>
    </row>
    <row r="321">
      <c r="D321" s="27" t="n"/>
    </row>
    <row r="322">
      <c r="D322" s="27" t="n"/>
    </row>
    <row r="323">
      <c r="D323" s="27" t="n"/>
    </row>
    <row r="324">
      <c r="D324" s="27" t="n"/>
    </row>
    <row r="325">
      <c r="D325" s="27" t="n"/>
    </row>
    <row r="326">
      <c r="D326" s="27" t="n"/>
    </row>
    <row r="327">
      <c r="D327" s="27" t="n"/>
    </row>
    <row r="328">
      <c r="D328" s="27" t="n"/>
    </row>
    <row r="329">
      <c r="D329" s="27" t="n"/>
    </row>
    <row r="330">
      <c r="D330" s="27" t="n"/>
    </row>
    <row r="331">
      <c r="D331" s="27" t="n"/>
    </row>
    <row r="332">
      <c r="D332" s="27" t="n"/>
    </row>
    <row r="333">
      <c r="D333" s="27" t="n"/>
    </row>
    <row r="334">
      <c r="D334" s="27" t="n"/>
    </row>
    <row r="335">
      <c r="D335" s="27" t="n"/>
    </row>
    <row r="336">
      <c r="D336" s="27" t="n"/>
    </row>
    <row r="337">
      <c r="D337" s="27" t="n"/>
    </row>
    <row r="338">
      <c r="D338" s="27" t="n"/>
    </row>
    <row r="339">
      <c r="D339" s="27" t="n"/>
    </row>
    <row r="340">
      <c r="D340" s="27" t="n"/>
    </row>
    <row r="341">
      <c r="D341" s="27" t="n"/>
    </row>
    <row r="342">
      <c r="D342" s="27" t="n"/>
    </row>
    <row r="343">
      <c r="D343" s="27" t="n"/>
    </row>
    <row r="344">
      <c r="D344" s="27" t="n"/>
    </row>
    <row r="345">
      <c r="D345" s="27" t="n"/>
    </row>
    <row r="346">
      <c r="D346" s="27" t="n"/>
    </row>
    <row r="347">
      <c r="D347" s="27" t="n"/>
    </row>
    <row r="348">
      <c r="D348" s="27" t="n"/>
    </row>
    <row r="349">
      <c r="D349" s="27" t="n"/>
    </row>
    <row r="350">
      <c r="D350" s="27" t="n"/>
    </row>
    <row r="351">
      <c r="D351" s="27" t="n"/>
    </row>
    <row r="352">
      <c r="D352" s="27" t="n"/>
    </row>
    <row r="353">
      <c r="D353" s="27" t="n"/>
    </row>
    <row r="354">
      <c r="D354" s="27" t="n"/>
    </row>
    <row r="355">
      <c r="D355" s="27" t="n"/>
    </row>
    <row r="356">
      <c r="D356" s="27" t="n"/>
    </row>
    <row r="357">
      <c r="D357" s="27" t="n"/>
    </row>
    <row r="358">
      <c r="D358" s="27" t="n"/>
    </row>
    <row r="359">
      <c r="D359" s="27" t="n"/>
    </row>
    <row r="360">
      <c r="D360" s="27" t="n"/>
    </row>
    <row r="361">
      <c r="D361" s="27" t="n"/>
    </row>
    <row r="362">
      <c r="D362" s="27" t="n"/>
    </row>
    <row r="363">
      <c r="D363" s="27" t="n"/>
    </row>
    <row r="364">
      <c r="D364" s="27" t="n"/>
    </row>
    <row r="365">
      <c r="D365" s="27" t="n"/>
    </row>
    <row r="366">
      <c r="D366" s="27" t="n"/>
    </row>
    <row r="367">
      <c r="D367" s="27" t="n"/>
    </row>
    <row r="368">
      <c r="D368" s="27" t="n"/>
    </row>
    <row r="369">
      <c r="D369" s="27" t="n"/>
    </row>
    <row r="370">
      <c r="D370" s="27" t="n"/>
    </row>
    <row r="371">
      <c r="D371" s="27" t="n"/>
    </row>
    <row r="372">
      <c r="D372" s="27" t="n"/>
    </row>
    <row r="373">
      <c r="D373" s="27" t="n"/>
    </row>
    <row r="374">
      <c r="D374" s="27" t="n"/>
    </row>
    <row r="375">
      <c r="D375" s="27" t="n"/>
    </row>
    <row r="376">
      <c r="D376" s="27" t="n"/>
    </row>
    <row r="377">
      <c r="D377" s="27" t="n"/>
    </row>
    <row r="378">
      <c r="D378" s="27" t="n"/>
    </row>
    <row r="379">
      <c r="D379" s="27" t="n"/>
    </row>
    <row r="380">
      <c r="D380" s="27" t="n"/>
    </row>
    <row r="381">
      <c r="D381" s="27" t="n"/>
    </row>
    <row r="382">
      <c r="D382" s="27" t="n"/>
    </row>
    <row r="383">
      <c r="D383" s="27" t="n"/>
    </row>
    <row r="384">
      <c r="D384" s="27" t="n"/>
    </row>
    <row r="385">
      <c r="D385" s="27" t="n"/>
    </row>
    <row r="386">
      <c r="D386" s="27" t="n"/>
    </row>
    <row r="387">
      <c r="D387" s="27" t="n"/>
    </row>
    <row r="388">
      <c r="D388" s="27" t="n"/>
    </row>
    <row r="389">
      <c r="D389" s="27" t="n"/>
    </row>
    <row r="390">
      <c r="D390" s="27" t="n"/>
    </row>
    <row r="391">
      <c r="D391" s="27" t="n"/>
    </row>
    <row r="392">
      <c r="D392" s="27" t="n"/>
    </row>
    <row r="393">
      <c r="D393" s="27" t="n"/>
    </row>
    <row r="394">
      <c r="D394" s="27" t="n"/>
    </row>
    <row r="395">
      <c r="D395" s="27" t="n"/>
    </row>
    <row r="396">
      <c r="D396" s="27" t="n"/>
    </row>
    <row r="397">
      <c r="D397" s="27" t="n"/>
    </row>
    <row r="398">
      <c r="D398" s="27" t="n"/>
    </row>
    <row r="399">
      <c r="D399" s="27" t="n"/>
    </row>
    <row r="400">
      <c r="D400" s="27" t="n"/>
    </row>
    <row r="401">
      <c r="D401" s="27" t="n"/>
    </row>
    <row r="402">
      <c r="D402" s="27" t="n"/>
    </row>
    <row r="403">
      <c r="D403" s="27" t="n"/>
    </row>
    <row r="404">
      <c r="D404" s="27" t="n"/>
    </row>
    <row r="405">
      <c r="D405" s="27" t="n"/>
    </row>
    <row r="406">
      <c r="D406" s="27" t="n"/>
    </row>
    <row r="407">
      <c r="D407" s="27" t="n"/>
    </row>
    <row r="408">
      <c r="D408" s="27" t="n"/>
    </row>
    <row r="409">
      <c r="D409" s="27" t="n"/>
    </row>
    <row r="410">
      <c r="D410" s="27" t="n"/>
    </row>
    <row r="411">
      <c r="D411" s="27" t="n"/>
    </row>
    <row r="412">
      <c r="D412" s="27" t="n"/>
    </row>
    <row r="413">
      <c r="D413" s="27" t="n"/>
    </row>
    <row r="414">
      <c r="D414" s="27" t="n"/>
    </row>
    <row r="415">
      <c r="D415" s="27" t="n"/>
    </row>
    <row r="416">
      <c r="D416" s="27" t="n"/>
    </row>
    <row r="417">
      <c r="D417" s="27" t="n"/>
    </row>
    <row r="418">
      <c r="D418" s="27" t="n"/>
    </row>
    <row r="419">
      <c r="D419" s="27" t="n"/>
    </row>
    <row r="420">
      <c r="D420" s="27" t="n"/>
    </row>
    <row r="421">
      <c r="D421" s="27" t="n"/>
    </row>
    <row r="422">
      <c r="D422" s="27" t="n"/>
    </row>
    <row r="423">
      <c r="D423" s="27" t="n"/>
    </row>
    <row r="424">
      <c r="D424" s="27" t="n"/>
    </row>
    <row r="425">
      <c r="D425" s="27" t="n"/>
    </row>
    <row r="426">
      <c r="D426" s="27" t="n"/>
    </row>
    <row r="427">
      <c r="D427" s="27" t="n"/>
    </row>
    <row r="428">
      <c r="D428" s="27" t="n"/>
    </row>
    <row r="429">
      <c r="D429" s="27" t="n"/>
    </row>
    <row r="430">
      <c r="D430" s="27" t="n"/>
    </row>
    <row r="431">
      <c r="D431" s="27" t="n"/>
    </row>
    <row r="432">
      <c r="D432" s="27" t="n"/>
    </row>
    <row r="433">
      <c r="D433" s="27" t="n"/>
    </row>
    <row r="434">
      <c r="D434" s="27" t="n"/>
    </row>
    <row r="435">
      <c r="D435" s="27" t="n"/>
    </row>
    <row r="436">
      <c r="D436" s="27" t="n"/>
    </row>
    <row r="437">
      <c r="D437" s="27" t="n"/>
    </row>
    <row r="438">
      <c r="D438" s="27" t="n"/>
    </row>
    <row r="439">
      <c r="D439" s="27" t="n"/>
    </row>
    <row r="440">
      <c r="D440" s="27" t="n"/>
    </row>
    <row r="441">
      <c r="D441" s="27" t="n"/>
    </row>
    <row r="442">
      <c r="D442" s="27" t="n"/>
    </row>
    <row r="443">
      <c r="D443" s="27" t="n"/>
    </row>
    <row r="444">
      <c r="D444" s="27" t="n"/>
    </row>
    <row r="445">
      <c r="D445" s="27" t="n"/>
    </row>
    <row r="446">
      <c r="D446" s="27" t="n"/>
    </row>
    <row r="447">
      <c r="D447" s="27" t="n"/>
    </row>
    <row r="448">
      <c r="D448" s="27" t="n"/>
    </row>
    <row r="449">
      <c r="D449" s="27" t="n"/>
    </row>
    <row r="450">
      <c r="D450" s="27" t="n"/>
    </row>
    <row r="451">
      <c r="D451" s="27" t="n"/>
    </row>
    <row r="452">
      <c r="D452" s="27" t="n"/>
    </row>
    <row r="453">
      <c r="D453" s="27" t="n"/>
    </row>
    <row r="454">
      <c r="D454" s="27" t="n"/>
    </row>
    <row r="455">
      <c r="D455" s="27" t="n"/>
    </row>
    <row r="456">
      <c r="D456" s="27" t="n"/>
    </row>
    <row r="457">
      <c r="D457" s="27" t="n"/>
    </row>
    <row r="458">
      <c r="D458" s="27" t="n"/>
    </row>
    <row r="459">
      <c r="D459" s="27" t="n"/>
    </row>
    <row r="460">
      <c r="D460" s="27" t="n"/>
    </row>
    <row r="461">
      <c r="D461" s="27" t="n"/>
    </row>
    <row r="462">
      <c r="D462" s="27" t="n"/>
    </row>
    <row r="463">
      <c r="D463" s="27" t="n"/>
    </row>
    <row r="464">
      <c r="D464" s="27" t="n"/>
    </row>
    <row r="465">
      <c r="D465" s="27" t="n"/>
    </row>
    <row r="466">
      <c r="D466" s="27" t="n"/>
    </row>
    <row r="467">
      <c r="D467" s="27" t="n"/>
    </row>
    <row r="468">
      <c r="D468" s="27" t="n"/>
    </row>
    <row r="469">
      <c r="D469" s="27" t="n"/>
    </row>
    <row r="470">
      <c r="D470" s="27" t="n"/>
    </row>
    <row r="471">
      <c r="D471" s="27" t="n"/>
    </row>
    <row r="472">
      <c r="D472" s="27" t="n"/>
    </row>
    <row r="473">
      <c r="D473" s="27" t="n"/>
    </row>
    <row r="474">
      <c r="D474" s="27" t="n"/>
    </row>
    <row r="475">
      <c r="D475" s="27" t="n"/>
    </row>
    <row r="476">
      <c r="D476" s="27" t="n"/>
    </row>
    <row r="477">
      <c r="D477" s="27" t="n"/>
    </row>
    <row r="478">
      <c r="D478" s="27" t="n"/>
    </row>
    <row r="479">
      <c r="D479" s="27" t="n"/>
    </row>
    <row r="480">
      <c r="D480" s="27" t="n"/>
    </row>
    <row r="481">
      <c r="D481" s="27" t="n"/>
    </row>
    <row r="482">
      <c r="D482" s="27" t="n"/>
    </row>
    <row r="483">
      <c r="D483" s="27" t="n"/>
    </row>
    <row r="484">
      <c r="D484" s="27" t="n"/>
    </row>
    <row r="485">
      <c r="D485" s="27" t="n"/>
    </row>
    <row r="486">
      <c r="D486" s="27" t="n"/>
    </row>
    <row r="487">
      <c r="D487" s="27" t="n"/>
    </row>
    <row r="488">
      <c r="D488" s="27" t="n"/>
    </row>
    <row r="489">
      <c r="D489" s="27" t="n"/>
    </row>
    <row r="490">
      <c r="D490" s="27" t="n"/>
    </row>
    <row r="491">
      <c r="D491" s="27" t="n"/>
    </row>
    <row r="492">
      <c r="D492" s="27" t="n"/>
    </row>
    <row r="493">
      <c r="D493" s="27" t="n"/>
    </row>
    <row r="494">
      <c r="D494" s="27" t="n"/>
    </row>
    <row r="495">
      <c r="D495" s="27" t="n"/>
    </row>
    <row r="496">
      <c r="D496" s="27" t="n"/>
    </row>
    <row r="497">
      <c r="D497" s="27" t="n"/>
    </row>
    <row r="498">
      <c r="D498" s="27" t="n"/>
    </row>
    <row r="499">
      <c r="D499" s="27" t="n"/>
    </row>
    <row r="500">
      <c r="D500" s="27" t="n"/>
    </row>
    <row r="501">
      <c r="D501" s="27" t="n"/>
    </row>
    <row r="502">
      <c r="D502" s="27" t="n"/>
    </row>
    <row r="503">
      <c r="D503" s="27" t="n"/>
    </row>
    <row r="504">
      <c r="D504" s="27" t="n"/>
    </row>
    <row r="505">
      <c r="D505" s="27" t="n"/>
    </row>
    <row r="506">
      <c r="D506" s="27" t="n"/>
    </row>
    <row r="507">
      <c r="D507" s="27" t="n"/>
    </row>
    <row r="508">
      <c r="D508" s="27" t="n"/>
    </row>
    <row r="509">
      <c r="D509" s="27" t="n"/>
    </row>
    <row r="510">
      <c r="D510" s="27" t="n"/>
    </row>
    <row r="511">
      <c r="D511" s="27" t="n"/>
    </row>
    <row r="512">
      <c r="D512" s="27" t="n"/>
    </row>
    <row r="513">
      <c r="D513" s="27" t="n"/>
    </row>
    <row r="514">
      <c r="D514" s="27" t="n"/>
    </row>
    <row r="515">
      <c r="D515" s="27" t="n"/>
    </row>
    <row r="516">
      <c r="D516" s="27" t="n"/>
    </row>
    <row r="517">
      <c r="D517" s="27" t="n"/>
    </row>
    <row r="518">
      <c r="D518" s="27" t="n"/>
    </row>
    <row r="519">
      <c r="D519" s="27" t="n"/>
    </row>
    <row r="520">
      <c r="D520" s="27" t="n"/>
    </row>
    <row r="521">
      <c r="D521" s="27" t="n"/>
    </row>
    <row r="522">
      <c r="D522" s="27" t="n"/>
    </row>
    <row r="523">
      <c r="D523" s="27" t="n"/>
    </row>
    <row r="524">
      <c r="D524" s="27" t="n"/>
    </row>
    <row r="525">
      <c r="D525" s="27" t="n"/>
    </row>
    <row r="526">
      <c r="D526" s="27" t="n"/>
    </row>
    <row r="527">
      <c r="D527" s="27" t="n"/>
    </row>
    <row r="528">
      <c r="D528" s="27" t="n"/>
    </row>
    <row r="529">
      <c r="D529" s="27" t="n"/>
    </row>
    <row r="530">
      <c r="D530" s="27" t="n"/>
    </row>
    <row r="531">
      <c r="D531" s="27" t="n"/>
    </row>
    <row r="532">
      <c r="D532" s="27" t="n"/>
    </row>
    <row r="533">
      <c r="D533" s="27" t="n"/>
    </row>
    <row r="534">
      <c r="D534" s="27" t="n"/>
    </row>
    <row r="535">
      <c r="D535" s="27" t="n"/>
    </row>
    <row r="536">
      <c r="D536" s="27" t="n"/>
    </row>
    <row r="537">
      <c r="D537" s="27" t="n"/>
    </row>
    <row r="538">
      <c r="D538" s="27" t="n"/>
    </row>
    <row r="539">
      <c r="D539" s="27" t="n"/>
    </row>
    <row r="540">
      <c r="D540" s="27" t="n"/>
    </row>
    <row r="541">
      <c r="D541" s="27" t="n"/>
    </row>
    <row r="542">
      <c r="D542" s="27" t="n"/>
    </row>
    <row r="543">
      <c r="D543" s="27" t="n"/>
    </row>
    <row r="544">
      <c r="D544" s="27" t="n"/>
    </row>
    <row r="545">
      <c r="D545" s="27" t="n"/>
    </row>
    <row r="546">
      <c r="D546" s="27" t="n"/>
    </row>
    <row r="547">
      <c r="D547" s="27" t="n"/>
    </row>
    <row r="548">
      <c r="D548" s="27" t="n"/>
    </row>
    <row r="549">
      <c r="D549" s="27" t="n"/>
    </row>
    <row r="550">
      <c r="D550" s="27" t="n"/>
    </row>
    <row r="551">
      <c r="D551" s="27" t="n"/>
    </row>
    <row r="552">
      <c r="D552" s="27" t="n"/>
    </row>
    <row r="553">
      <c r="D553" s="27" t="n"/>
    </row>
    <row r="554">
      <c r="D554" s="27" t="n"/>
    </row>
    <row r="555">
      <c r="D555" s="27" t="n"/>
    </row>
    <row r="556">
      <c r="D556" s="27" t="n"/>
    </row>
    <row r="557">
      <c r="D557" s="27" t="n"/>
    </row>
    <row r="558">
      <c r="D558" s="27" t="n"/>
    </row>
    <row r="559">
      <c r="D559" s="27" t="n"/>
    </row>
    <row r="560">
      <c r="D560" s="27" t="n"/>
    </row>
    <row r="561">
      <c r="D561" s="27" t="n"/>
    </row>
    <row r="562">
      <c r="D562" s="27" t="n"/>
    </row>
    <row r="563">
      <c r="D563" s="27" t="n"/>
    </row>
    <row r="564">
      <c r="D564" s="27" t="n"/>
    </row>
    <row r="565">
      <c r="D565" s="27" t="n"/>
    </row>
    <row r="566">
      <c r="D566" s="27" t="n"/>
    </row>
    <row r="567">
      <c r="D567" s="27" t="n"/>
    </row>
    <row r="568">
      <c r="D568" s="27" t="n"/>
    </row>
    <row r="569">
      <c r="D569" s="27" t="n"/>
    </row>
    <row r="570">
      <c r="D570" s="27" t="n"/>
    </row>
    <row r="571">
      <c r="D571" s="27" t="n"/>
    </row>
    <row r="572">
      <c r="D572" s="27" t="n"/>
    </row>
    <row r="573">
      <c r="D573" s="27" t="n"/>
    </row>
    <row r="574">
      <c r="D574" s="27" t="n"/>
    </row>
    <row r="575">
      <c r="D575" s="27" t="n"/>
    </row>
    <row r="576">
      <c r="D576" s="27" t="n"/>
    </row>
    <row r="577">
      <c r="D577" s="27" t="n"/>
    </row>
    <row r="578">
      <c r="D578" s="27" t="n"/>
    </row>
    <row r="579">
      <c r="D579" s="27" t="n"/>
    </row>
    <row r="580">
      <c r="D580" s="27" t="n"/>
    </row>
    <row r="581">
      <c r="D581" s="27" t="n"/>
    </row>
    <row r="582">
      <c r="D582" s="27" t="n"/>
    </row>
    <row r="583">
      <c r="D583" s="27" t="n"/>
    </row>
    <row r="584">
      <c r="D584" s="27" t="n"/>
    </row>
    <row r="585">
      <c r="D585" s="27" t="n"/>
    </row>
    <row r="586">
      <c r="D586" s="27" t="n"/>
    </row>
    <row r="587">
      <c r="D587" s="27" t="n"/>
    </row>
    <row r="588">
      <c r="D588" s="27" t="n"/>
    </row>
    <row r="589">
      <c r="D589" s="27" t="n"/>
    </row>
    <row r="590">
      <c r="D590" s="27" t="n"/>
    </row>
    <row r="591">
      <c r="D591" s="27" t="n"/>
    </row>
    <row r="592">
      <c r="D592" s="27" t="n"/>
    </row>
    <row r="593">
      <c r="D593" s="27" t="n"/>
    </row>
    <row r="594">
      <c r="D594" s="27" t="n"/>
    </row>
    <row r="595">
      <c r="D595" s="27" t="n"/>
    </row>
    <row r="596">
      <c r="D596" s="27" t="n"/>
    </row>
    <row r="597">
      <c r="D597" s="27" t="n"/>
    </row>
    <row r="598">
      <c r="D598" s="27" t="n"/>
    </row>
    <row r="599">
      <c r="D599" s="27" t="n"/>
    </row>
    <row r="600">
      <c r="D600" s="27" t="n"/>
    </row>
    <row r="601">
      <c r="D601" s="27" t="n"/>
    </row>
    <row r="602">
      <c r="D602" s="27" t="n"/>
    </row>
    <row r="603">
      <c r="D603" s="27" t="n"/>
    </row>
    <row r="604">
      <c r="D604" s="27" t="n"/>
    </row>
    <row r="605">
      <c r="D605" s="27" t="n"/>
    </row>
    <row r="606">
      <c r="D606" s="27" t="n"/>
    </row>
    <row r="607">
      <c r="D607" s="27" t="n"/>
    </row>
    <row r="608">
      <c r="D608" s="27" t="n"/>
    </row>
    <row r="609">
      <c r="D609" s="27" t="n"/>
    </row>
    <row r="610">
      <c r="D610" s="27" t="n"/>
    </row>
    <row r="611">
      <c r="D611" s="27" t="n"/>
    </row>
    <row r="612">
      <c r="D612" s="27" t="n"/>
    </row>
    <row r="613">
      <c r="D613" s="27" t="n"/>
    </row>
    <row r="614">
      <c r="D614" s="27" t="n"/>
    </row>
    <row r="615">
      <c r="D615" s="27" t="n"/>
    </row>
    <row r="616">
      <c r="D616" s="27" t="n"/>
    </row>
    <row r="617">
      <c r="D617" s="27" t="n"/>
    </row>
    <row r="618">
      <c r="D618" s="27" t="n"/>
    </row>
    <row r="619">
      <c r="D619" s="27" t="n"/>
    </row>
    <row r="620">
      <c r="D620" s="27" t="n"/>
    </row>
    <row r="621">
      <c r="D621" s="27" t="n"/>
    </row>
    <row r="622">
      <c r="D622" s="27" t="n"/>
    </row>
    <row r="623">
      <c r="D623" s="27" t="n"/>
    </row>
    <row r="624">
      <c r="D624" s="27" t="n"/>
    </row>
    <row r="625">
      <c r="D625" s="27" t="n"/>
    </row>
    <row r="626">
      <c r="D626" s="27" t="n"/>
    </row>
    <row r="627">
      <c r="D627" s="27" t="n"/>
    </row>
    <row r="628">
      <c r="D628" s="27" t="n"/>
    </row>
    <row r="629">
      <c r="D629" s="27" t="n"/>
    </row>
    <row r="630">
      <c r="D630" s="27" t="n"/>
    </row>
    <row r="631">
      <c r="D631" s="27" t="n"/>
    </row>
    <row r="632">
      <c r="D632" s="27" t="n"/>
    </row>
    <row r="633">
      <c r="D633" s="27" t="n"/>
    </row>
    <row r="634">
      <c r="D634" s="27" t="n"/>
    </row>
    <row r="635">
      <c r="D635" s="27" t="n"/>
    </row>
    <row r="636">
      <c r="D636" s="27" t="n"/>
    </row>
    <row r="637">
      <c r="D637" s="27" t="n"/>
    </row>
    <row r="638">
      <c r="D638" s="27" t="n"/>
    </row>
    <row r="639">
      <c r="D639" s="27" t="n"/>
    </row>
    <row r="640">
      <c r="D640" s="27" t="n"/>
    </row>
    <row r="641">
      <c r="D641" s="27" t="n"/>
    </row>
    <row r="642">
      <c r="D642" s="27" t="n"/>
    </row>
    <row r="643">
      <c r="D643" s="27" t="n"/>
    </row>
    <row r="644">
      <c r="D644" s="27" t="n"/>
    </row>
    <row r="645">
      <c r="D645" s="27" t="n"/>
    </row>
    <row r="646">
      <c r="D646" s="27" t="n"/>
    </row>
    <row r="647">
      <c r="D647" s="27" t="n"/>
    </row>
    <row r="648">
      <c r="D648" s="27" t="n"/>
    </row>
    <row r="649">
      <c r="D649" s="27" t="n"/>
    </row>
    <row r="650">
      <c r="D650" s="27" t="n"/>
    </row>
    <row r="651">
      <c r="D651" s="27" t="n"/>
    </row>
    <row r="652">
      <c r="D652" s="27" t="n"/>
    </row>
    <row r="653">
      <c r="D653" s="27" t="n"/>
    </row>
    <row r="654">
      <c r="D654" s="27" t="n"/>
    </row>
    <row r="655">
      <c r="D655" s="27" t="n"/>
    </row>
    <row r="656">
      <c r="D656" s="27" t="n"/>
    </row>
    <row r="657">
      <c r="D657" s="27" t="n"/>
    </row>
    <row r="658">
      <c r="D658" s="27" t="n"/>
    </row>
    <row r="659">
      <c r="D659" s="27" t="n"/>
    </row>
    <row r="660">
      <c r="D660" s="27" t="n"/>
    </row>
    <row r="661">
      <c r="D661" s="27" t="n"/>
    </row>
    <row r="662">
      <c r="D662" s="27" t="n"/>
    </row>
    <row r="663">
      <c r="D663" s="27" t="n"/>
    </row>
    <row r="664">
      <c r="D664" s="27" t="n"/>
    </row>
    <row r="665">
      <c r="D665" s="27" t="n"/>
    </row>
    <row r="666">
      <c r="D666" s="27" t="n"/>
    </row>
    <row r="667">
      <c r="D667" s="27" t="n"/>
    </row>
    <row r="668">
      <c r="D668" s="27" t="n"/>
    </row>
    <row r="669">
      <c r="D669" s="27" t="n"/>
    </row>
    <row r="670">
      <c r="D670" s="27" t="n"/>
    </row>
    <row r="671">
      <c r="D671" s="27" t="n"/>
    </row>
    <row r="672">
      <c r="D672" s="27" t="n"/>
    </row>
    <row r="673">
      <c r="D673" s="27" t="n"/>
    </row>
    <row r="674">
      <c r="D674" s="27" t="n"/>
    </row>
    <row r="675">
      <c r="D675" s="27" t="n"/>
    </row>
    <row r="676">
      <c r="D676" s="27" t="n"/>
    </row>
    <row r="677">
      <c r="D677" s="27" t="n"/>
    </row>
    <row r="678">
      <c r="D678" s="27" t="n"/>
    </row>
    <row r="679">
      <c r="D679" s="27" t="n"/>
    </row>
    <row r="680">
      <c r="D680" s="27" t="n"/>
    </row>
    <row r="681">
      <c r="D681" s="27" t="n"/>
    </row>
    <row r="682">
      <c r="D682" s="27" t="n"/>
    </row>
    <row r="683">
      <c r="D683" s="27" t="n"/>
    </row>
    <row r="684">
      <c r="D684" s="27" t="n"/>
    </row>
    <row r="685">
      <c r="D685" s="27" t="n"/>
    </row>
    <row r="686">
      <c r="D686" s="27" t="n"/>
    </row>
    <row r="687">
      <c r="D687" s="27" t="n"/>
    </row>
    <row r="688">
      <c r="D688" s="27" t="n"/>
    </row>
    <row r="689">
      <c r="D689" s="27" t="n"/>
    </row>
    <row r="690">
      <c r="D690" s="27" t="n"/>
    </row>
    <row r="691">
      <c r="D691" s="27" t="n"/>
    </row>
    <row r="692">
      <c r="D692" s="27" t="n"/>
    </row>
    <row r="693">
      <c r="D693" s="27" t="n"/>
    </row>
    <row r="694">
      <c r="D694" s="27" t="n"/>
    </row>
    <row r="695">
      <c r="D695" s="27" t="n"/>
    </row>
    <row r="696">
      <c r="D696" s="27" t="n"/>
    </row>
    <row r="697">
      <c r="D697" s="27" t="n"/>
    </row>
    <row r="698">
      <c r="D698" s="27" t="n"/>
    </row>
    <row r="699">
      <c r="D699" s="27" t="n"/>
    </row>
    <row r="700">
      <c r="D700" s="27" t="n"/>
    </row>
  </sheetData>
  <autoFilter ref="A1:I250"/>
  <dataValidations count="5">
    <dataValidation sqref="B2:B2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250" showDropDown="0" showInputMessage="0" showErrorMessage="1" allowBlank="1" errorTitle="Invalid selection" error="Select from dropdown." type="list">
      <formula1>"Development,SIT,UAT,Pre-Production,Production,DR"</formula1>
    </dataValidation>
    <dataValidation sqref="F2:F2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250" showDropDown="0" showInputMessage="0" showErrorMessage="1" allowBlank="1" errorTitle="Invalid selection" error="Select from dropdown." type="list">
      <formula1>"Planned,Successful,Failed,Rolled Back,Completed"</formula1>
    </dataValidation>
    <dataValidation sqref="H2:H250" showDropDown="0" showInputMessage="0" showErrorMessage="1" allowBlank="1" errorTitle="Invalid selection" error="Select from dropdown." type="list">
      <formula1>"Yes,No"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16" customWidth="1" min="17" max="17"/>
    <col width="19" customWidth="1" min="18" max="18"/>
  </cols>
  <sheetData>
    <row r="1">
      <c r="A1" s="10" t="inlineStr">
        <is>
          <t>Project IDs</t>
        </is>
      </c>
      <c r="B1" s="10" t="inlineStr">
        <is>
          <t>People</t>
        </is>
      </c>
      <c r="C1" s="10" t="inlineStr">
        <is>
          <t>Modules</t>
        </is>
      </c>
      <c r="D1" s="10" t="inlineStr">
        <is>
          <t>Project Status</t>
        </is>
      </c>
      <c r="E1" s="10" t="inlineStr">
        <is>
          <t>Task Status</t>
        </is>
      </c>
      <c r="F1" s="10" t="inlineStr">
        <is>
          <t>Milestone Status</t>
        </is>
      </c>
      <c r="G1" s="10" t="inlineStr">
        <is>
          <t>Issue Status</t>
        </is>
      </c>
      <c r="H1" s="10" t="inlineStr">
        <is>
          <t>Priority</t>
        </is>
      </c>
      <c r="I1" s="10" t="inlineStr">
        <is>
          <t>Risk Level</t>
        </is>
      </c>
      <c r="J1" s="10" t="inlineStr">
        <is>
          <t>Severity</t>
        </is>
      </c>
      <c r="K1" s="10" t="inlineStr">
        <is>
          <t>Approval Status</t>
        </is>
      </c>
      <c r="L1" s="10" t="inlineStr">
        <is>
          <t>Test Result</t>
        </is>
      </c>
      <c r="M1" s="10" t="inlineStr">
        <is>
          <t>Retest Status</t>
        </is>
      </c>
      <c r="N1" s="10" t="inlineStr">
        <is>
          <t>Deployment Status</t>
        </is>
      </c>
      <c r="O1" s="10" t="inlineStr">
        <is>
          <t>Yes No</t>
        </is>
      </c>
      <c r="P1" s="10" t="inlineStr">
        <is>
          <t>Phase</t>
        </is>
      </c>
      <c r="Q1" s="10" t="inlineStr">
        <is>
          <t>Environment</t>
        </is>
      </c>
      <c r="R1" s="10" t="inlineStr">
        <is>
          <t>ImpactProbability</t>
        </is>
      </c>
    </row>
    <row r="2">
      <c r="A2" t="inlineStr">
        <is>
          <t>PRJ-001</t>
        </is>
      </c>
      <c r="B2" t="inlineStr">
        <is>
          <t>Ananya Rao</t>
        </is>
      </c>
      <c r="C2" t="inlineStr">
        <is>
          <t>Login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Not Started</t>
        </is>
      </c>
      <c r="G2" t="inlineStr">
        <is>
          <t>Open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Pending</t>
        </is>
      </c>
      <c r="L2" t="inlineStr">
        <is>
          <t>Not Run</t>
        </is>
      </c>
      <c r="M2" t="inlineStr">
        <is>
          <t>Pending</t>
        </is>
      </c>
      <c r="N2" t="inlineStr">
        <is>
          <t>Planned</t>
        </is>
      </c>
      <c r="O2" t="inlineStr">
        <is>
          <t>Yes</t>
        </is>
      </c>
      <c r="P2" t="inlineStr">
        <is>
          <t>Initiation</t>
        </is>
      </c>
      <c r="Q2" t="inlineStr">
        <is>
          <t>Development</t>
        </is>
      </c>
      <c r="R2" t="inlineStr">
        <is>
          <t>1</t>
        </is>
      </c>
    </row>
    <row r="3">
      <c r="A3" t="inlineStr">
        <is>
          <t>PRJ-002</t>
        </is>
      </c>
      <c r="B3" t="inlineStr">
        <is>
          <t>Rohit Menon</t>
        </is>
      </c>
      <c r="C3" t="inlineStr">
        <is>
          <t>Payments</t>
        </is>
      </c>
      <c r="D3" t="inlineStr">
        <is>
          <t>Active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In Progress</t>
        </is>
      </c>
      <c r="H3" t="inlineStr">
        <is>
          <t>Medium</t>
        </is>
      </c>
      <c r="I3" t="inlineStr">
        <is>
          <t>Medium</t>
        </is>
      </c>
      <c r="J3" t="inlineStr">
        <is>
          <t>Medium</t>
        </is>
      </c>
      <c r="K3" t="inlineStr">
        <is>
          <t>Approved</t>
        </is>
      </c>
      <c r="L3" t="inlineStr">
        <is>
          <t>Pass</t>
        </is>
      </c>
      <c r="M3" t="inlineStr">
        <is>
          <t>Pass</t>
        </is>
      </c>
      <c r="N3" t="inlineStr">
        <is>
          <t>Successful</t>
        </is>
      </c>
      <c r="O3" t="inlineStr">
        <is>
          <t>No</t>
        </is>
      </c>
      <c r="P3" t="inlineStr">
        <is>
          <t>Requirements</t>
        </is>
      </c>
      <c r="Q3" t="inlineStr">
        <is>
          <t>SIT</t>
        </is>
      </c>
      <c r="R3" t="inlineStr">
        <is>
          <t>2</t>
        </is>
      </c>
    </row>
    <row r="4">
      <c r="A4" t="inlineStr">
        <is>
          <t>PRJ-003</t>
        </is>
      </c>
      <c r="B4" t="inlineStr">
        <is>
          <t>Meera Iyer</t>
        </is>
      </c>
      <c r="C4" t="inlineStr">
        <is>
          <t>Workflow</t>
        </is>
      </c>
      <c r="D4" t="inlineStr">
        <is>
          <t>On Hold</t>
        </is>
      </c>
      <c r="E4" t="inlineStr">
        <is>
          <t>Blocked</t>
        </is>
      </c>
      <c r="F4" t="inlineStr">
        <is>
          <t>Completed</t>
        </is>
      </c>
      <c r="G4" t="inlineStr">
        <is>
          <t>Resolved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Rejected</t>
        </is>
      </c>
      <c r="L4" t="inlineStr">
        <is>
          <t>Fail</t>
        </is>
      </c>
      <c r="M4" t="inlineStr">
        <is>
          <t>Fail</t>
        </is>
      </c>
      <c r="N4" t="inlineStr">
        <is>
          <t>Failed</t>
        </is>
      </c>
      <c r="P4" t="inlineStr">
        <is>
          <t>Design</t>
        </is>
      </c>
      <c r="Q4" t="inlineStr">
        <is>
          <t>UAT</t>
        </is>
      </c>
      <c r="R4" t="inlineStr">
        <is>
          <t>3</t>
        </is>
      </c>
    </row>
    <row r="5">
      <c r="A5" t="inlineStr">
        <is>
          <t>PRJ-004</t>
        </is>
      </c>
      <c r="B5" t="inlineStr">
        <is>
          <t>Vikram Shah</t>
        </is>
      </c>
      <c r="C5" t="inlineStr">
        <is>
          <t>Integration</t>
        </is>
      </c>
      <c r="D5" t="inlineStr">
        <is>
          <t>Completed</t>
        </is>
      </c>
      <c r="E5" t="inlineStr">
        <is>
          <t>Completed</t>
        </is>
      </c>
      <c r="F5" t="inlineStr">
        <is>
          <t>Delayed</t>
        </is>
      </c>
      <c r="G5" t="inlineStr">
        <is>
          <t>Closed</t>
        </is>
      </c>
      <c r="H5" t="inlineStr">
        <is>
          <t>Critical</t>
        </is>
      </c>
      <c r="I5" t="inlineStr">
        <is>
          <t>Critical</t>
        </is>
      </c>
      <c r="J5" t="inlineStr">
        <is>
          <t>Critical</t>
        </is>
      </c>
      <c r="K5" t="inlineStr">
        <is>
          <t>Deferred</t>
        </is>
      </c>
      <c r="L5" t="inlineStr">
        <is>
          <t>Blocked</t>
        </is>
      </c>
      <c r="M5" t="inlineStr">
        <is>
          <t>Not Required</t>
        </is>
      </c>
      <c r="N5" t="inlineStr">
        <is>
          <t>Rolled Back</t>
        </is>
      </c>
      <c r="P5" t="inlineStr">
        <is>
          <t>Development</t>
        </is>
      </c>
      <c r="Q5" t="inlineStr">
        <is>
          <t>Pre-Production</t>
        </is>
      </c>
      <c r="R5" t="inlineStr">
        <is>
          <t>4</t>
        </is>
      </c>
    </row>
    <row r="6">
      <c r="A6" t="inlineStr">
        <is>
          <t>PRJ-005</t>
        </is>
      </c>
      <c r="B6" t="inlineStr">
        <is>
          <t>Fatima Khan</t>
        </is>
      </c>
      <c r="C6" t="inlineStr">
        <is>
          <t>Reports</t>
        </is>
      </c>
      <c r="D6" t="inlineStr">
        <is>
          <t>Delayed</t>
        </is>
      </c>
      <c r="E6" t="inlineStr">
        <is>
          <t>Delayed</t>
        </is>
      </c>
      <c r="F6" t="inlineStr">
        <is>
          <t>At Risk</t>
        </is>
      </c>
      <c r="G6" t="inlineStr">
        <is>
          <t>Reopened</t>
        </is>
      </c>
      <c r="N6" t="inlineStr">
        <is>
          <t>Completed</t>
        </is>
      </c>
      <c r="P6" t="inlineStr">
        <is>
          <t>Testing</t>
        </is>
      </c>
      <c r="Q6" t="inlineStr">
        <is>
          <t>Production</t>
        </is>
      </c>
      <c r="R6" t="inlineStr">
        <is>
          <t>5</t>
        </is>
      </c>
    </row>
    <row r="7">
      <c r="A7" t="inlineStr">
        <is>
          <t>PRJ-006</t>
        </is>
      </c>
      <c r="B7" t="inlineStr">
        <is>
          <t>Karan Desai</t>
        </is>
      </c>
      <c r="C7" t="inlineStr">
        <is>
          <t>Onboarding</t>
        </is>
      </c>
      <c r="D7" t="inlineStr">
        <is>
          <t>Cancelled</t>
        </is>
      </c>
      <c r="E7" t="inlineStr">
        <is>
          <t>Deferred</t>
        </is>
      </c>
      <c r="P7" t="inlineStr">
        <is>
          <t>UAT</t>
        </is>
      </c>
      <c r="Q7" t="inlineStr">
        <is>
          <t>DR</t>
        </is>
      </c>
    </row>
    <row r="8">
      <c r="A8" t="inlineStr">
        <is>
          <t>PRJ-007</t>
        </is>
      </c>
      <c r="B8" t="inlineStr">
        <is>
          <t>Priya Nair</t>
        </is>
      </c>
      <c r="C8" t="inlineStr">
        <is>
          <t>Dashboard</t>
        </is>
      </c>
      <c r="E8" t="inlineStr">
        <is>
          <t>On Hold</t>
        </is>
      </c>
      <c r="P8" t="inlineStr">
        <is>
          <t>Deployment</t>
        </is>
      </c>
    </row>
    <row r="9">
      <c r="A9" t="inlineStr">
        <is>
          <t>PRJ-008</t>
        </is>
      </c>
      <c r="B9" t="inlineStr">
        <is>
          <t>Arjun Patel</t>
        </is>
      </c>
      <c r="C9" t="inlineStr">
        <is>
          <t>KYC</t>
        </is>
      </c>
      <c r="P9" t="inlineStr">
        <is>
          <t>Hypercare</t>
        </is>
      </c>
    </row>
    <row r="10">
      <c r="B10" t="inlineStr">
        <is>
          <t>Leena Das</t>
        </is>
      </c>
      <c r="C10" t="inlineStr">
        <is>
          <t>Security</t>
        </is>
      </c>
      <c r="P10" t="inlineStr">
        <is>
          <t>Closed</t>
        </is>
      </c>
    </row>
    <row r="11">
      <c r="B11" t="inlineStr">
        <is>
          <t>Nikhil Verma</t>
        </is>
      </c>
      <c r="C11" t="inlineStr">
        <is>
          <t>Deployment</t>
        </is>
      </c>
    </row>
    <row r="12">
      <c r="B12" t="inlineStr">
        <is>
          <t>Imran Ali</t>
        </is>
      </c>
    </row>
    <row r="13">
      <c r="B13" t="inlineStr">
        <is>
          <t>Riya Sen</t>
        </is>
      </c>
    </row>
    <row r="14">
      <c r="B14" t="inlineStr">
        <is>
          <t>Sara Thomas</t>
        </is>
      </c>
    </row>
    <row r="15">
      <c r="B15" t="inlineStr">
        <is>
          <t>QA Analyst 1</t>
        </is>
      </c>
    </row>
    <row r="16">
      <c r="B16" t="inlineStr">
        <is>
          <t>QA Analyst 2</t>
        </is>
      </c>
    </row>
    <row r="17">
      <c r="B17" t="inlineStr">
        <is>
          <t>Release Manager</t>
        </is>
      </c>
    </row>
    <row r="18">
      <c r="B18" t="inlineStr">
        <is>
          <t>DevOps</t>
        </is>
      </c>
    </row>
    <row r="25">
      <c r="A25" s="19" t="inlineStr">
        <is>
          <t>No Apps Script required. Visible sheets are formula-driven filtered views. Edit source rows in Data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2026-06-09T11:07:41Z</dcterms:created>
  <dcterms:modified xmlns:dcterms="http://purl.org/dc/terms/" xmlns:xsi="http://www.w3.org/2001/XMLSchema-instance" xsi:type="dcterms:W3CDTF">2026-06-09T11:23:47Z</dcterms:modified>
</cp:coreProperties>
</file>